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bdulkerim.gursoy\Desktop\DEPO STOK\"/>
    </mc:Choice>
  </mc:AlternateContent>
  <xr:revisionPtr revIDLastSave="0" documentId="13_ncr:1_{3B585E74-81A3-49DA-BBB4-E92DAB34866D}" xr6:coauthVersionLast="47" xr6:coauthVersionMax="47" xr10:uidLastSave="{00000000-0000-0000-0000-000000000000}"/>
  <bookViews>
    <workbookView xWindow="-120" yWindow="-120" windowWidth="24240" windowHeight="13020" tabRatio="707" firstSheet="45" activeTab="51" xr2:uid="{00000000-000D-0000-FFFF-FFFF00000000}"/>
  </bookViews>
  <sheets>
    <sheet name="eylül 4 hafta" sheetId="1" r:id="rId1"/>
    <sheet name="ekim 1 hafta" sheetId="2" r:id="rId2"/>
    <sheet name="ekim 2 hafta " sheetId="3" r:id="rId3"/>
    <sheet name="ekim 3 hafta" sheetId="4" r:id="rId4"/>
    <sheet name="ekim 4 hafta " sheetId="5" r:id="rId5"/>
    <sheet name="KASIM 1 HAFTA" sheetId="6" r:id="rId6"/>
    <sheet name="KASIM 2 HAFTA " sheetId="7" r:id="rId7"/>
    <sheet name="KASIM 3 HAFTA " sheetId="8" r:id="rId8"/>
    <sheet name="KASIM 4 HAFTA " sheetId="9" r:id="rId9"/>
    <sheet name="KASIM 5 HAFTA " sheetId="10" r:id="rId10"/>
    <sheet name="ARALIK 1 HAFTA" sheetId="11" r:id="rId11"/>
    <sheet name="ARALIK 2 HAFTA " sheetId="12" r:id="rId12"/>
    <sheet name="ARALIK 3 HAFTA " sheetId="13" r:id="rId13"/>
    <sheet name="ARALIK 4 HAFTA " sheetId="14" r:id="rId14"/>
    <sheet name="OCAK 1 HAFTA" sheetId="15" r:id="rId15"/>
    <sheet name="OCAK 2 HAFTA " sheetId="16" r:id="rId16"/>
    <sheet name="OCAK 3 HAFTA " sheetId="17" r:id="rId17"/>
    <sheet name="OCAK 4 HAFTA " sheetId="18" r:id="rId18"/>
    <sheet name="OCAK 5..ŞUBAT 1 HAFTA " sheetId="19" r:id="rId19"/>
    <sheet name="MART-NİSAN" sheetId="20" r:id="rId20"/>
    <sheet name="HAZ-TEM.2023" sheetId="21" r:id="rId21"/>
    <sheet name="TEMMUZ 2023" sheetId="22" r:id="rId22"/>
    <sheet name="AĞUSTOS 2023" sheetId="23" r:id="rId23"/>
    <sheet name="EYLÜL 2023" sheetId="24" r:id="rId24"/>
    <sheet name="EKİM 2023" sheetId="25" r:id="rId25"/>
    <sheet name="KASIM 2023" sheetId="26" r:id="rId26"/>
    <sheet name="ARALIK2023" sheetId="28" r:id="rId27"/>
    <sheet name="OCAK 2024" sheetId="29" r:id="rId28"/>
    <sheet name="ŞUBAT 2024" sheetId="30" r:id="rId29"/>
    <sheet name="MART 2024" sheetId="31" r:id="rId30"/>
    <sheet name="NİSAN 2024" sheetId="32" r:id="rId31"/>
    <sheet name="MAYIS 2024" sheetId="34" r:id="rId32"/>
    <sheet name="HAZİRAN 2024" sheetId="35" r:id="rId33"/>
    <sheet name="TEMMUZ 2024" sheetId="36" r:id="rId34"/>
    <sheet name="AĞUSTOS 2024" sheetId="37" r:id="rId35"/>
    <sheet name="EYLÜL 2024" sheetId="38" r:id="rId36"/>
    <sheet name="EKİM 2024" sheetId="39" r:id="rId37"/>
    <sheet name="KASIM 2024" sheetId="40" r:id="rId38"/>
    <sheet name="OCAK 2025" sheetId="41" r:id="rId39"/>
    <sheet name="ŞUBAT 2025" sheetId="42" r:id="rId40"/>
    <sheet name="MART 2025" sheetId="43" r:id="rId41"/>
    <sheet name="NİSAN 2025" sheetId="44" r:id="rId42"/>
    <sheet name="MAYIS 2025" sheetId="45" r:id="rId43"/>
    <sheet name="HAZİRAN 2025" sheetId="46" r:id="rId44"/>
    <sheet name="TEMMUZ 2025" sheetId="47" r:id="rId45"/>
    <sheet name="AĞUSTOS 2025" sheetId="48" r:id="rId46"/>
    <sheet name="EYLÜL 2025" sheetId="49" r:id="rId47"/>
    <sheet name="EKİM 2025" sheetId="50" r:id="rId48"/>
    <sheet name="KASIM 2025" sheetId="51" r:id="rId49"/>
    <sheet name="ARALIK 2025" sheetId="52" r:id="rId50"/>
    <sheet name="OCAK 2026" sheetId="53" r:id="rId51"/>
    <sheet name="ŞUBAT 2026" sheetId="54" r:id="rId52"/>
  </sheets>
  <definedNames>
    <definedName name="PENTA" localSheetId="22">'AĞUSTOS 2023'!$K$5</definedName>
    <definedName name="PENTA" localSheetId="34">'AĞUSTOS 2024'!$K$5</definedName>
    <definedName name="PENTA" localSheetId="45">'AĞUSTOS 2025'!$K$5</definedName>
    <definedName name="PENTA" localSheetId="10">'ARALIK 1 HAFTA'!$K$5</definedName>
    <definedName name="PENTA" localSheetId="11">'ARALIK 2 HAFTA '!$K$5</definedName>
    <definedName name="PENTA" localSheetId="49">'ARALIK 2025'!$K$5</definedName>
    <definedName name="PENTA" localSheetId="12">'ARALIK 3 HAFTA '!$K$5</definedName>
    <definedName name="PENTA" localSheetId="13">'ARALIK 4 HAFTA '!$K$5</definedName>
    <definedName name="PENTA" localSheetId="26">ARALIK2023!$K$5</definedName>
    <definedName name="PENTA" localSheetId="1">'ekim 1 hafta'!$K$5</definedName>
    <definedName name="PENTA" localSheetId="2">'ekim 2 hafta '!$K$5</definedName>
    <definedName name="PENTA" localSheetId="24">'EKİM 2023'!$K$5</definedName>
    <definedName name="PENTA" localSheetId="36">'EKİM 2024'!$K$5</definedName>
    <definedName name="PENTA" localSheetId="47">'EKİM 2025'!$K$5</definedName>
    <definedName name="PENTA" localSheetId="3">'ekim 3 hafta'!$K$5</definedName>
    <definedName name="PENTA" localSheetId="4">'ekim 4 hafta '!$K$5</definedName>
    <definedName name="PENTA" localSheetId="23">'EYLÜL 2023'!$K$5</definedName>
    <definedName name="PENTA" localSheetId="35">'EYLÜL 2024'!$K$5</definedName>
    <definedName name="PENTA" localSheetId="46">'EYLÜL 2025'!$K$5</definedName>
    <definedName name="PENTA" localSheetId="32">'HAZİRAN 2024'!$K$5</definedName>
    <definedName name="PENTA" localSheetId="43">'HAZİRAN 2025'!$K$5</definedName>
    <definedName name="PENTA" localSheetId="20">'HAZ-TEM.2023'!$K$5</definedName>
    <definedName name="PENTA" localSheetId="5">'KASIM 1 HAFTA'!$K$5</definedName>
    <definedName name="PENTA" localSheetId="6">'KASIM 2 HAFTA '!$K$5</definedName>
    <definedName name="PENTA" localSheetId="25">'KASIM 2023'!$K$5</definedName>
    <definedName name="PENTA" localSheetId="37">'KASIM 2024'!$K$5</definedName>
    <definedName name="PENTA" localSheetId="48">'KASIM 2025'!$K$5</definedName>
    <definedName name="PENTA" localSheetId="7">'KASIM 3 HAFTA '!$K$5</definedName>
    <definedName name="PENTA" localSheetId="8">'KASIM 4 HAFTA '!$K$5</definedName>
    <definedName name="PENTA" localSheetId="9">'KASIM 5 HAFTA '!$K$5</definedName>
    <definedName name="PENTA" localSheetId="29">'MART 2024'!$K$5</definedName>
    <definedName name="PENTA" localSheetId="40">'MART 2025'!$K$5</definedName>
    <definedName name="PENTA" localSheetId="19">'MART-NİSAN'!$K$5</definedName>
    <definedName name="PENTA" localSheetId="31">'MAYIS 2024'!$K$5</definedName>
    <definedName name="PENTA" localSheetId="42">'MAYIS 2025'!$K$5</definedName>
    <definedName name="PENTA" localSheetId="30">'NİSAN 2024'!$K$5</definedName>
    <definedName name="PENTA" localSheetId="41">'NİSAN 2025'!$K$5</definedName>
    <definedName name="PENTA" localSheetId="14">'OCAK 1 HAFTA'!$K$5</definedName>
    <definedName name="PENTA" localSheetId="15">'OCAK 2 HAFTA '!$K$5</definedName>
    <definedName name="PENTA" localSheetId="27">'OCAK 2024'!$K$5</definedName>
    <definedName name="PENTA" localSheetId="38">'OCAK 2025'!$K$5</definedName>
    <definedName name="PENTA" localSheetId="50">'OCAK 2026'!$K$5</definedName>
    <definedName name="PENTA" localSheetId="16">'OCAK 3 HAFTA '!$K$5</definedName>
    <definedName name="PENTA" localSheetId="17">'OCAK 4 HAFTA '!$K$5</definedName>
    <definedName name="PENTA" localSheetId="18">'OCAK 5..ŞUBAT 1 HAFTA '!$K$5</definedName>
    <definedName name="PENTA" localSheetId="28">'ŞUBAT 2024'!$K$5</definedName>
    <definedName name="PENTA" localSheetId="39">'ŞUBAT 2025'!$K$5</definedName>
    <definedName name="PENTA" localSheetId="51">'ŞUBAT 2026'!$K$5</definedName>
    <definedName name="PENTA" localSheetId="21">'TEMMUZ 2023'!$K$5</definedName>
    <definedName name="PENTA" localSheetId="33">'TEMMUZ 2024'!$K$5</definedName>
    <definedName name="PENTA" localSheetId="44">'TEMMUZ 2025'!$K$5</definedName>
    <definedName name="PENTA">'eylül 4 hafta'!$K$5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P51" i="54" l="1"/>
  <c r="P93" i="54"/>
  <c r="P96" i="54"/>
  <c r="P92" i="54"/>
  <c r="P89" i="54"/>
  <c r="P87" i="54"/>
  <c r="P86" i="54"/>
  <c r="P82" i="54"/>
  <c r="P77" i="54"/>
  <c r="P78" i="54"/>
  <c r="P73" i="54"/>
  <c r="P72" i="54"/>
  <c r="P71" i="54"/>
  <c r="P62" i="54"/>
  <c r="P61" i="54"/>
  <c r="P60" i="54"/>
  <c r="P59" i="54"/>
  <c r="P58" i="54"/>
  <c r="P57" i="54"/>
  <c r="P56" i="54"/>
  <c r="P70" i="54"/>
  <c r="P55" i="54"/>
  <c r="P54" i="54"/>
  <c r="P53" i="54"/>
  <c r="P49" i="54"/>
  <c r="P41" i="54"/>
  <c r="P40" i="54"/>
  <c r="P39" i="54"/>
  <c r="P38" i="54"/>
  <c r="P35" i="54"/>
  <c r="P34" i="54"/>
  <c r="P31" i="54"/>
  <c r="P29" i="54"/>
  <c r="P28" i="54"/>
  <c r="P30" i="54"/>
  <c r="P23" i="54"/>
  <c r="P22" i="54"/>
  <c r="P8" i="54"/>
  <c r="P21" i="54"/>
  <c r="P5" i="54"/>
  <c r="P20" i="54"/>
  <c r="P19" i="54"/>
  <c r="P18" i="54"/>
  <c r="P17" i="54"/>
  <c r="P16" i="54"/>
  <c r="P13" i="54"/>
  <c r="P95" i="54"/>
  <c r="P94" i="54"/>
  <c r="P91" i="54"/>
  <c r="P90" i="54"/>
  <c r="P88" i="54"/>
  <c r="P85" i="54"/>
  <c r="P84" i="54"/>
  <c r="P83" i="54"/>
  <c r="P81" i="54"/>
  <c r="P80" i="54"/>
  <c r="P79" i="54"/>
  <c r="P76" i="54"/>
  <c r="P75" i="54"/>
  <c r="P74" i="54"/>
  <c r="P69" i="54"/>
  <c r="P68" i="54"/>
  <c r="P67" i="54"/>
  <c r="P66" i="54"/>
  <c r="P65" i="54"/>
  <c r="P64" i="54"/>
  <c r="P63" i="54"/>
  <c r="P52" i="54"/>
  <c r="P50" i="54"/>
  <c r="P48" i="54"/>
  <c r="P47" i="54"/>
  <c r="P46" i="54"/>
  <c r="P45" i="54"/>
  <c r="P44" i="54"/>
  <c r="P43" i="54"/>
  <c r="P42" i="54"/>
  <c r="P37" i="54"/>
  <c r="P36" i="54"/>
  <c r="P33" i="54"/>
  <c r="P32" i="54"/>
  <c r="P27" i="54"/>
  <c r="P26" i="54"/>
  <c r="P25" i="54"/>
  <c r="P24" i="54"/>
  <c r="P15" i="54"/>
  <c r="P14" i="54"/>
  <c r="P12" i="54"/>
  <c r="P11" i="54"/>
  <c r="P10" i="54"/>
  <c r="P9" i="54"/>
  <c r="P7" i="54"/>
  <c r="P6" i="54"/>
  <c r="P4" i="54"/>
  <c r="P1" i="54"/>
  <c r="P89" i="53"/>
  <c r="P88" i="53"/>
  <c r="P87" i="53"/>
  <c r="P86" i="53"/>
  <c r="P85" i="53"/>
  <c r="P84" i="53"/>
  <c r="P83" i="53"/>
  <c r="P82" i="53"/>
  <c r="P81" i="53"/>
  <c r="P80" i="53"/>
  <c r="P79" i="53"/>
  <c r="P78" i="53"/>
  <c r="P77" i="53"/>
  <c r="P76" i="53"/>
  <c r="P75" i="53"/>
  <c r="P74" i="53"/>
  <c r="P73" i="53"/>
  <c r="P72" i="53"/>
  <c r="P71" i="53"/>
  <c r="P70" i="53"/>
  <c r="P69" i="53"/>
  <c r="P68" i="53"/>
  <c r="P67" i="53"/>
  <c r="P66" i="53"/>
  <c r="P65" i="53"/>
  <c r="P64" i="53"/>
  <c r="P63" i="53"/>
  <c r="P62" i="53"/>
  <c r="P61" i="53"/>
  <c r="P60" i="53"/>
  <c r="P59" i="53"/>
  <c r="P58" i="53"/>
  <c r="P57" i="53"/>
  <c r="P56" i="53"/>
  <c r="P55" i="53"/>
  <c r="P54" i="53"/>
  <c r="P53" i="53"/>
  <c r="P52" i="53"/>
  <c r="P51" i="53"/>
  <c r="P50" i="53"/>
  <c r="P49" i="53"/>
  <c r="P48" i="53"/>
  <c r="P47" i="53"/>
  <c r="P46" i="53"/>
  <c r="P45" i="53"/>
  <c r="P44" i="53"/>
  <c r="P43" i="53"/>
  <c r="P42" i="53"/>
  <c r="P41" i="53"/>
  <c r="P40" i="53"/>
  <c r="P39" i="53"/>
  <c r="P38" i="53"/>
  <c r="P37" i="53"/>
  <c r="P36" i="53"/>
  <c r="P35" i="53"/>
  <c r="P34" i="53"/>
  <c r="P33" i="53"/>
  <c r="P32" i="53"/>
  <c r="P31" i="53"/>
  <c r="P30" i="53"/>
  <c r="P29" i="53"/>
  <c r="P28" i="53"/>
  <c r="P27" i="53"/>
  <c r="P26" i="53"/>
  <c r="P25" i="53"/>
  <c r="P24" i="53"/>
  <c r="P23" i="53"/>
  <c r="P22" i="53"/>
  <c r="P21" i="53"/>
  <c r="P20" i="53"/>
  <c r="P19" i="53"/>
  <c r="P18" i="53"/>
  <c r="P17" i="53"/>
  <c r="P16" i="53"/>
  <c r="P15" i="53"/>
  <c r="P14" i="53"/>
  <c r="P13" i="53"/>
  <c r="P12" i="53"/>
  <c r="P11" i="53"/>
  <c r="P10" i="53"/>
  <c r="P9" i="53"/>
  <c r="P8" i="53"/>
  <c r="P7" i="53"/>
  <c r="P6" i="53"/>
  <c r="P5" i="53"/>
  <c r="P4" i="53"/>
  <c r="P1" i="53"/>
  <c r="P38" i="52"/>
  <c r="P69" i="52" l="1"/>
  <c r="P89" i="52"/>
  <c r="P88" i="52"/>
  <c r="P87" i="52"/>
  <c r="P86" i="52"/>
  <c r="P85" i="52"/>
  <c r="P84" i="52"/>
  <c r="P83" i="52"/>
  <c r="P82" i="52"/>
  <c r="P81" i="52"/>
  <c r="P80" i="52"/>
  <c r="P79" i="52"/>
  <c r="P78" i="52"/>
  <c r="P77" i="52"/>
  <c r="P76" i="52"/>
  <c r="P75" i="52"/>
  <c r="P74" i="52"/>
  <c r="P73" i="52"/>
  <c r="P72" i="52"/>
  <c r="P71" i="52"/>
  <c r="P70" i="52"/>
  <c r="P68" i="52"/>
  <c r="P67" i="52"/>
  <c r="P66" i="52"/>
  <c r="P65" i="52"/>
  <c r="P64" i="52"/>
  <c r="P63" i="52"/>
  <c r="P62" i="52"/>
  <c r="P61" i="52"/>
  <c r="P60" i="52"/>
  <c r="P59" i="52"/>
  <c r="P58" i="52"/>
  <c r="P57" i="52"/>
  <c r="P56" i="52"/>
  <c r="P55" i="52"/>
  <c r="P54" i="52"/>
  <c r="P53" i="52"/>
  <c r="P52" i="52"/>
  <c r="P51" i="52"/>
  <c r="P50" i="52"/>
  <c r="P49" i="52"/>
  <c r="P48" i="52"/>
  <c r="P47" i="52"/>
  <c r="P46" i="52"/>
  <c r="P45" i="52"/>
  <c r="P44" i="52"/>
  <c r="P43" i="52"/>
  <c r="P42" i="52"/>
  <c r="P41" i="52"/>
  <c r="P40" i="52"/>
  <c r="P39" i="52"/>
  <c r="P37" i="52"/>
  <c r="P36" i="52"/>
  <c r="P35" i="52"/>
  <c r="P34" i="52"/>
  <c r="P33" i="52"/>
  <c r="P32" i="52"/>
  <c r="P31" i="52"/>
  <c r="P30" i="52"/>
  <c r="P29" i="52"/>
  <c r="P28" i="52"/>
  <c r="P27" i="52"/>
  <c r="P26" i="52"/>
  <c r="P25" i="52"/>
  <c r="P24" i="52"/>
  <c r="P23" i="52"/>
  <c r="P22" i="52"/>
  <c r="P21" i="52"/>
  <c r="P20" i="52"/>
  <c r="P19" i="52"/>
  <c r="P18" i="52"/>
  <c r="P17" i="52"/>
  <c r="P16" i="52"/>
  <c r="P15" i="52"/>
  <c r="P14" i="52"/>
  <c r="P13" i="52"/>
  <c r="P12" i="52"/>
  <c r="P11" i="52"/>
  <c r="P10" i="52"/>
  <c r="P9" i="52"/>
  <c r="P8" i="52"/>
  <c r="P7" i="52"/>
  <c r="P6" i="52"/>
  <c r="P5" i="52"/>
  <c r="P4" i="52"/>
  <c r="P1" i="52"/>
  <c r="P89" i="51"/>
  <c r="P88" i="51"/>
  <c r="P87" i="51"/>
  <c r="P86" i="51"/>
  <c r="P85" i="51"/>
  <c r="P84" i="51"/>
  <c r="P83" i="51"/>
  <c r="P82" i="51"/>
  <c r="P81" i="51"/>
  <c r="P80" i="51"/>
  <c r="P79" i="51"/>
  <c r="P78" i="51"/>
  <c r="P77" i="51"/>
  <c r="P76" i="51"/>
  <c r="P75" i="51"/>
  <c r="P74" i="51"/>
  <c r="P73" i="51"/>
  <c r="P72" i="51"/>
  <c r="P71" i="51"/>
  <c r="P70" i="51"/>
  <c r="P69" i="51"/>
  <c r="P68" i="51"/>
  <c r="P67" i="51"/>
  <c r="P66" i="51"/>
  <c r="P65" i="51"/>
  <c r="P64" i="51"/>
  <c r="P63" i="51"/>
  <c r="P62" i="51"/>
  <c r="P61" i="51"/>
  <c r="P60" i="51"/>
  <c r="P59" i="51"/>
  <c r="P58" i="51"/>
  <c r="P57" i="51"/>
  <c r="P56" i="51"/>
  <c r="P55" i="51"/>
  <c r="P54" i="51"/>
  <c r="P53" i="51"/>
  <c r="P52" i="51"/>
  <c r="P51" i="51"/>
  <c r="P50" i="51"/>
  <c r="P49" i="51"/>
  <c r="P48" i="51"/>
  <c r="P47" i="51"/>
  <c r="P46" i="51"/>
  <c r="P45" i="51"/>
  <c r="P44" i="51"/>
  <c r="P43" i="51"/>
  <c r="P42" i="51"/>
  <c r="P41" i="51"/>
  <c r="P40" i="51"/>
  <c r="P39" i="51"/>
  <c r="P38" i="51"/>
  <c r="P37" i="51"/>
  <c r="P36" i="51"/>
  <c r="P35" i="51"/>
  <c r="P34" i="51"/>
  <c r="P33" i="51"/>
  <c r="P32" i="51"/>
  <c r="P31" i="51"/>
  <c r="P30" i="51"/>
  <c r="P29" i="51"/>
  <c r="P28" i="51"/>
  <c r="P27" i="51"/>
  <c r="P26" i="51"/>
  <c r="P25" i="51"/>
  <c r="P24" i="51"/>
  <c r="P23" i="51"/>
  <c r="P22" i="51"/>
  <c r="P21" i="51"/>
  <c r="P20" i="51"/>
  <c r="P19" i="51"/>
  <c r="P18" i="51"/>
  <c r="P17" i="51"/>
  <c r="P16" i="51"/>
  <c r="P15" i="51"/>
  <c r="P14" i="51"/>
  <c r="P13" i="51"/>
  <c r="P12" i="51"/>
  <c r="P11" i="51"/>
  <c r="P10" i="51"/>
  <c r="P9" i="51"/>
  <c r="P8" i="51"/>
  <c r="P7" i="51"/>
  <c r="P6" i="51"/>
  <c r="P5" i="51"/>
  <c r="P4" i="51"/>
  <c r="P1" i="51"/>
  <c r="P20" i="50"/>
  <c r="P89" i="50"/>
  <c r="P88" i="50"/>
  <c r="P87" i="50"/>
  <c r="P86" i="50"/>
  <c r="P85" i="50"/>
  <c r="P84" i="50"/>
  <c r="P83" i="50"/>
  <c r="P82" i="50"/>
  <c r="P81" i="50"/>
  <c r="P80" i="50"/>
  <c r="P79" i="50"/>
  <c r="P78" i="50"/>
  <c r="P77" i="50"/>
  <c r="P76" i="50"/>
  <c r="P75" i="50"/>
  <c r="P74" i="50"/>
  <c r="P73" i="50"/>
  <c r="P72" i="50"/>
  <c r="P71" i="50"/>
  <c r="P70" i="50"/>
  <c r="P69" i="50"/>
  <c r="P68" i="50"/>
  <c r="P67" i="50"/>
  <c r="P66" i="50"/>
  <c r="P65" i="50"/>
  <c r="P64" i="50"/>
  <c r="P63" i="50"/>
  <c r="P62" i="50"/>
  <c r="P61" i="50"/>
  <c r="P60" i="50"/>
  <c r="P59" i="50"/>
  <c r="P58" i="50"/>
  <c r="P57" i="50"/>
  <c r="P56" i="50"/>
  <c r="P55" i="50"/>
  <c r="P54" i="50"/>
  <c r="P53" i="50"/>
  <c r="P52" i="50"/>
  <c r="P51" i="50"/>
  <c r="P50" i="50"/>
  <c r="P49" i="50"/>
  <c r="P48" i="50"/>
  <c r="P47" i="50"/>
  <c r="P46" i="50"/>
  <c r="P45" i="50"/>
  <c r="P44" i="50"/>
  <c r="P43" i="50"/>
  <c r="P42" i="50"/>
  <c r="P41" i="50"/>
  <c r="P40" i="50"/>
  <c r="P39" i="50"/>
  <c r="P38" i="50"/>
  <c r="P37" i="50"/>
  <c r="P36" i="50"/>
  <c r="P35" i="50"/>
  <c r="P34" i="50"/>
  <c r="P33" i="50"/>
  <c r="P32" i="50"/>
  <c r="P31" i="50"/>
  <c r="P30" i="50"/>
  <c r="P29" i="50"/>
  <c r="P28" i="50"/>
  <c r="P27" i="50"/>
  <c r="P26" i="50"/>
  <c r="P25" i="50"/>
  <c r="P24" i="50"/>
  <c r="P23" i="50"/>
  <c r="P22" i="50"/>
  <c r="P21" i="50"/>
  <c r="P19" i="50"/>
  <c r="P18" i="50"/>
  <c r="P17" i="50"/>
  <c r="P16" i="50"/>
  <c r="P15" i="50"/>
  <c r="P14" i="50"/>
  <c r="P13" i="50"/>
  <c r="P12" i="50"/>
  <c r="P11" i="50"/>
  <c r="P10" i="50"/>
  <c r="P9" i="50"/>
  <c r="P8" i="50"/>
  <c r="P7" i="50"/>
  <c r="P6" i="50"/>
  <c r="P5" i="50"/>
  <c r="P4" i="50"/>
  <c r="P1" i="50"/>
  <c r="P67" i="49"/>
  <c r="P89" i="49"/>
  <c r="P88" i="49"/>
  <c r="P87" i="49"/>
  <c r="P86" i="49"/>
  <c r="P85" i="49"/>
  <c r="P84" i="49"/>
  <c r="P83" i="49"/>
  <c r="P82" i="49"/>
  <c r="P81" i="49"/>
  <c r="P80" i="49"/>
  <c r="P79" i="49"/>
  <c r="P78" i="49"/>
  <c r="P77" i="49"/>
  <c r="P76" i="49"/>
  <c r="P75" i="49"/>
  <c r="P74" i="49"/>
  <c r="P73" i="49"/>
  <c r="P72" i="49"/>
  <c r="P71" i="49"/>
  <c r="P70" i="49"/>
  <c r="P69" i="49"/>
  <c r="P68" i="49"/>
  <c r="P66" i="49"/>
  <c r="P65" i="49"/>
  <c r="P64" i="49"/>
  <c r="P63" i="49"/>
  <c r="P62" i="49"/>
  <c r="P61" i="49"/>
  <c r="P60" i="49"/>
  <c r="P59" i="49"/>
  <c r="P58" i="49"/>
  <c r="P57" i="49"/>
  <c r="P56" i="49"/>
  <c r="P55" i="49"/>
  <c r="P54" i="49"/>
  <c r="P53" i="49"/>
  <c r="P52" i="49"/>
  <c r="P51" i="49"/>
  <c r="P50" i="49"/>
  <c r="P49" i="49"/>
  <c r="P48" i="49"/>
  <c r="P47" i="49"/>
  <c r="P46" i="49"/>
  <c r="P45" i="49"/>
  <c r="P44" i="49"/>
  <c r="P43" i="49"/>
  <c r="P42" i="49"/>
  <c r="P41" i="49"/>
  <c r="P40" i="49"/>
  <c r="P39" i="49"/>
  <c r="P38" i="49"/>
  <c r="P37" i="49"/>
  <c r="P36" i="49"/>
  <c r="P35" i="49"/>
  <c r="P34" i="49"/>
  <c r="P33" i="49"/>
  <c r="P32" i="49"/>
  <c r="P31" i="49"/>
  <c r="P30" i="49"/>
  <c r="P29" i="49"/>
  <c r="P28" i="49"/>
  <c r="P27" i="49"/>
  <c r="P26" i="49"/>
  <c r="P25" i="49"/>
  <c r="P24" i="49"/>
  <c r="P23" i="49"/>
  <c r="P22" i="49"/>
  <c r="P21" i="49"/>
  <c r="P20" i="49"/>
  <c r="P19" i="49"/>
  <c r="P18" i="49"/>
  <c r="P17" i="49"/>
  <c r="P16" i="49"/>
  <c r="P15" i="49"/>
  <c r="P14" i="49"/>
  <c r="P13" i="49"/>
  <c r="P12" i="49"/>
  <c r="P11" i="49"/>
  <c r="P10" i="49"/>
  <c r="P9" i="49"/>
  <c r="P8" i="49"/>
  <c r="P7" i="49"/>
  <c r="P6" i="49"/>
  <c r="P5" i="49"/>
  <c r="P4" i="49"/>
  <c r="P1" i="49"/>
  <c r="P89" i="48"/>
  <c r="P88" i="48"/>
  <c r="P87" i="48"/>
  <c r="P86" i="48"/>
  <c r="P85" i="48"/>
  <c r="P84" i="48"/>
  <c r="P83" i="48"/>
  <c r="P82" i="48"/>
  <c r="P81" i="48"/>
  <c r="P80" i="48"/>
  <c r="P79" i="48"/>
  <c r="P78" i="48"/>
  <c r="P77" i="48"/>
  <c r="P76" i="48"/>
  <c r="P75" i="48"/>
  <c r="P74" i="48"/>
  <c r="P73" i="48"/>
  <c r="P72" i="48"/>
  <c r="P71" i="48"/>
  <c r="P70" i="48"/>
  <c r="P69" i="48"/>
  <c r="P68" i="48"/>
  <c r="P67" i="48"/>
  <c r="P66" i="48"/>
  <c r="P65" i="48"/>
  <c r="P64" i="48"/>
  <c r="P63" i="48"/>
  <c r="P62" i="48"/>
  <c r="P61" i="48"/>
  <c r="P60" i="48"/>
  <c r="P59" i="48"/>
  <c r="P58" i="48"/>
  <c r="P57" i="48"/>
  <c r="P56" i="48"/>
  <c r="P55" i="48"/>
  <c r="P54" i="48"/>
  <c r="P53" i="48"/>
  <c r="P52" i="48"/>
  <c r="P51" i="48"/>
  <c r="P50" i="48"/>
  <c r="P49" i="48"/>
  <c r="P48" i="48"/>
  <c r="P47" i="48"/>
  <c r="P46" i="48"/>
  <c r="P45" i="48"/>
  <c r="P44" i="48"/>
  <c r="P43" i="48"/>
  <c r="P42" i="48"/>
  <c r="P41" i="48"/>
  <c r="P40" i="48"/>
  <c r="P39" i="48"/>
  <c r="P38" i="48"/>
  <c r="P37" i="48"/>
  <c r="P36" i="48"/>
  <c r="P35" i="48"/>
  <c r="P34" i="48"/>
  <c r="P33" i="48"/>
  <c r="P32" i="48"/>
  <c r="P31" i="48"/>
  <c r="P30" i="48"/>
  <c r="P29" i="48"/>
  <c r="P28" i="48"/>
  <c r="P27" i="48"/>
  <c r="P26" i="48"/>
  <c r="P25" i="48"/>
  <c r="P24" i="48"/>
  <c r="P23" i="48"/>
  <c r="P22" i="48"/>
  <c r="P21" i="48"/>
  <c r="P20" i="48"/>
  <c r="P19" i="48"/>
  <c r="P18" i="48"/>
  <c r="P17" i="48"/>
  <c r="P16" i="48"/>
  <c r="P15" i="48"/>
  <c r="P14" i="48"/>
  <c r="P13" i="48"/>
  <c r="P12" i="48"/>
  <c r="P11" i="48"/>
  <c r="P10" i="48"/>
  <c r="P9" i="48"/>
  <c r="P8" i="48"/>
  <c r="P7" i="48"/>
  <c r="P6" i="48"/>
  <c r="P5" i="48"/>
  <c r="P4" i="48"/>
  <c r="P1" i="48"/>
  <c r="P89" i="47"/>
  <c r="P88" i="47"/>
  <c r="P87" i="47"/>
  <c r="P86" i="47"/>
  <c r="P85" i="47"/>
  <c r="P84" i="47"/>
  <c r="P83" i="47"/>
  <c r="P82" i="47"/>
  <c r="P81" i="47"/>
  <c r="P80" i="47"/>
  <c r="P79" i="47"/>
  <c r="P78" i="47"/>
  <c r="P77" i="47"/>
  <c r="P76" i="47"/>
  <c r="P75" i="47"/>
  <c r="P74" i="47"/>
  <c r="P73" i="47"/>
  <c r="P72" i="47"/>
  <c r="P71" i="47"/>
  <c r="P70" i="47"/>
  <c r="P69" i="47"/>
  <c r="P68" i="47"/>
  <c r="P67" i="47"/>
  <c r="P66" i="47"/>
  <c r="P65" i="47"/>
  <c r="P64" i="47"/>
  <c r="P63" i="47"/>
  <c r="P62" i="47"/>
  <c r="P61" i="47"/>
  <c r="P60" i="47"/>
  <c r="P59" i="47"/>
  <c r="P58" i="47"/>
  <c r="P57" i="47"/>
  <c r="P56" i="47"/>
  <c r="P55" i="47"/>
  <c r="P54" i="47"/>
  <c r="P53" i="47"/>
  <c r="P52" i="47"/>
  <c r="P51" i="47"/>
  <c r="P50" i="47"/>
  <c r="P49" i="47"/>
  <c r="P48" i="47"/>
  <c r="P47" i="47"/>
  <c r="P46" i="47"/>
  <c r="P45" i="47"/>
  <c r="P44" i="47"/>
  <c r="P43" i="47"/>
  <c r="P42" i="47"/>
  <c r="P41" i="47"/>
  <c r="P40" i="47"/>
  <c r="P39" i="47"/>
  <c r="P38" i="47"/>
  <c r="P37" i="47"/>
  <c r="P36" i="47"/>
  <c r="P35" i="47"/>
  <c r="P34" i="47"/>
  <c r="P33" i="47"/>
  <c r="P32" i="47"/>
  <c r="P31" i="47"/>
  <c r="P30" i="47"/>
  <c r="P29" i="47"/>
  <c r="P28" i="47"/>
  <c r="P27" i="47"/>
  <c r="P26" i="47"/>
  <c r="P25" i="47"/>
  <c r="P24" i="47"/>
  <c r="P23" i="47"/>
  <c r="P22" i="47"/>
  <c r="P21" i="47"/>
  <c r="P20" i="47"/>
  <c r="P19" i="47"/>
  <c r="P18" i="47"/>
  <c r="P17" i="47"/>
  <c r="P16" i="47"/>
  <c r="P15" i="47"/>
  <c r="P14" i="47"/>
  <c r="P13" i="47"/>
  <c r="P12" i="47"/>
  <c r="P11" i="47"/>
  <c r="P10" i="47"/>
  <c r="P9" i="47"/>
  <c r="P8" i="47"/>
  <c r="P7" i="47"/>
  <c r="P6" i="47"/>
  <c r="P5" i="47"/>
  <c r="P4" i="47"/>
  <c r="P1" i="47"/>
  <c r="P39" i="46"/>
  <c r="P38" i="46"/>
  <c r="P37" i="46"/>
  <c r="P36" i="46"/>
  <c r="P89" i="46"/>
  <c r="P88" i="46"/>
  <c r="P87" i="46"/>
  <c r="P86" i="46"/>
  <c r="P85" i="46"/>
  <c r="P84" i="46"/>
  <c r="P83" i="46"/>
  <c r="P82" i="46"/>
  <c r="P81" i="46"/>
  <c r="P80" i="46"/>
  <c r="P79" i="46"/>
  <c r="P78" i="46"/>
  <c r="P77" i="46"/>
  <c r="P76" i="46"/>
  <c r="P75" i="46"/>
  <c r="P74" i="46"/>
  <c r="P73" i="46"/>
  <c r="P72" i="46"/>
  <c r="P71" i="46"/>
  <c r="P70" i="46"/>
  <c r="P69" i="46"/>
  <c r="P68" i="46"/>
  <c r="P67" i="46"/>
  <c r="P66" i="46"/>
  <c r="P65" i="46"/>
  <c r="P64" i="46"/>
  <c r="P63" i="46"/>
  <c r="P62" i="46"/>
  <c r="P61" i="46"/>
  <c r="P60" i="46"/>
  <c r="P59" i="46"/>
  <c r="P58" i="46"/>
  <c r="P57" i="46"/>
  <c r="P56" i="46"/>
  <c r="P55" i="46"/>
  <c r="P54" i="46"/>
  <c r="P53" i="46"/>
  <c r="P52" i="46"/>
  <c r="P51" i="46"/>
  <c r="P50" i="46"/>
  <c r="P49" i="46"/>
  <c r="P48" i="46"/>
  <c r="P47" i="46"/>
  <c r="P46" i="46"/>
  <c r="P45" i="46"/>
  <c r="P44" i="46"/>
  <c r="P43" i="46"/>
  <c r="P42" i="46"/>
  <c r="P41" i="46"/>
  <c r="P40" i="46"/>
  <c r="P35" i="46"/>
  <c r="P34" i="46"/>
  <c r="P33" i="46"/>
  <c r="P32" i="46"/>
  <c r="P31" i="46"/>
  <c r="P30" i="46"/>
  <c r="P29" i="46"/>
  <c r="P28" i="46"/>
  <c r="P27" i="46"/>
  <c r="P26" i="46"/>
  <c r="P25" i="46"/>
  <c r="P24" i="46"/>
  <c r="P23" i="46"/>
  <c r="P22" i="46"/>
  <c r="P21" i="46"/>
  <c r="P20" i="46"/>
  <c r="P19" i="46"/>
  <c r="P18" i="46"/>
  <c r="P17" i="46"/>
  <c r="P16" i="46"/>
  <c r="P15" i="46"/>
  <c r="P14" i="46"/>
  <c r="P13" i="46"/>
  <c r="P12" i="46"/>
  <c r="P11" i="46"/>
  <c r="P10" i="46"/>
  <c r="P9" i="46"/>
  <c r="P8" i="46"/>
  <c r="P7" i="46"/>
  <c r="P6" i="46"/>
  <c r="P5" i="46"/>
  <c r="P4" i="46"/>
  <c r="P1" i="46"/>
  <c r="P89" i="45"/>
  <c r="P88" i="45"/>
  <c r="P87" i="45"/>
  <c r="P86" i="45"/>
  <c r="P85" i="45"/>
  <c r="P84" i="45"/>
  <c r="P83" i="45"/>
  <c r="P82" i="45"/>
  <c r="P81" i="45"/>
  <c r="P80" i="45"/>
  <c r="P79" i="45"/>
  <c r="P78" i="45"/>
  <c r="P77" i="45"/>
  <c r="P76" i="45"/>
  <c r="P75" i="45"/>
  <c r="P74" i="45"/>
  <c r="P73" i="45"/>
  <c r="P72" i="45"/>
  <c r="P71" i="45"/>
  <c r="P70" i="45"/>
  <c r="P69" i="45"/>
  <c r="P68" i="45"/>
  <c r="P67" i="45"/>
  <c r="P66" i="45"/>
  <c r="P65" i="45"/>
  <c r="P64" i="45"/>
  <c r="P63" i="45"/>
  <c r="P62" i="45"/>
  <c r="P61" i="45"/>
  <c r="P60" i="45"/>
  <c r="P59" i="45"/>
  <c r="P58" i="45"/>
  <c r="P57" i="45"/>
  <c r="P56" i="45"/>
  <c r="P55" i="45"/>
  <c r="P54" i="45"/>
  <c r="P53" i="45"/>
  <c r="P52" i="45"/>
  <c r="P51" i="45"/>
  <c r="P50" i="45"/>
  <c r="P49" i="45"/>
  <c r="P48" i="45"/>
  <c r="P47" i="45"/>
  <c r="P46" i="45"/>
  <c r="P45" i="45"/>
  <c r="P44" i="45"/>
  <c r="P43" i="45"/>
  <c r="P42" i="45"/>
  <c r="P41" i="45"/>
  <c r="P40" i="45"/>
  <c r="P39" i="45"/>
  <c r="P38" i="45"/>
  <c r="P37" i="45"/>
  <c r="P36" i="45"/>
  <c r="P35" i="45"/>
  <c r="P34" i="45"/>
  <c r="P33" i="45"/>
  <c r="P32" i="45"/>
  <c r="P31" i="45"/>
  <c r="P30" i="45"/>
  <c r="P29" i="45"/>
  <c r="P28" i="45"/>
  <c r="P27" i="45"/>
  <c r="P26" i="45"/>
  <c r="P25" i="45"/>
  <c r="P24" i="45"/>
  <c r="P23" i="45"/>
  <c r="P22" i="45"/>
  <c r="P21" i="45"/>
  <c r="P20" i="45"/>
  <c r="P19" i="45"/>
  <c r="P18" i="45"/>
  <c r="P17" i="45"/>
  <c r="P16" i="45"/>
  <c r="P15" i="45"/>
  <c r="P14" i="45"/>
  <c r="P13" i="45"/>
  <c r="P12" i="45"/>
  <c r="P11" i="45"/>
  <c r="P10" i="45"/>
  <c r="P9" i="45"/>
  <c r="P8" i="45"/>
  <c r="P7" i="45"/>
  <c r="P6" i="45"/>
  <c r="P5" i="45"/>
  <c r="P4" i="45"/>
  <c r="P1" i="45"/>
  <c r="P89" i="44"/>
  <c r="P88" i="44"/>
  <c r="P87" i="44"/>
  <c r="P86" i="44"/>
  <c r="P85" i="44"/>
  <c r="P84" i="44"/>
  <c r="P83" i="44"/>
  <c r="P82" i="44"/>
  <c r="P81" i="44"/>
  <c r="P80" i="44"/>
  <c r="P79" i="44"/>
  <c r="P78" i="44"/>
  <c r="P77" i="44"/>
  <c r="P76" i="44"/>
  <c r="P75" i="44"/>
  <c r="P74" i="44"/>
  <c r="P73" i="44"/>
  <c r="P72" i="44"/>
  <c r="P71" i="44"/>
  <c r="P70" i="44"/>
  <c r="P69" i="44"/>
  <c r="P68" i="44"/>
  <c r="P67" i="44"/>
  <c r="P66" i="44"/>
  <c r="P65" i="44"/>
  <c r="P64" i="44"/>
  <c r="P63" i="44"/>
  <c r="P62" i="44"/>
  <c r="P61" i="44"/>
  <c r="P60" i="44"/>
  <c r="P59" i="44"/>
  <c r="P58" i="44"/>
  <c r="P57" i="44"/>
  <c r="P56" i="44"/>
  <c r="P55" i="44"/>
  <c r="P54" i="44"/>
  <c r="P53" i="44"/>
  <c r="P52" i="44"/>
  <c r="P51" i="44"/>
  <c r="P50" i="44"/>
  <c r="P49" i="44"/>
  <c r="P48" i="44"/>
  <c r="P47" i="44"/>
  <c r="P46" i="44"/>
  <c r="P45" i="44"/>
  <c r="P44" i="44"/>
  <c r="P43" i="44"/>
  <c r="P42" i="44"/>
  <c r="P41" i="44"/>
  <c r="P40" i="44"/>
  <c r="P39" i="44"/>
  <c r="P38" i="44"/>
  <c r="P37" i="44"/>
  <c r="P36" i="44"/>
  <c r="P35" i="44"/>
  <c r="P34" i="44"/>
  <c r="P33" i="44"/>
  <c r="P32" i="44"/>
  <c r="P31" i="44"/>
  <c r="P30" i="44"/>
  <c r="P29" i="44"/>
  <c r="P28" i="44"/>
  <c r="P27" i="44"/>
  <c r="P26" i="44"/>
  <c r="P25" i="44"/>
  <c r="P24" i="44"/>
  <c r="P23" i="44"/>
  <c r="P22" i="44"/>
  <c r="P21" i="44"/>
  <c r="P20" i="44"/>
  <c r="P19" i="44"/>
  <c r="P18" i="44"/>
  <c r="P17" i="44"/>
  <c r="P16" i="44"/>
  <c r="P15" i="44"/>
  <c r="P14" i="44"/>
  <c r="P13" i="44"/>
  <c r="P12" i="44"/>
  <c r="P11" i="44"/>
  <c r="P10" i="44"/>
  <c r="P9" i="44"/>
  <c r="P8" i="44"/>
  <c r="P7" i="44"/>
  <c r="P6" i="44"/>
  <c r="P5" i="44"/>
  <c r="P4" i="44"/>
  <c r="P1" i="44"/>
  <c r="P84" i="43"/>
  <c r="P16" i="43"/>
  <c r="P89" i="43"/>
  <c r="P88" i="43"/>
  <c r="P87" i="43"/>
  <c r="P86" i="43"/>
  <c r="P85" i="43"/>
  <c r="P83" i="43"/>
  <c r="P82" i="43"/>
  <c r="P81" i="43"/>
  <c r="P80" i="43"/>
  <c r="P79" i="43"/>
  <c r="P78" i="43"/>
  <c r="P77" i="43"/>
  <c r="P76" i="43"/>
  <c r="P75" i="43"/>
  <c r="P74" i="43"/>
  <c r="P73" i="43"/>
  <c r="P72" i="43"/>
  <c r="P71" i="43"/>
  <c r="P70" i="43"/>
  <c r="P69" i="43"/>
  <c r="P68" i="43"/>
  <c r="P67" i="43"/>
  <c r="P66" i="43"/>
  <c r="P65" i="43"/>
  <c r="P64" i="43"/>
  <c r="P63" i="43"/>
  <c r="P62" i="43"/>
  <c r="P61" i="43"/>
  <c r="P60" i="43"/>
  <c r="P59" i="43"/>
  <c r="P58" i="43"/>
  <c r="P57" i="43"/>
  <c r="P56" i="43"/>
  <c r="P55" i="43"/>
  <c r="P54" i="43"/>
  <c r="P53" i="43"/>
  <c r="P52" i="43"/>
  <c r="P51" i="43"/>
  <c r="P50" i="43"/>
  <c r="P49" i="43"/>
  <c r="P48" i="43"/>
  <c r="P47" i="43"/>
  <c r="P46" i="43"/>
  <c r="P45" i="43"/>
  <c r="P44" i="43"/>
  <c r="P43" i="43"/>
  <c r="P42" i="43"/>
  <c r="P41" i="43"/>
  <c r="P40" i="43"/>
  <c r="P39" i="43"/>
  <c r="P38" i="43"/>
  <c r="P37" i="43"/>
  <c r="P36" i="43"/>
  <c r="P35" i="43"/>
  <c r="P34" i="43"/>
  <c r="P33" i="43"/>
  <c r="P32" i="43"/>
  <c r="P31" i="43"/>
  <c r="P30" i="43"/>
  <c r="P29" i="43"/>
  <c r="P28" i="43"/>
  <c r="P27" i="43"/>
  <c r="P26" i="43"/>
  <c r="P25" i="43"/>
  <c r="P24" i="43"/>
  <c r="P23" i="43"/>
  <c r="P22" i="43"/>
  <c r="P21" i="43"/>
  <c r="P20" i="43"/>
  <c r="P19" i="43"/>
  <c r="P18" i="43"/>
  <c r="P17" i="43"/>
  <c r="P15" i="43"/>
  <c r="P14" i="43"/>
  <c r="P13" i="43"/>
  <c r="P12" i="43"/>
  <c r="P11" i="43"/>
  <c r="P10" i="43"/>
  <c r="P9" i="43"/>
  <c r="P8" i="43"/>
  <c r="P7" i="43"/>
  <c r="P6" i="43"/>
  <c r="P5" i="43"/>
  <c r="P4" i="43"/>
  <c r="P1" i="43"/>
  <c r="P89" i="42" l="1"/>
  <c r="P88" i="42"/>
  <c r="P87" i="42"/>
  <c r="P86" i="42"/>
  <c r="P85" i="42"/>
  <c r="P84" i="42"/>
  <c r="P83" i="42"/>
  <c r="P82" i="42"/>
  <c r="P81" i="42"/>
  <c r="P80" i="42"/>
  <c r="P79" i="42"/>
  <c r="P78" i="42"/>
  <c r="P77" i="42"/>
  <c r="P76" i="42"/>
  <c r="P75" i="42"/>
  <c r="P74" i="42"/>
  <c r="P73" i="42"/>
  <c r="P72" i="42"/>
  <c r="P71" i="42"/>
  <c r="P70" i="42"/>
  <c r="P69" i="42"/>
  <c r="P68" i="42"/>
  <c r="P67" i="42"/>
  <c r="P66" i="42"/>
  <c r="P65" i="42"/>
  <c r="P64" i="42"/>
  <c r="P63" i="42"/>
  <c r="P62" i="42"/>
  <c r="P61" i="42"/>
  <c r="P60" i="42"/>
  <c r="P59" i="42"/>
  <c r="P58" i="42"/>
  <c r="P57" i="42"/>
  <c r="P56" i="42"/>
  <c r="P55" i="42"/>
  <c r="P54" i="42"/>
  <c r="P53" i="42"/>
  <c r="P52" i="42"/>
  <c r="P51" i="42"/>
  <c r="P50" i="42"/>
  <c r="P49" i="42"/>
  <c r="P48" i="42"/>
  <c r="P47" i="42"/>
  <c r="P46" i="42"/>
  <c r="P45" i="42"/>
  <c r="P44" i="42"/>
  <c r="P43" i="42"/>
  <c r="P42" i="42"/>
  <c r="P41" i="42"/>
  <c r="P40" i="42"/>
  <c r="P39" i="42"/>
  <c r="P38" i="42"/>
  <c r="P37" i="42"/>
  <c r="P36" i="42"/>
  <c r="P35" i="42"/>
  <c r="P34" i="42"/>
  <c r="P33" i="42"/>
  <c r="P32" i="42"/>
  <c r="P31" i="42"/>
  <c r="P30" i="42"/>
  <c r="P29" i="42"/>
  <c r="P28" i="42"/>
  <c r="P27" i="42"/>
  <c r="P26" i="42"/>
  <c r="P25" i="42"/>
  <c r="P24" i="42"/>
  <c r="P23" i="42"/>
  <c r="P22" i="42"/>
  <c r="P21" i="42"/>
  <c r="P20" i="42"/>
  <c r="P19" i="42"/>
  <c r="P18" i="42"/>
  <c r="P17" i="42"/>
  <c r="P16" i="42"/>
  <c r="P15" i="42"/>
  <c r="P14" i="42"/>
  <c r="P13" i="42"/>
  <c r="P12" i="42"/>
  <c r="P11" i="42"/>
  <c r="P10" i="42"/>
  <c r="P9" i="42"/>
  <c r="P8" i="42"/>
  <c r="P7" i="42"/>
  <c r="P6" i="42"/>
  <c r="P5" i="42"/>
  <c r="P4" i="42"/>
  <c r="P1" i="42"/>
  <c r="P89" i="41" l="1"/>
  <c r="P88" i="41"/>
  <c r="P87" i="41"/>
  <c r="P86" i="41"/>
  <c r="P85" i="41"/>
  <c r="P84" i="41"/>
  <c r="P83" i="41"/>
  <c r="P82" i="41"/>
  <c r="P81" i="41"/>
  <c r="P80" i="41"/>
  <c r="P79" i="41"/>
  <c r="P78" i="41"/>
  <c r="P77" i="41"/>
  <c r="P76" i="41"/>
  <c r="P75" i="41"/>
  <c r="P74" i="41"/>
  <c r="P73" i="41"/>
  <c r="P72" i="41"/>
  <c r="P71" i="41"/>
  <c r="P70" i="41"/>
  <c r="P69" i="41"/>
  <c r="P68" i="41"/>
  <c r="P67" i="41"/>
  <c r="P66" i="41"/>
  <c r="P65" i="41"/>
  <c r="P64" i="41"/>
  <c r="P63" i="41"/>
  <c r="P62" i="41"/>
  <c r="P61" i="41"/>
  <c r="P60" i="41"/>
  <c r="P59" i="41"/>
  <c r="P58" i="41"/>
  <c r="P57" i="41"/>
  <c r="P56" i="41"/>
  <c r="P55" i="41"/>
  <c r="P54" i="41"/>
  <c r="P53" i="41"/>
  <c r="P52" i="41"/>
  <c r="P51" i="41"/>
  <c r="P50" i="41"/>
  <c r="P49" i="41"/>
  <c r="P48" i="41"/>
  <c r="P47" i="41"/>
  <c r="P46" i="41"/>
  <c r="P45" i="41"/>
  <c r="P44" i="41"/>
  <c r="P43" i="41"/>
  <c r="P42" i="41"/>
  <c r="P41" i="41"/>
  <c r="P40" i="41"/>
  <c r="P39" i="41"/>
  <c r="P38" i="41"/>
  <c r="P37" i="41"/>
  <c r="P36" i="41"/>
  <c r="P35" i="41"/>
  <c r="P34" i="41"/>
  <c r="P33" i="41"/>
  <c r="P32" i="41"/>
  <c r="P31" i="41"/>
  <c r="P30" i="41"/>
  <c r="P29" i="41"/>
  <c r="P28" i="41"/>
  <c r="P27" i="41"/>
  <c r="P26" i="41"/>
  <c r="P25" i="41"/>
  <c r="P24" i="41"/>
  <c r="P23" i="41"/>
  <c r="P22" i="41"/>
  <c r="P21" i="41"/>
  <c r="P20" i="41"/>
  <c r="P19" i="41"/>
  <c r="P18" i="41"/>
  <c r="P17" i="41"/>
  <c r="P16" i="41"/>
  <c r="P15" i="41"/>
  <c r="P14" i="41"/>
  <c r="P13" i="41"/>
  <c r="P12" i="41"/>
  <c r="P11" i="41"/>
  <c r="P10" i="41"/>
  <c r="P9" i="41"/>
  <c r="P8" i="41"/>
  <c r="P7" i="41"/>
  <c r="P6" i="41"/>
  <c r="P5" i="41"/>
  <c r="P4" i="41"/>
  <c r="P1" i="41"/>
  <c r="P89" i="40" l="1"/>
  <c r="P88" i="40"/>
  <c r="P87" i="40"/>
  <c r="P86" i="40"/>
  <c r="P85" i="40"/>
  <c r="P84" i="40"/>
  <c r="P83" i="40"/>
  <c r="P82" i="40"/>
  <c r="P81" i="40"/>
  <c r="P80" i="40"/>
  <c r="P79" i="40"/>
  <c r="P78" i="40"/>
  <c r="P77" i="40"/>
  <c r="P76" i="40"/>
  <c r="P75" i="40"/>
  <c r="P74" i="40"/>
  <c r="P73" i="40"/>
  <c r="P72" i="40"/>
  <c r="P71" i="40"/>
  <c r="P70" i="40"/>
  <c r="P69" i="40"/>
  <c r="P68" i="40"/>
  <c r="P67" i="40"/>
  <c r="P66" i="40"/>
  <c r="P65" i="40"/>
  <c r="P64" i="40"/>
  <c r="P63" i="40"/>
  <c r="P62" i="40"/>
  <c r="P61" i="40"/>
  <c r="P60" i="40"/>
  <c r="P59" i="40"/>
  <c r="P58" i="40"/>
  <c r="P57" i="40"/>
  <c r="P56" i="40"/>
  <c r="P55" i="40"/>
  <c r="P54" i="40"/>
  <c r="P53" i="40"/>
  <c r="P52" i="40"/>
  <c r="P51" i="40"/>
  <c r="P50" i="40"/>
  <c r="P49" i="40"/>
  <c r="P48" i="40"/>
  <c r="P47" i="40"/>
  <c r="P46" i="40"/>
  <c r="P45" i="40"/>
  <c r="P44" i="40"/>
  <c r="P43" i="40"/>
  <c r="P42" i="40"/>
  <c r="P41" i="40"/>
  <c r="P40" i="40"/>
  <c r="P39" i="40"/>
  <c r="P38" i="40"/>
  <c r="P37" i="40"/>
  <c r="P36" i="40"/>
  <c r="P34" i="40"/>
  <c r="P33" i="40"/>
  <c r="P32" i="40"/>
  <c r="P31" i="40"/>
  <c r="P30" i="40"/>
  <c r="P29" i="40"/>
  <c r="P28" i="40"/>
  <c r="P27" i="40"/>
  <c r="P26" i="40"/>
  <c r="P25" i="40"/>
  <c r="P24" i="40"/>
  <c r="P23" i="40"/>
  <c r="P22" i="40"/>
  <c r="P21" i="40"/>
  <c r="P20" i="40"/>
  <c r="P19" i="40"/>
  <c r="P18" i="40"/>
  <c r="P17" i="40"/>
  <c r="P16" i="40"/>
  <c r="P15" i="40"/>
  <c r="P14" i="40"/>
  <c r="P13" i="40"/>
  <c r="P12" i="40"/>
  <c r="P11" i="40"/>
  <c r="P10" i="40"/>
  <c r="P9" i="40"/>
  <c r="P8" i="40"/>
  <c r="P7" i="40"/>
  <c r="P6" i="40"/>
  <c r="P5" i="40"/>
  <c r="P4" i="40"/>
  <c r="P1" i="40"/>
  <c r="P89" i="39" l="1"/>
  <c r="P88" i="39"/>
  <c r="P87" i="39"/>
  <c r="P86" i="39"/>
  <c r="P85" i="39"/>
  <c r="P84" i="39"/>
  <c r="P83" i="39"/>
  <c r="P82" i="39"/>
  <c r="P81" i="39"/>
  <c r="P80" i="39"/>
  <c r="P79" i="39"/>
  <c r="P78" i="39"/>
  <c r="P77" i="39"/>
  <c r="P76" i="39"/>
  <c r="P75" i="39"/>
  <c r="P74" i="39"/>
  <c r="P73" i="39"/>
  <c r="P72" i="39"/>
  <c r="P71" i="39"/>
  <c r="P70" i="39"/>
  <c r="P69" i="39"/>
  <c r="P68" i="39"/>
  <c r="P67" i="39"/>
  <c r="P66" i="39"/>
  <c r="P65" i="39"/>
  <c r="P64" i="39"/>
  <c r="P63" i="39"/>
  <c r="P62" i="39"/>
  <c r="P61" i="39"/>
  <c r="P60" i="39"/>
  <c r="P59" i="39"/>
  <c r="P58" i="39"/>
  <c r="P57" i="39"/>
  <c r="P56" i="39"/>
  <c r="P55" i="39"/>
  <c r="P54" i="39"/>
  <c r="P53" i="39"/>
  <c r="P52" i="39"/>
  <c r="P51" i="39"/>
  <c r="P50" i="39"/>
  <c r="P49" i="39"/>
  <c r="P48" i="39"/>
  <c r="P47" i="39"/>
  <c r="P46" i="39"/>
  <c r="P45" i="39"/>
  <c r="P44" i="39"/>
  <c r="P43" i="39"/>
  <c r="P42" i="39"/>
  <c r="P41" i="39"/>
  <c r="P40" i="39"/>
  <c r="P39" i="39"/>
  <c r="P38" i="39"/>
  <c r="P37" i="39"/>
  <c r="P36" i="39"/>
  <c r="P34" i="39"/>
  <c r="P33" i="39"/>
  <c r="P32" i="39"/>
  <c r="P31" i="39"/>
  <c r="P30" i="39"/>
  <c r="P29" i="39"/>
  <c r="P28" i="39"/>
  <c r="P27" i="39"/>
  <c r="P26" i="39"/>
  <c r="P25" i="39"/>
  <c r="P24" i="39"/>
  <c r="P23" i="39"/>
  <c r="P22" i="39"/>
  <c r="P21" i="39"/>
  <c r="P20" i="39"/>
  <c r="P19" i="39"/>
  <c r="P18" i="39"/>
  <c r="P17" i="39"/>
  <c r="P16" i="39"/>
  <c r="P15" i="39"/>
  <c r="P14" i="39"/>
  <c r="P13" i="39"/>
  <c r="P12" i="39"/>
  <c r="P11" i="39"/>
  <c r="P10" i="39"/>
  <c r="P9" i="39"/>
  <c r="P8" i="39"/>
  <c r="P7" i="39"/>
  <c r="P6" i="39"/>
  <c r="P5" i="39"/>
  <c r="P4" i="39"/>
  <c r="P1" i="39"/>
  <c r="P89" i="38" l="1"/>
  <c r="P88" i="38"/>
  <c r="P87" i="38"/>
  <c r="P86" i="38"/>
  <c r="P85" i="38"/>
  <c r="P84" i="38"/>
  <c r="P83" i="38"/>
  <c r="P82" i="38"/>
  <c r="P81" i="38"/>
  <c r="P80" i="38"/>
  <c r="P79" i="38"/>
  <c r="P78" i="38"/>
  <c r="P77" i="38"/>
  <c r="P76" i="38"/>
  <c r="P75" i="38"/>
  <c r="P74" i="38"/>
  <c r="P73" i="38"/>
  <c r="P72" i="38"/>
  <c r="P71" i="38"/>
  <c r="P70" i="38"/>
  <c r="P69" i="38"/>
  <c r="P68" i="38"/>
  <c r="P67" i="38"/>
  <c r="P66" i="38"/>
  <c r="P65" i="38"/>
  <c r="P64" i="38"/>
  <c r="P63" i="38"/>
  <c r="P62" i="38"/>
  <c r="P61" i="38"/>
  <c r="P60" i="38"/>
  <c r="P59" i="38"/>
  <c r="P58" i="38"/>
  <c r="P57" i="38"/>
  <c r="P56" i="38"/>
  <c r="P55" i="38"/>
  <c r="P54" i="38"/>
  <c r="P53" i="38"/>
  <c r="P52" i="38"/>
  <c r="P51" i="38"/>
  <c r="P50" i="38"/>
  <c r="P49" i="38"/>
  <c r="P48" i="38"/>
  <c r="P47" i="38"/>
  <c r="P46" i="38"/>
  <c r="P45" i="38"/>
  <c r="P44" i="38"/>
  <c r="P43" i="38"/>
  <c r="P42" i="38"/>
  <c r="P41" i="38"/>
  <c r="P40" i="38"/>
  <c r="P39" i="38"/>
  <c r="P38" i="38"/>
  <c r="P37" i="38"/>
  <c r="P36" i="38"/>
  <c r="P34" i="38"/>
  <c r="P33" i="38"/>
  <c r="P32" i="38"/>
  <c r="P31" i="38"/>
  <c r="P30" i="38"/>
  <c r="P29" i="38"/>
  <c r="P28" i="38"/>
  <c r="P27" i="38"/>
  <c r="P26" i="38"/>
  <c r="P25" i="38"/>
  <c r="P24" i="38"/>
  <c r="P23" i="38"/>
  <c r="P22" i="38"/>
  <c r="P21" i="38"/>
  <c r="P20" i="38"/>
  <c r="P19" i="38"/>
  <c r="P18" i="38"/>
  <c r="P17" i="38"/>
  <c r="P16" i="38"/>
  <c r="P15" i="38"/>
  <c r="P14" i="38"/>
  <c r="P13" i="38"/>
  <c r="P12" i="38"/>
  <c r="P11" i="38"/>
  <c r="P10" i="38"/>
  <c r="P9" i="38"/>
  <c r="P8" i="38"/>
  <c r="P7" i="38"/>
  <c r="P6" i="38"/>
  <c r="P5" i="38"/>
  <c r="P4" i="38"/>
  <c r="P1" i="38"/>
  <c r="P89" i="37" l="1"/>
  <c r="P88" i="37"/>
  <c r="P87" i="37"/>
  <c r="P86" i="37"/>
  <c r="P85" i="37"/>
  <c r="P84" i="37"/>
  <c r="P83" i="37"/>
  <c r="P82" i="37"/>
  <c r="P81" i="37"/>
  <c r="P80" i="37"/>
  <c r="P79" i="37"/>
  <c r="P78" i="37"/>
  <c r="P77" i="37"/>
  <c r="P76" i="37"/>
  <c r="P75" i="37"/>
  <c r="P74" i="37"/>
  <c r="P73" i="37"/>
  <c r="P72" i="37"/>
  <c r="P71" i="37"/>
  <c r="P70" i="37"/>
  <c r="P69" i="37"/>
  <c r="P68" i="37"/>
  <c r="P67" i="37"/>
  <c r="P66" i="37"/>
  <c r="P65" i="37"/>
  <c r="P64" i="37"/>
  <c r="P63" i="37"/>
  <c r="P62" i="37"/>
  <c r="P61" i="37"/>
  <c r="P60" i="37"/>
  <c r="P59" i="37"/>
  <c r="P58" i="37"/>
  <c r="P57" i="37"/>
  <c r="P56" i="37"/>
  <c r="P55" i="37"/>
  <c r="P54" i="37"/>
  <c r="P53" i="37"/>
  <c r="P52" i="37"/>
  <c r="P51" i="37"/>
  <c r="P50" i="37"/>
  <c r="P49" i="37"/>
  <c r="P48" i="37"/>
  <c r="P47" i="37"/>
  <c r="P46" i="37"/>
  <c r="P45" i="37"/>
  <c r="P44" i="37"/>
  <c r="P43" i="37"/>
  <c r="P42" i="37"/>
  <c r="P41" i="37"/>
  <c r="P40" i="37"/>
  <c r="P39" i="37"/>
  <c r="P38" i="37"/>
  <c r="P37" i="37"/>
  <c r="P36" i="37"/>
  <c r="P34" i="37"/>
  <c r="P33" i="37"/>
  <c r="P32" i="37"/>
  <c r="P31" i="37"/>
  <c r="P30" i="37"/>
  <c r="P29" i="37"/>
  <c r="P28" i="37"/>
  <c r="P27" i="37"/>
  <c r="P26" i="37"/>
  <c r="P25" i="37"/>
  <c r="P24" i="37"/>
  <c r="P23" i="37"/>
  <c r="P22" i="37"/>
  <c r="P21" i="37"/>
  <c r="P20" i="37"/>
  <c r="P19" i="37"/>
  <c r="P18" i="37"/>
  <c r="P17" i="37"/>
  <c r="P16" i="37"/>
  <c r="P15" i="37"/>
  <c r="P14" i="37"/>
  <c r="P13" i="37"/>
  <c r="P12" i="37"/>
  <c r="P11" i="37"/>
  <c r="P10" i="37"/>
  <c r="P9" i="37"/>
  <c r="P8" i="37"/>
  <c r="P7" i="37"/>
  <c r="P6" i="37"/>
  <c r="P5" i="37"/>
  <c r="P4" i="37"/>
  <c r="P1" i="37"/>
  <c r="P89" i="36" l="1"/>
  <c r="P88" i="36"/>
  <c r="P87" i="36"/>
  <c r="P86" i="36"/>
  <c r="P85" i="36"/>
  <c r="P84" i="36"/>
  <c r="P83" i="36"/>
  <c r="P82" i="36"/>
  <c r="P81" i="36"/>
  <c r="P80" i="36"/>
  <c r="P79" i="36"/>
  <c r="P78" i="36"/>
  <c r="P77" i="36"/>
  <c r="P76" i="36"/>
  <c r="P75" i="36"/>
  <c r="P74" i="36"/>
  <c r="P73" i="36"/>
  <c r="P72" i="36"/>
  <c r="P71" i="36"/>
  <c r="P70" i="36"/>
  <c r="P69" i="36"/>
  <c r="P68" i="36"/>
  <c r="P67" i="36"/>
  <c r="P66" i="36"/>
  <c r="P65" i="36"/>
  <c r="P64" i="36"/>
  <c r="P63" i="36"/>
  <c r="P62" i="36"/>
  <c r="P61" i="36"/>
  <c r="P60" i="36"/>
  <c r="P59" i="36"/>
  <c r="P58" i="36"/>
  <c r="P57" i="36"/>
  <c r="P56" i="36"/>
  <c r="P55" i="36"/>
  <c r="P54" i="36"/>
  <c r="P53" i="36"/>
  <c r="P52" i="36"/>
  <c r="P51" i="36"/>
  <c r="P50" i="36"/>
  <c r="P49" i="36"/>
  <c r="P48" i="36"/>
  <c r="P47" i="36"/>
  <c r="P46" i="36"/>
  <c r="P45" i="36"/>
  <c r="P44" i="36"/>
  <c r="P43" i="36"/>
  <c r="P42" i="36"/>
  <c r="P41" i="36"/>
  <c r="P40" i="36"/>
  <c r="P39" i="36"/>
  <c r="P38" i="36"/>
  <c r="P37" i="36"/>
  <c r="P36" i="36"/>
  <c r="P34" i="36"/>
  <c r="P33" i="36"/>
  <c r="P32" i="36"/>
  <c r="P31" i="36"/>
  <c r="P30" i="36"/>
  <c r="P29" i="36"/>
  <c r="P28" i="36"/>
  <c r="P27" i="36"/>
  <c r="P26" i="36"/>
  <c r="P25" i="36"/>
  <c r="P24" i="36"/>
  <c r="P23" i="36"/>
  <c r="P22" i="36"/>
  <c r="P21" i="36"/>
  <c r="P20" i="36"/>
  <c r="P19" i="36"/>
  <c r="P18" i="36"/>
  <c r="P17" i="36"/>
  <c r="P16" i="36"/>
  <c r="P15" i="36"/>
  <c r="P14" i="36"/>
  <c r="P13" i="36"/>
  <c r="P12" i="36"/>
  <c r="P11" i="36"/>
  <c r="P10" i="36"/>
  <c r="P9" i="36"/>
  <c r="P8" i="36"/>
  <c r="P7" i="36"/>
  <c r="P6" i="36"/>
  <c r="P5" i="36"/>
  <c r="P4" i="36"/>
  <c r="P1" i="36"/>
  <c r="P89" i="35" l="1"/>
  <c r="P88" i="35"/>
  <c r="P87" i="35"/>
  <c r="P86" i="35"/>
  <c r="P85" i="35"/>
  <c r="P84" i="35"/>
  <c r="P83" i="35"/>
  <c r="P82" i="35"/>
  <c r="P81" i="35"/>
  <c r="P80" i="35"/>
  <c r="P79" i="35"/>
  <c r="P78" i="35"/>
  <c r="P77" i="35"/>
  <c r="P76" i="35"/>
  <c r="P75" i="35"/>
  <c r="P74" i="35"/>
  <c r="P73" i="35"/>
  <c r="P72" i="35"/>
  <c r="P71" i="35"/>
  <c r="P70" i="35"/>
  <c r="P69" i="35"/>
  <c r="P68" i="35"/>
  <c r="P67" i="35"/>
  <c r="P66" i="35"/>
  <c r="P65" i="35"/>
  <c r="P64" i="35"/>
  <c r="P63" i="35"/>
  <c r="P62" i="35"/>
  <c r="P61" i="35"/>
  <c r="P60" i="35"/>
  <c r="P59" i="35"/>
  <c r="P58" i="35"/>
  <c r="P57" i="35"/>
  <c r="P56" i="35"/>
  <c r="P55" i="35"/>
  <c r="P54" i="35"/>
  <c r="P53" i="35"/>
  <c r="P52" i="35"/>
  <c r="P51" i="35"/>
  <c r="P50" i="35"/>
  <c r="P49" i="35"/>
  <c r="P48" i="35"/>
  <c r="P47" i="35"/>
  <c r="P46" i="35"/>
  <c r="P45" i="35"/>
  <c r="P44" i="35"/>
  <c r="P43" i="35"/>
  <c r="P42" i="35"/>
  <c r="P41" i="35"/>
  <c r="P40" i="35"/>
  <c r="P39" i="35"/>
  <c r="P38" i="35"/>
  <c r="P37" i="35"/>
  <c r="P36" i="35"/>
  <c r="P34" i="35"/>
  <c r="P33" i="35"/>
  <c r="P32" i="35"/>
  <c r="P31" i="35"/>
  <c r="P30" i="35"/>
  <c r="P29" i="35"/>
  <c r="P28" i="35"/>
  <c r="P27" i="35"/>
  <c r="P26" i="35"/>
  <c r="P25" i="35"/>
  <c r="P24" i="35"/>
  <c r="P23" i="35"/>
  <c r="P22" i="35"/>
  <c r="P21" i="35"/>
  <c r="P20" i="35"/>
  <c r="P19" i="35"/>
  <c r="P18" i="35"/>
  <c r="P17" i="35"/>
  <c r="P16" i="35"/>
  <c r="P15" i="35"/>
  <c r="P14" i="35"/>
  <c r="P13" i="35"/>
  <c r="P12" i="35"/>
  <c r="P11" i="35"/>
  <c r="P10" i="35"/>
  <c r="P9" i="35"/>
  <c r="P8" i="35"/>
  <c r="P7" i="35"/>
  <c r="P6" i="35"/>
  <c r="P5" i="35"/>
  <c r="P4" i="35"/>
  <c r="P1" i="35"/>
  <c r="P89" i="34" l="1"/>
  <c r="P88" i="34"/>
  <c r="P87" i="34"/>
  <c r="P86" i="34"/>
  <c r="P85" i="34"/>
  <c r="P84" i="34"/>
  <c r="P83" i="34"/>
  <c r="P82" i="34"/>
  <c r="P81" i="34"/>
  <c r="P80" i="34"/>
  <c r="P79" i="34"/>
  <c r="P78" i="34"/>
  <c r="P77" i="34"/>
  <c r="P76" i="34"/>
  <c r="P75" i="34"/>
  <c r="P74" i="34"/>
  <c r="P73" i="34"/>
  <c r="P72" i="34"/>
  <c r="P71" i="34"/>
  <c r="P70" i="34"/>
  <c r="P69" i="34"/>
  <c r="P68" i="34"/>
  <c r="P67" i="34"/>
  <c r="P66" i="34"/>
  <c r="P65" i="34"/>
  <c r="P64" i="34"/>
  <c r="P63" i="34"/>
  <c r="P62" i="34"/>
  <c r="P61" i="34"/>
  <c r="P60" i="34"/>
  <c r="P59" i="34"/>
  <c r="P58" i="34"/>
  <c r="P57" i="34"/>
  <c r="P56" i="34"/>
  <c r="P55" i="34"/>
  <c r="P54" i="34"/>
  <c r="P53" i="34"/>
  <c r="P52" i="34"/>
  <c r="P51" i="34"/>
  <c r="P50" i="34"/>
  <c r="P49" i="34"/>
  <c r="P48" i="34"/>
  <c r="P47" i="34"/>
  <c r="P46" i="34"/>
  <c r="P45" i="34"/>
  <c r="P44" i="34"/>
  <c r="P43" i="34"/>
  <c r="P42" i="34"/>
  <c r="P41" i="34"/>
  <c r="P40" i="34"/>
  <c r="P39" i="34"/>
  <c r="P38" i="34"/>
  <c r="P37" i="34"/>
  <c r="P36" i="34"/>
  <c r="P34" i="34"/>
  <c r="P33" i="34"/>
  <c r="P32" i="34"/>
  <c r="P31" i="34"/>
  <c r="P30" i="34"/>
  <c r="P29" i="34"/>
  <c r="P28" i="34"/>
  <c r="P27" i="34"/>
  <c r="P26" i="34"/>
  <c r="P25" i="34"/>
  <c r="P24" i="34"/>
  <c r="P23" i="34"/>
  <c r="P22" i="34"/>
  <c r="P21" i="34"/>
  <c r="P20" i="34"/>
  <c r="P19" i="34"/>
  <c r="P18" i="34"/>
  <c r="P17" i="34"/>
  <c r="P16" i="34"/>
  <c r="P15" i="34"/>
  <c r="P14" i="34"/>
  <c r="P13" i="34"/>
  <c r="P12" i="34"/>
  <c r="P11" i="34"/>
  <c r="P10" i="34"/>
  <c r="P9" i="34"/>
  <c r="P8" i="34"/>
  <c r="P7" i="34"/>
  <c r="P6" i="34"/>
  <c r="P5" i="34"/>
  <c r="P4" i="34"/>
  <c r="P1" i="34"/>
  <c r="P89" i="32" l="1"/>
  <c r="P88" i="32"/>
  <c r="P87" i="32"/>
  <c r="P86" i="32"/>
  <c r="P85" i="32"/>
  <c r="P84" i="32"/>
  <c r="P83" i="32"/>
  <c r="P82" i="32"/>
  <c r="P81" i="32"/>
  <c r="P80" i="32"/>
  <c r="P79" i="32"/>
  <c r="P78" i="32"/>
  <c r="P77" i="32"/>
  <c r="P76" i="32"/>
  <c r="P75" i="32"/>
  <c r="P74" i="32"/>
  <c r="P73" i="32"/>
  <c r="P72" i="32"/>
  <c r="P71" i="32"/>
  <c r="P70" i="32"/>
  <c r="P69" i="32"/>
  <c r="P68" i="32"/>
  <c r="P67" i="32"/>
  <c r="P66" i="32"/>
  <c r="P65" i="32"/>
  <c r="P64" i="32"/>
  <c r="P63" i="32"/>
  <c r="P62" i="32"/>
  <c r="P61" i="32"/>
  <c r="P60" i="32"/>
  <c r="P59" i="32"/>
  <c r="P58" i="32"/>
  <c r="P57" i="32"/>
  <c r="P56" i="32"/>
  <c r="P55" i="32"/>
  <c r="P54" i="32"/>
  <c r="P53" i="32"/>
  <c r="P52" i="32"/>
  <c r="P51" i="32"/>
  <c r="P50" i="32"/>
  <c r="P49" i="32"/>
  <c r="P48" i="32"/>
  <c r="P47" i="32"/>
  <c r="P46" i="32"/>
  <c r="P45" i="32"/>
  <c r="P44" i="32"/>
  <c r="P43" i="32"/>
  <c r="P42" i="32"/>
  <c r="P41" i="32"/>
  <c r="P40" i="32"/>
  <c r="P39" i="32"/>
  <c r="P38" i="32"/>
  <c r="P37" i="32"/>
  <c r="P36" i="32"/>
  <c r="P34" i="32"/>
  <c r="P33" i="32"/>
  <c r="P32" i="32"/>
  <c r="P31" i="32"/>
  <c r="P30" i="32"/>
  <c r="P29" i="32"/>
  <c r="P28" i="32"/>
  <c r="P27" i="32"/>
  <c r="P26" i="32"/>
  <c r="P25" i="32"/>
  <c r="P24" i="32"/>
  <c r="P23" i="32"/>
  <c r="P22" i="32"/>
  <c r="P21" i="32"/>
  <c r="P20" i="32"/>
  <c r="P19" i="32"/>
  <c r="P18" i="32"/>
  <c r="P17" i="32"/>
  <c r="P16" i="32"/>
  <c r="P15" i="32"/>
  <c r="P14" i="32"/>
  <c r="P13" i="32"/>
  <c r="P12" i="32"/>
  <c r="P11" i="32"/>
  <c r="P10" i="32"/>
  <c r="P9" i="32"/>
  <c r="P8" i="32"/>
  <c r="P7" i="32"/>
  <c r="P6" i="32"/>
  <c r="P5" i="32"/>
  <c r="P4" i="32"/>
  <c r="P1" i="32"/>
  <c r="P89" i="31" l="1"/>
  <c r="P88" i="31"/>
  <c r="P87" i="31"/>
  <c r="P86" i="31"/>
  <c r="P85" i="31"/>
  <c r="P84" i="31"/>
  <c r="P83" i="31"/>
  <c r="P82" i="31"/>
  <c r="P81" i="31"/>
  <c r="P80" i="31"/>
  <c r="P79" i="31"/>
  <c r="P78" i="31"/>
  <c r="P77" i="31"/>
  <c r="P76" i="31"/>
  <c r="P75" i="31"/>
  <c r="P74" i="31"/>
  <c r="P73" i="31"/>
  <c r="P72" i="31"/>
  <c r="P71" i="31"/>
  <c r="P70" i="31"/>
  <c r="P69" i="31"/>
  <c r="P68" i="31"/>
  <c r="P67" i="31"/>
  <c r="P66" i="31"/>
  <c r="P65" i="31"/>
  <c r="P64" i="31"/>
  <c r="P63" i="31"/>
  <c r="P62" i="31"/>
  <c r="P61" i="31"/>
  <c r="P60" i="31"/>
  <c r="P59" i="31"/>
  <c r="P58" i="31"/>
  <c r="P57" i="31"/>
  <c r="P56" i="31"/>
  <c r="P55" i="31"/>
  <c r="P54" i="31"/>
  <c r="P53" i="31"/>
  <c r="P52" i="31"/>
  <c r="P51" i="31"/>
  <c r="P50" i="31"/>
  <c r="P49" i="31"/>
  <c r="P48" i="31"/>
  <c r="P47" i="31"/>
  <c r="P46" i="31"/>
  <c r="P45" i="31"/>
  <c r="P44" i="31"/>
  <c r="P43" i="31"/>
  <c r="P42" i="31"/>
  <c r="P41" i="31"/>
  <c r="P40" i="31"/>
  <c r="P39" i="31"/>
  <c r="P38" i="31"/>
  <c r="P37" i="31"/>
  <c r="P36" i="31"/>
  <c r="P34" i="31"/>
  <c r="P33" i="31"/>
  <c r="P32" i="31"/>
  <c r="P31" i="31"/>
  <c r="P30" i="31"/>
  <c r="P29" i="31"/>
  <c r="P28" i="31"/>
  <c r="P27" i="31"/>
  <c r="P26" i="31"/>
  <c r="P25" i="31"/>
  <c r="P24" i="31"/>
  <c r="P23" i="31"/>
  <c r="P22" i="31"/>
  <c r="P21" i="31"/>
  <c r="P20" i="31"/>
  <c r="P19" i="31"/>
  <c r="P18" i="31"/>
  <c r="P17" i="31"/>
  <c r="P16" i="31"/>
  <c r="P15" i="31"/>
  <c r="P14" i="31"/>
  <c r="P13" i="31"/>
  <c r="P12" i="31"/>
  <c r="P11" i="31"/>
  <c r="P10" i="31"/>
  <c r="P9" i="31"/>
  <c r="P8" i="31"/>
  <c r="P7" i="31"/>
  <c r="P6" i="31"/>
  <c r="P5" i="31"/>
  <c r="P4" i="31"/>
  <c r="P1" i="31"/>
  <c r="P89" i="30" l="1"/>
  <c r="P88" i="30"/>
  <c r="P87" i="30"/>
  <c r="P86" i="30"/>
  <c r="P85" i="30"/>
  <c r="P84" i="30"/>
  <c r="P83" i="30"/>
  <c r="P82" i="30"/>
  <c r="P81" i="30"/>
  <c r="P80" i="30"/>
  <c r="P79" i="30"/>
  <c r="P78" i="30"/>
  <c r="P77" i="30"/>
  <c r="P76" i="30"/>
  <c r="P75" i="30"/>
  <c r="P74" i="30"/>
  <c r="P73" i="30"/>
  <c r="P72" i="30"/>
  <c r="P71" i="30"/>
  <c r="P70" i="30"/>
  <c r="P69" i="30"/>
  <c r="P68" i="30"/>
  <c r="P67" i="30"/>
  <c r="P66" i="30"/>
  <c r="P65" i="30"/>
  <c r="P64" i="30"/>
  <c r="P63" i="30"/>
  <c r="P62" i="30"/>
  <c r="P61" i="30"/>
  <c r="P60" i="30"/>
  <c r="P59" i="30"/>
  <c r="P58" i="30"/>
  <c r="P57" i="30"/>
  <c r="P56" i="30"/>
  <c r="P55" i="30"/>
  <c r="P54" i="30"/>
  <c r="P53" i="30"/>
  <c r="P52" i="30"/>
  <c r="P51" i="30"/>
  <c r="P50" i="30"/>
  <c r="P49" i="30"/>
  <c r="P48" i="30"/>
  <c r="P47" i="30"/>
  <c r="P46" i="30"/>
  <c r="P45" i="30"/>
  <c r="P44" i="30"/>
  <c r="P43" i="30"/>
  <c r="P42" i="30"/>
  <c r="P41" i="30"/>
  <c r="P40" i="30"/>
  <c r="P39" i="30"/>
  <c r="P38" i="30"/>
  <c r="P37" i="30"/>
  <c r="P36" i="30"/>
  <c r="P34" i="30"/>
  <c r="P33" i="30"/>
  <c r="P32" i="30"/>
  <c r="P31" i="30"/>
  <c r="P30" i="30"/>
  <c r="P29" i="30"/>
  <c r="P28" i="30"/>
  <c r="P27" i="30"/>
  <c r="P26" i="30"/>
  <c r="P25" i="30"/>
  <c r="P24" i="30"/>
  <c r="P23" i="30"/>
  <c r="P22" i="30"/>
  <c r="P21" i="30"/>
  <c r="P20" i="30"/>
  <c r="P19" i="30"/>
  <c r="P18" i="30"/>
  <c r="P17" i="30"/>
  <c r="P16" i="30"/>
  <c r="P15" i="30"/>
  <c r="P14" i="30"/>
  <c r="P13" i="30"/>
  <c r="P12" i="30"/>
  <c r="P11" i="30"/>
  <c r="P10" i="30"/>
  <c r="P9" i="30"/>
  <c r="P8" i="30"/>
  <c r="P7" i="30"/>
  <c r="P6" i="30"/>
  <c r="P5" i="30"/>
  <c r="P4" i="30"/>
  <c r="P1" i="30"/>
  <c r="P89" i="29" l="1"/>
  <c r="P88" i="29"/>
  <c r="P87" i="29"/>
  <c r="P86" i="29"/>
  <c r="P85" i="29"/>
  <c r="P84" i="29"/>
  <c r="P83" i="29"/>
  <c r="P82" i="29"/>
  <c r="P81" i="29"/>
  <c r="P80" i="29"/>
  <c r="P79" i="29"/>
  <c r="P78" i="29"/>
  <c r="P77" i="29"/>
  <c r="P76" i="29"/>
  <c r="P75" i="29"/>
  <c r="P74" i="29"/>
  <c r="P73" i="29"/>
  <c r="P72" i="29"/>
  <c r="P71" i="29"/>
  <c r="P70" i="29"/>
  <c r="P69" i="29"/>
  <c r="P68" i="29"/>
  <c r="P67" i="29"/>
  <c r="P66" i="29"/>
  <c r="P65" i="29"/>
  <c r="P64" i="29"/>
  <c r="P63" i="29"/>
  <c r="P62" i="29"/>
  <c r="P61" i="29"/>
  <c r="P60" i="29"/>
  <c r="P59" i="29"/>
  <c r="P58" i="29"/>
  <c r="P57" i="29"/>
  <c r="P56" i="29"/>
  <c r="P55" i="29"/>
  <c r="P54" i="29"/>
  <c r="P53" i="29"/>
  <c r="P52" i="29"/>
  <c r="P51" i="29"/>
  <c r="P50" i="29"/>
  <c r="P49" i="29"/>
  <c r="P48" i="29"/>
  <c r="P47" i="29"/>
  <c r="P46" i="29"/>
  <c r="P45" i="29"/>
  <c r="P44" i="29"/>
  <c r="P43" i="29"/>
  <c r="P42" i="29"/>
  <c r="P41" i="29"/>
  <c r="P40" i="29"/>
  <c r="P39" i="29"/>
  <c r="P38" i="29"/>
  <c r="P37" i="29"/>
  <c r="P36" i="29"/>
  <c r="P34" i="29"/>
  <c r="P33" i="29"/>
  <c r="P32" i="29"/>
  <c r="P31" i="29"/>
  <c r="P30" i="29"/>
  <c r="P29" i="29"/>
  <c r="P28" i="29"/>
  <c r="P27" i="29"/>
  <c r="P26" i="29"/>
  <c r="P25" i="29"/>
  <c r="P24" i="29"/>
  <c r="P23" i="29"/>
  <c r="P22" i="29"/>
  <c r="P21" i="29"/>
  <c r="P20" i="29"/>
  <c r="P19" i="29"/>
  <c r="P18" i="29"/>
  <c r="P17" i="29"/>
  <c r="P16" i="29"/>
  <c r="P15" i="29"/>
  <c r="P14" i="29"/>
  <c r="P13" i="29"/>
  <c r="P12" i="29"/>
  <c r="P11" i="29"/>
  <c r="P10" i="29"/>
  <c r="P9" i="29"/>
  <c r="P8" i="29"/>
  <c r="P7" i="29"/>
  <c r="P6" i="29"/>
  <c r="P5" i="29"/>
  <c r="P4" i="29"/>
  <c r="P1" i="29"/>
  <c r="P89" i="28" l="1"/>
  <c r="P88" i="28"/>
  <c r="P87" i="28"/>
  <c r="P86" i="28"/>
  <c r="P85" i="28"/>
  <c r="P84" i="28"/>
  <c r="P83" i="28"/>
  <c r="P82" i="28"/>
  <c r="P81" i="28"/>
  <c r="P80" i="28"/>
  <c r="P79" i="28"/>
  <c r="P78" i="28"/>
  <c r="P77" i="28"/>
  <c r="P76" i="28"/>
  <c r="P75" i="28"/>
  <c r="P74" i="28"/>
  <c r="P73" i="28"/>
  <c r="P72" i="28"/>
  <c r="P71" i="28"/>
  <c r="P70" i="28"/>
  <c r="P69" i="28"/>
  <c r="P68" i="28"/>
  <c r="P67" i="28"/>
  <c r="P66" i="28"/>
  <c r="P65" i="28"/>
  <c r="P64" i="28"/>
  <c r="P63" i="28"/>
  <c r="P62" i="28"/>
  <c r="P61" i="28"/>
  <c r="P60" i="28"/>
  <c r="P59" i="28"/>
  <c r="P58" i="28"/>
  <c r="P57" i="28"/>
  <c r="P56" i="28"/>
  <c r="P55" i="28"/>
  <c r="P54" i="28"/>
  <c r="P53" i="28"/>
  <c r="P52" i="28"/>
  <c r="P51" i="28"/>
  <c r="P50" i="28"/>
  <c r="P49" i="28"/>
  <c r="P48" i="28"/>
  <c r="P47" i="28"/>
  <c r="P46" i="28"/>
  <c r="P45" i="28"/>
  <c r="P44" i="28"/>
  <c r="P43" i="28"/>
  <c r="P42" i="28"/>
  <c r="P41" i="28"/>
  <c r="P40" i="28"/>
  <c r="P39" i="28"/>
  <c r="P38" i="28"/>
  <c r="P37" i="28"/>
  <c r="P36" i="28"/>
  <c r="P34" i="28"/>
  <c r="P33" i="28"/>
  <c r="P32" i="28"/>
  <c r="P31" i="28"/>
  <c r="P30" i="28"/>
  <c r="P29" i="28"/>
  <c r="P28" i="28"/>
  <c r="P27" i="28"/>
  <c r="P26" i="28"/>
  <c r="P25" i="28"/>
  <c r="P24" i="28"/>
  <c r="P23" i="28"/>
  <c r="P22" i="28"/>
  <c r="P21" i="28"/>
  <c r="P20" i="28"/>
  <c r="P19" i="28"/>
  <c r="P18" i="28"/>
  <c r="P17" i="28"/>
  <c r="P16" i="28"/>
  <c r="P15" i="28"/>
  <c r="P14" i="28"/>
  <c r="P13" i="28"/>
  <c r="P12" i="28"/>
  <c r="P11" i="28"/>
  <c r="P10" i="28"/>
  <c r="P9" i="28"/>
  <c r="P8" i="28"/>
  <c r="P7" i="28"/>
  <c r="P6" i="28"/>
  <c r="P5" i="28"/>
  <c r="P4" i="28"/>
  <c r="P1" i="28"/>
  <c r="P89" i="26" l="1"/>
  <c r="P88" i="26"/>
  <c r="P87" i="26"/>
  <c r="P86" i="26"/>
  <c r="P85" i="26"/>
  <c r="P84" i="26"/>
  <c r="P83" i="26"/>
  <c r="P82" i="26"/>
  <c r="P81" i="26"/>
  <c r="P80" i="26"/>
  <c r="P79" i="26"/>
  <c r="P78" i="26"/>
  <c r="P77" i="26"/>
  <c r="P76" i="26"/>
  <c r="P75" i="26"/>
  <c r="P74" i="26"/>
  <c r="P73" i="26"/>
  <c r="P72" i="26"/>
  <c r="P71" i="26"/>
  <c r="P70" i="26"/>
  <c r="P69" i="26"/>
  <c r="P68" i="26"/>
  <c r="P67" i="26"/>
  <c r="P66" i="26"/>
  <c r="P65" i="26"/>
  <c r="P64" i="26"/>
  <c r="P63" i="26"/>
  <c r="P62" i="26"/>
  <c r="P61" i="26"/>
  <c r="P60" i="26"/>
  <c r="P59" i="26"/>
  <c r="P58" i="26"/>
  <c r="P57" i="26"/>
  <c r="P56" i="26"/>
  <c r="P55" i="26"/>
  <c r="P54" i="26"/>
  <c r="P53" i="26"/>
  <c r="P52" i="26"/>
  <c r="P51" i="26"/>
  <c r="P50" i="26"/>
  <c r="P49" i="26"/>
  <c r="P48" i="26"/>
  <c r="P47" i="26"/>
  <c r="P46" i="26"/>
  <c r="P45" i="26"/>
  <c r="P44" i="26"/>
  <c r="P43" i="26"/>
  <c r="P42" i="26"/>
  <c r="P41" i="26"/>
  <c r="P40" i="26"/>
  <c r="P39" i="26"/>
  <c r="P38" i="26"/>
  <c r="P37" i="26"/>
  <c r="P36" i="26"/>
  <c r="P34" i="26"/>
  <c r="P33" i="26"/>
  <c r="P32" i="26"/>
  <c r="P31" i="26"/>
  <c r="P30" i="26"/>
  <c r="P29" i="26"/>
  <c r="P28" i="26"/>
  <c r="P27" i="26"/>
  <c r="P26" i="26"/>
  <c r="P25" i="26"/>
  <c r="P24" i="26"/>
  <c r="P23" i="26"/>
  <c r="P22" i="26"/>
  <c r="P21" i="26"/>
  <c r="P20" i="26"/>
  <c r="P19" i="26"/>
  <c r="P18" i="26"/>
  <c r="P17" i="26"/>
  <c r="P16" i="26"/>
  <c r="P15" i="26"/>
  <c r="P14" i="26"/>
  <c r="P13" i="26"/>
  <c r="P12" i="26"/>
  <c r="P11" i="26"/>
  <c r="P10" i="26"/>
  <c r="P9" i="26"/>
  <c r="P8" i="26"/>
  <c r="P7" i="26"/>
  <c r="P6" i="26"/>
  <c r="P5" i="26"/>
  <c r="P4" i="26"/>
  <c r="P1" i="26"/>
  <c r="P89" i="25" l="1"/>
  <c r="P88" i="25"/>
  <c r="P87" i="25"/>
  <c r="P86" i="25"/>
  <c r="P85" i="25"/>
  <c r="P84" i="25"/>
  <c r="P83" i="25"/>
  <c r="P82" i="25"/>
  <c r="P81" i="25"/>
  <c r="P80" i="25"/>
  <c r="P79" i="25"/>
  <c r="P78" i="25"/>
  <c r="P77" i="25"/>
  <c r="P76" i="25"/>
  <c r="P75" i="25"/>
  <c r="P74" i="25"/>
  <c r="P73" i="25"/>
  <c r="P72" i="25"/>
  <c r="P71" i="25"/>
  <c r="P70" i="25"/>
  <c r="P69" i="25"/>
  <c r="P68" i="25"/>
  <c r="P67" i="25"/>
  <c r="P66" i="25"/>
  <c r="P65" i="25"/>
  <c r="P64" i="25"/>
  <c r="P63" i="25"/>
  <c r="P62" i="25"/>
  <c r="P61" i="25"/>
  <c r="P60" i="25"/>
  <c r="P59" i="25"/>
  <c r="P58" i="25"/>
  <c r="P57" i="25"/>
  <c r="P56" i="25"/>
  <c r="P55" i="25"/>
  <c r="P54" i="25"/>
  <c r="P53" i="25"/>
  <c r="P52" i="25"/>
  <c r="P51" i="25"/>
  <c r="P50" i="25"/>
  <c r="P49" i="25"/>
  <c r="P48" i="25"/>
  <c r="P47" i="25"/>
  <c r="P46" i="25"/>
  <c r="P45" i="25"/>
  <c r="P44" i="25"/>
  <c r="P43" i="25"/>
  <c r="P42" i="25"/>
  <c r="P41" i="25"/>
  <c r="P40" i="25"/>
  <c r="P39" i="25"/>
  <c r="P38" i="25"/>
  <c r="P37" i="25"/>
  <c r="P36" i="25"/>
  <c r="P34" i="25"/>
  <c r="P33" i="25"/>
  <c r="P32" i="25"/>
  <c r="P31" i="25"/>
  <c r="P30" i="25"/>
  <c r="P29" i="25"/>
  <c r="P28" i="25"/>
  <c r="P27" i="25"/>
  <c r="P26" i="25"/>
  <c r="P25" i="25"/>
  <c r="P24" i="25"/>
  <c r="P23" i="25"/>
  <c r="P22" i="25"/>
  <c r="P21" i="25"/>
  <c r="P20" i="25"/>
  <c r="P19" i="25"/>
  <c r="P18" i="25"/>
  <c r="P17" i="25"/>
  <c r="P16" i="25"/>
  <c r="P15" i="25"/>
  <c r="P14" i="25"/>
  <c r="P13" i="25"/>
  <c r="P12" i="25"/>
  <c r="P11" i="25"/>
  <c r="P10" i="25"/>
  <c r="P9" i="25"/>
  <c r="P8" i="25"/>
  <c r="P7" i="25"/>
  <c r="P6" i="25"/>
  <c r="P5" i="25"/>
  <c r="P4" i="25"/>
  <c r="P1" i="25"/>
  <c r="P89" i="24" l="1"/>
  <c r="P88" i="24"/>
  <c r="P87" i="24"/>
  <c r="P86" i="24"/>
  <c r="P85" i="24"/>
  <c r="P84" i="24"/>
  <c r="P83" i="24"/>
  <c r="P82" i="24"/>
  <c r="P81" i="24"/>
  <c r="P80" i="24"/>
  <c r="P79" i="24"/>
  <c r="P78" i="24"/>
  <c r="P77" i="24"/>
  <c r="P76" i="24"/>
  <c r="P75" i="24"/>
  <c r="P74" i="24"/>
  <c r="P72" i="24"/>
  <c r="P71" i="24"/>
  <c r="P70" i="24"/>
  <c r="P69" i="24"/>
  <c r="P68" i="24"/>
  <c r="P67" i="24"/>
  <c r="P66" i="24"/>
  <c r="P65" i="24"/>
  <c r="P64" i="24"/>
  <c r="P63" i="24"/>
  <c r="P62" i="24"/>
  <c r="P61" i="24"/>
  <c r="P60" i="24"/>
  <c r="P59" i="24"/>
  <c r="P58" i="24"/>
  <c r="P57" i="24"/>
  <c r="P56" i="24"/>
  <c r="P55" i="24"/>
  <c r="P54" i="24"/>
  <c r="P53" i="24"/>
  <c r="P52" i="24"/>
  <c r="P51" i="24"/>
  <c r="P50" i="24"/>
  <c r="P49" i="24"/>
  <c r="P48" i="24"/>
  <c r="P47" i="24"/>
  <c r="P46" i="24"/>
  <c r="P45" i="24"/>
  <c r="P44" i="24"/>
  <c r="P43" i="24"/>
  <c r="P42" i="24"/>
  <c r="P41" i="24"/>
  <c r="P40" i="24"/>
  <c r="P39" i="24"/>
  <c r="P38" i="24"/>
  <c r="P37" i="24"/>
  <c r="P36" i="24"/>
  <c r="P34" i="24"/>
  <c r="P33" i="24"/>
  <c r="P32" i="24"/>
  <c r="P31" i="24"/>
  <c r="P30" i="24"/>
  <c r="P29" i="24"/>
  <c r="P28" i="24"/>
  <c r="P27" i="24"/>
  <c r="P26" i="24"/>
  <c r="P25" i="24"/>
  <c r="P24" i="24"/>
  <c r="P23" i="24"/>
  <c r="P22" i="24"/>
  <c r="P21" i="24"/>
  <c r="P20" i="24"/>
  <c r="P19" i="24"/>
  <c r="P18" i="24"/>
  <c r="P17" i="24"/>
  <c r="P16" i="24"/>
  <c r="P15" i="24"/>
  <c r="P14" i="24"/>
  <c r="P13" i="24"/>
  <c r="P12" i="24"/>
  <c r="P11" i="24"/>
  <c r="P10" i="24"/>
  <c r="P9" i="24"/>
  <c r="P8" i="24"/>
  <c r="P7" i="24"/>
  <c r="P6" i="24"/>
  <c r="P5" i="24"/>
  <c r="P4" i="24"/>
  <c r="P1" i="24"/>
  <c r="P89" i="23" l="1"/>
  <c r="P88" i="23"/>
  <c r="P87" i="23"/>
  <c r="P86" i="23"/>
  <c r="P85" i="23"/>
  <c r="P84" i="23"/>
  <c r="P83" i="23"/>
  <c r="P82" i="23"/>
  <c r="P81" i="23"/>
  <c r="P80" i="23"/>
  <c r="P79" i="23"/>
  <c r="P78" i="23"/>
  <c r="P77" i="23"/>
  <c r="P76" i="23"/>
  <c r="P75" i="23"/>
  <c r="P74" i="23"/>
  <c r="P71" i="23"/>
  <c r="P70" i="23"/>
  <c r="P69" i="23"/>
  <c r="P68" i="23"/>
  <c r="P67" i="23"/>
  <c r="P66" i="23"/>
  <c r="P65" i="23"/>
  <c r="P64" i="23"/>
  <c r="P63" i="23"/>
  <c r="P62" i="23"/>
  <c r="P61" i="23"/>
  <c r="P60" i="23"/>
  <c r="P59" i="23"/>
  <c r="P58" i="23"/>
  <c r="P57" i="23"/>
  <c r="P56" i="23"/>
  <c r="P55" i="23"/>
  <c r="P54" i="23"/>
  <c r="P53" i="23"/>
  <c r="P52" i="23"/>
  <c r="P51" i="23"/>
  <c r="P50" i="23"/>
  <c r="P49" i="23"/>
  <c r="P48" i="23"/>
  <c r="P47" i="23"/>
  <c r="P46" i="23"/>
  <c r="P45" i="23"/>
  <c r="P44" i="23"/>
  <c r="P43" i="23"/>
  <c r="P42" i="23"/>
  <c r="P41" i="23"/>
  <c r="P40" i="23"/>
  <c r="P39" i="23"/>
  <c r="P38" i="23"/>
  <c r="P37" i="23"/>
  <c r="P36" i="23"/>
  <c r="P34" i="23"/>
  <c r="P33" i="23"/>
  <c r="P32" i="23"/>
  <c r="P31" i="23"/>
  <c r="P30" i="23"/>
  <c r="P29" i="23"/>
  <c r="P28" i="23"/>
  <c r="P27" i="23"/>
  <c r="P26" i="23"/>
  <c r="P25" i="23"/>
  <c r="P24" i="23"/>
  <c r="P22" i="23"/>
  <c r="P21" i="23"/>
  <c r="P20" i="23"/>
  <c r="P19" i="23"/>
  <c r="P18" i="23"/>
  <c r="P17" i="23"/>
  <c r="P16" i="23"/>
  <c r="P15" i="23"/>
  <c r="P14" i="23"/>
  <c r="P13" i="23"/>
  <c r="P12" i="23"/>
  <c r="P11" i="23"/>
  <c r="P10" i="23"/>
  <c r="P9" i="23"/>
  <c r="P8" i="23"/>
  <c r="P7" i="23"/>
  <c r="P6" i="23"/>
  <c r="P5" i="23"/>
  <c r="P4" i="23"/>
  <c r="P1" i="23"/>
  <c r="P89" i="22" l="1"/>
  <c r="P88" i="22"/>
  <c r="P87" i="22"/>
  <c r="P86" i="22"/>
  <c r="P85" i="22"/>
  <c r="P84" i="22"/>
  <c r="P83" i="22"/>
  <c r="P82" i="22"/>
  <c r="P81" i="22"/>
  <c r="P80" i="22"/>
  <c r="P79" i="22"/>
  <c r="P78" i="22"/>
  <c r="P77" i="22"/>
  <c r="P76" i="22"/>
  <c r="P75" i="22"/>
  <c r="P74" i="22"/>
  <c r="P71" i="22"/>
  <c r="P70" i="22"/>
  <c r="P69" i="22"/>
  <c r="P68" i="22"/>
  <c r="P67" i="22"/>
  <c r="P66" i="22"/>
  <c r="P65" i="22"/>
  <c r="P64" i="22"/>
  <c r="P63" i="22"/>
  <c r="P62" i="22"/>
  <c r="P61" i="22"/>
  <c r="P60" i="22"/>
  <c r="P59" i="22"/>
  <c r="P58" i="22"/>
  <c r="P57" i="22"/>
  <c r="P56" i="22"/>
  <c r="P55" i="22"/>
  <c r="P54" i="22"/>
  <c r="P53" i="22"/>
  <c r="P52" i="22"/>
  <c r="P51" i="22"/>
  <c r="P50" i="22"/>
  <c r="P49" i="22"/>
  <c r="P48" i="22"/>
  <c r="P47" i="22"/>
  <c r="P46" i="22"/>
  <c r="P45" i="22"/>
  <c r="P44" i="22"/>
  <c r="P43" i="22"/>
  <c r="P42" i="22"/>
  <c r="P41" i="22"/>
  <c r="P40" i="22"/>
  <c r="P39" i="22"/>
  <c r="P38" i="22"/>
  <c r="P37" i="22"/>
  <c r="P36" i="22"/>
  <c r="P34" i="22"/>
  <c r="P33" i="22"/>
  <c r="P32" i="22"/>
  <c r="P31" i="22"/>
  <c r="P30" i="22"/>
  <c r="P29" i="22"/>
  <c r="P28" i="22"/>
  <c r="P27" i="22"/>
  <c r="P26" i="22"/>
  <c r="P25" i="22"/>
  <c r="P24" i="22"/>
  <c r="P22" i="22"/>
  <c r="P21" i="22"/>
  <c r="P20" i="22"/>
  <c r="P19" i="22"/>
  <c r="P18" i="22"/>
  <c r="P17" i="22"/>
  <c r="P16" i="22"/>
  <c r="P15" i="22"/>
  <c r="P14" i="22"/>
  <c r="P13" i="22"/>
  <c r="P12" i="22"/>
  <c r="P11" i="22"/>
  <c r="P10" i="22"/>
  <c r="P9" i="22"/>
  <c r="P8" i="22"/>
  <c r="P7" i="22"/>
  <c r="P6" i="22"/>
  <c r="P5" i="22"/>
  <c r="P4" i="22"/>
  <c r="P1" i="22"/>
  <c r="P89" i="21" l="1"/>
  <c r="P88" i="21"/>
  <c r="P87" i="21"/>
  <c r="P86" i="21"/>
  <c r="P85" i="21"/>
  <c r="P84" i="21"/>
  <c r="P83" i="21"/>
  <c r="P82" i="21"/>
  <c r="P81" i="21"/>
  <c r="P80" i="21"/>
  <c r="P79" i="21"/>
  <c r="P78" i="21"/>
  <c r="P77" i="21"/>
  <c r="P76" i="21"/>
  <c r="P75" i="21"/>
  <c r="P74" i="21"/>
  <c r="P71" i="21"/>
  <c r="P70" i="21"/>
  <c r="P69" i="21"/>
  <c r="P68" i="21"/>
  <c r="P67" i="21"/>
  <c r="P66" i="21"/>
  <c r="P65" i="21"/>
  <c r="P64" i="21"/>
  <c r="P63" i="21"/>
  <c r="P62" i="21"/>
  <c r="P61" i="21"/>
  <c r="P60" i="21"/>
  <c r="P59" i="21"/>
  <c r="P58" i="21"/>
  <c r="P57" i="21"/>
  <c r="P56" i="21"/>
  <c r="P55" i="21"/>
  <c r="P54" i="21"/>
  <c r="P53" i="21"/>
  <c r="P52" i="21"/>
  <c r="P51" i="21"/>
  <c r="P50" i="21"/>
  <c r="P49" i="21"/>
  <c r="P48" i="21"/>
  <c r="P47" i="21"/>
  <c r="P46" i="21"/>
  <c r="P45" i="21"/>
  <c r="P44" i="21"/>
  <c r="P43" i="21"/>
  <c r="P42" i="21"/>
  <c r="P41" i="21"/>
  <c r="P40" i="21"/>
  <c r="P39" i="21"/>
  <c r="P38" i="21"/>
  <c r="P37" i="21"/>
  <c r="P36" i="21"/>
  <c r="P34" i="21"/>
  <c r="P33" i="21"/>
  <c r="P32" i="21"/>
  <c r="P31" i="21"/>
  <c r="P30" i="21"/>
  <c r="P29" i="21"/>
  <c r="P28" i="21"/>
  <c r="P27" i="21"/>
  <c r="P26" i="21"/>
  <c r="P25" i="21"/>
  <c r="P24" i="21"/>
  <c r="P22" i="21"/>
  <c r="P21" i="21"/>
  <c r="P20" i="21"/>
  <c r="P19" i="21"/>
  <c r="P18" i="21"/>
  <c r="P17" i="21"/>
  <c r="P16" i="21"/>
  <c r="P15" i="21"/>
  <c r="P14" i="21"/>
  <c r="P13" i="21"/>
  <c r="P12" i="21"/>
  <c r="P11" i="21"/>
  <c r="P10" i="21"/>
  <c r="P9" i="21"/>
  <c r="P8" i="21"/>
  <c r="P7" i="21"/>
  <c r="P6" i="21"/>
  <c r="P5" i="21"/>
  <c r="P4" i="21"/>
  <c r="P1" i="21"/>
  <c r="P89" i="20" l="1"/>
  <c r="P88" i="20"/>
  <c r="P87" i="20"/>
  <c r="P86" i="20"/>
  <c r="P85" i="20"/>
  <c r="P84" i="20"/>
  <c r="P83" i="20"/>
  <c r="P82" i="20"/>
  <c r="P81" i="20"/>
  <c r="P80" i="20"/>
  <c r="P79" i="20"/>
  <c r="P78" i="20"/>
  <c r="P77" i="20"/>
  <c r="P76" i="20"/>
  <c r="P75" i="20"/>
  <c r="P74" i="20"/>
  <c r="P71" i="20"/>
  <c r="P70" i="20"/>
  <c r="P69" i="20"/>
  <c r="P68" i="20"/>
  <c r="P67" i="20"/>
  <c r="P66" i="20"/>
  <c r="P65" i="20"/>
  <c r="P64" i="20"/>
  <c r="P63" i="20"/>
  <c r="P62" i="20"/>
  <c r="P61" i="20"/>
  <c r="P60" i="20"/>
  <c r="P59" i="20"/>
  <c r="P58" i="20"/>
  <c r="P57" i="20"/>
  <c r="P56" i="20"/>
  <c r="P55" i="20"/>
  <c r="P54" i="20"/>
  <c r="P53" i="20"/>
  <c r="P52" i="20"/>
  <c r="P51" i="20"/>
  <c r="P50" i="20"/>
  <c r="P49" i="20"/>
  <c r="P48" i="20"/>
  <c r="P47" i="20"/>
  <c r="P46" i="20"/>
  <c r="P45" i="20"/>
  <c r="P44" i="20"/>
  <c r="P43" i="20"/>
  <c r="P42" i="20"/>
  <c r="P41" i="20"/>
  <c r="P40" i="20"/>
  <c r="P39" i="20"/>
  <c r="P38" i="20"/>
  <c r="P37" i="20"/>
  <c r="P36" i="20"/>
  <c r="P34" i="20"/>
  <c r="P33" i="20"/>
  <c r="P32" i="20"/>
  <c r="P31" i="20"/>
  <c r="P30" i="20"/>
  <c r="P29" i="20"/>
  <c r="P28" i="20"/>
  <c r="P27" i="20"/>
  <c r="P26" i="20"/>
  <c r="P25" i="20"/>
  <c r="P24" i="20"/>
  <c r="P22" i="20"/>
  <c r="P21" i="20"/>
  <c r="P20" i="20"/>
  <c r="P19" i="20"/>
  <c r="P18" i="20"/>
  <c r="P17" i="20"/>
  <c r="P16" i="20"/>
  <c r="P15" i="20"/>
  <c r="P14" i="20"/>
  <c r="P13" i="20"/>
  <c r="P12" i="20"/>
  <c r="P11" i="20"/>
  <c r="P10" i="20"/>
  <c r="P9" i="20"/>
  <c r="P8" i="20"/>
  <c r="P7" i="20"/>
  <c r="P6" i="20"/>
  <c r="P5" i="20"/>
  <c r="P4" i="20"/>
  <c r="P1" i="20"/>
  <c r="P89" i="19" l="1"/>
  <c r="P88" i="19" l="1"/>
  <c r="P87" i="19"/>
  <c r="P86" i="19"/>
  <c r="P85" i="19"/>
  <c r="P84" i="19"/>
  <c r="P83" i="19"/>
  <c r="P82" i="19"/>
  <c r="P81" i="19"/>
  <c r="P80" i="19"/>
  <c r="P79" i="19"/>
  <c r="P78" i="19"/>
  <c r="P77" i="19"/>
  <c r="P76" i="19"/>
  <c r="P75" i="19"/>
  <c r="P74" i="19"/>
  <c r="P71" i="19"/>
  <c r="P70" i="19"/>
  <c r="P69" i="19"/>
  <c r="P68" i="19"/>
  <c r="P67" i="19"/>
  <c r="P66" i="19"/>
  <c r="P65" i="19"/>
  <c r="P64" i="19"/>
  <c r="P63" i="19"/>
  <c r="P62" i="19"/>
  <c r="P61" i="19"/>
  <c r="P60" i="19"/>
  <c r="P59" i="19"/>
  <c r="P58" i="19"/>
  <c r="P57" i="19"/>
  <c r="P56" i="19"/>
  <c r="P55" i="19"/>
  <c r="P54" i="19"/>
  <c r="P53" i="19"/>
  <c r="P52" i="19"/>
  <c r="P51" i="19"/>
  <c r="P50" i="19"/>
  <c r="P49" i="19"/>
  <c r="P48" i="19"/>
  <c r="P47" i="19"/>
  <c r="P46" i="19"/>
  <c r="P45" i="19"/>
  <c r="P44" i="19"/>
  <c r="P43" i="19"/>
  <c r="P42" i="19"/>
  <c r="P41" i="19"/>
  <c r="P40" i="19"/>
  <c r="P39" i="19"/>
  <c r="P38" i="19"/>
  <c r="P37" i="19"/>
  <c r="P36" i="19"/>
  <c r="P34" i="19"/>
  <c r="P33" i="19"/>
  <c r="P32" i="19"/>
  <c r="P31" i="19"/>
  <c r="P30" i="19"/>
  <c r="P29" i="19"/>
  <c r="P28" i="19"/>
  <c r="P27" i="19"/>
  <c r="P26" i="19"/>
  <c r="P25" i="19"/>
  <c r="P24" i="19"/>
  <c r="P22" i="19"/>
  <c r="P21" i="19"/>
  <c r="P20" i="19"/>
  <c r="P19" i="19"/>
  <c r="P18" i="19"/>
  <c r="P17" i="19"/>
  <c r="P16" i="19"/>
  <c r="P15" i="19"/>
  <c r="P14" i="19"/>
  <c r="P13" i="19"/>
  <c r="P12" i="19"/>
  <c r="P11" i="19"/>
  <c r="P10" i="19"/>
  <c r="P9" i="19"/>
  <c r="P8" i="19"/>
  <c r="P7" i="19"/>
  <c r="P6" i="19"/>
  <c r="P5" i="19"/>
  <c r="P4" i="19"/>
  <c r="P1" i="19"/>
  <c r="P88" i="18" l="1"/>
  <c r="P87" i="18"/>
  <c r="P86" i="18"/>
  <c r="P85" i="18"/>
  <c r="P84" i="18"/>
  <c r="P83" i="18"/>
  <c r="P82" i="18"/>
  <c r="P81" i="18"/>
  <c r="P80" i="18"/>
  <c r="P79" i="18"/>
  <c r="P78" i="18"/>
  <c r="P77" i="18"/>
  <c r="P76" i="18"/>
  <c r="P75" i="18"/>
  <c r="P74" i="18"/>
  <c r="P71" i="18"/>
  <c r="P70" i="18"/>
  <c r="P69" i="18"/>
  <c r="P68" i="18"/>
  <c r="P67" i="18"/>
  <c r="P66" i="18"/>
  <c r="P65" i="18"/>
  <c r="P64" i="18"/>
  <c r="P63" i="18"/>
  <c r="P62" i="18"/>
  <c r="P61" i="18"/>
  <c r="P60" i="18"/>
  <c r="P59" i="18"/>
  <c r="P58" i="18"/>
  <c r="P57" i="18"/>
  <c r="P56" i="18"/>
  <c r="P55" i="18"/>
  <c r="P54" i="18"/>
  <c r="P53" i="18"/>
  <c r="P52" i="18"/>
  <c r="P51" i="18"/>
  <c r="P50" i="18"/>
  <c r="P49" i="18"/>
  <c r="P48" i="18"/>
  <c r="P47" i="18"/>
  <c r="P46" i="18"/>
  <c r="P45" i="18"/>
  <c r="P44" i="18"/>
  <c r="P43" i="18"/>
  <c r="P42" i="18"/>
  <c r="P41" i="18"/>
  <c r="P40" i="18"/>
  <c r="P39" i="18"/>
  <c r="P38" i="18"/>
  <c r="P37" i="18"/>
  <c r="P36" i="18"/>
  <c r="P34" i="18"/>
  <c r="P33" i="18"/>
  <c r="P32" i="18"/>
  <c r="P31" i="18"/>
  <c r="P30" i="18"/>
  <c r="P29" i="18"/>
  <c r="P28" i="18"/>
  <c r="P27" i="18"/>
  <c r="P26" i="18"/>
  <c r="P25" i="18"/>
  <c r="P24" i="18"/>
  <c r="P22" i="18"/>
  <c r="P21" i="18"/>
  <c r="P20" i="18"/>
  <c r="P19" i="18"/>
  <c r="P18" i="18"/>
  <c r="P17" i="18"/>
  <c r="P16" i="18"/>
  <c r="P15" i="18"/>
  <c r="P14" i="18"/>
  <c r="P13" i="18"/>
  <c r="P12" i="18"/>
  <c r="P11" i="18"/>
  <c r="P10" i="18"/>
  <c r="P9" i="18"/>
  <c r="P8" i="18"/>
  <c r="P7" i="18"/>
  <c r="P6" i="18"/>
  <c r="P5" i="18"/>
  <c r="P4" i="18"/>
  <c r="P1" i="18"/>
  <c r="P86" i="17" l="1"/>
  <c r="P64" i="17" l="1"/>
  <c r="P27" i="17"/>
  <c r="P29" i="17" l="1"/>
  <c r="P85" i="17" l="1"/>
  <c r="P84" i="17"/>
  <c r="P83" i="17"/>
  <c r="P82" i="17"/>
  <c r="P81" i="17"/>
  <c r="P80" i="17"/>
  <c r="P79" i="17"/>
  <c r="P78" i="17"/>
  <c r="P77" i="17"/>
  <c r="P76" i="17"/>
  <c r="P75" i="17"/>
  <c r="P74" i="17"/>
  <c r="P71" i="17"/>
  <c r="P70" i="17"/>
  <c r="P69" i="17"/>
  <c r="P68" i="17"/>
  <c r="P67" i="17"/>
  <c r="P66" i="17"/>
  <c r="P63" i="17"/>
  <c r="P62" i="17"/>
  <c r="P61" i="17"/>
  <c r="P60" i="17"/>
  <c r="P59" i="17"/>
  <c r="P58" i="17"/>
  <c r="P57" i="17"/>
  <c r="P56" i="17"/>
  <c r="P55" i="17"/>
  <c r="P54" i="17"/>
  <c r="P53" i="17"/>
  <c r="P52" i="17"/>
  <c r="P51" i="17"/>
  <c r="P50" i="17"/>
  <c r="P49" i="17"/>
  <c r="P48" i="17"/>
  <c r="P47" i="17"/>
  <c r="P46" i="17"/>
  <c r="P45" i="17"/>
  <c r="P44" i="17"/>
  <c r="P43" i="17"/>
  <c r="P42" i="17"/>
  <c r="P41" i="17"/>
  <c r="P40" i="17"/>
  <c r="P39" i="17"/>
  <c r="P38" i="17"/>
  <c r="P36" i="17"/>
  <c r="P34" i="17"/>
  <c r="P33" i="17"/>
  <c r="P32" i="17"/>
  <c r="P31" i="17"/>
  <c r="P30" i="17"/>
  <c r="P28" i="17"/>
  <c r="P26" i="17"/>
  <c r="P25" i="17"/>
  <c r="P24" i="17"/>
  <c r="P22" i="17"/>
  <c r="P21" i="17"/>
  <c r="P20" i="17"/>
  <c r="P19" i="17"/>
  <c r="P18" i="17"/>
  <c r="P17" i="17"/>
  <c r="P16" i="17"/>
  <c r="P15" i="17"/>
  <c r="P14" i="17"/>
  <c r="P13" i="17"/>
  <c r="P12" i="17"/>
  <c r="P11" i="17"/>
  <c r="P10" i="17"/>
  <c r="P9" i="17"/>
  <c r="P8" i="17"/>
  <c r="P7" i="17"/>
  <c r="P6" i="17"/>
  <c r="P5" i="17"/>
  <c r="P4" i="17"/>
  <c r="P1" i="17"/>
  <c r="P90" i="16" l="1"/>
  <c r="P89" i="16" l="1"/>
  <c r="P88" i="16" l="1"/>
  <c r="P87" i="16"/>
  <c r="P84" i="16"/>
  <c r="P83" i="16"/>
  <c r="P82" i="16"/>
  <c r="P81" i="16"/>
  <c r="P79" i="16"/>
  <c r="P76" i="16"/>
  <c r="P75" i="16"/>
  <c r="P69" i="16"/>
  <c r="P68" i="16"/>
  <c r="P63" i="16"/>
  <c r="P62" i="16"/>
  <c r="P54" i="16"/>
  <c r="P53" i="16"/>
  <c r="P52" i="16"/>
  <c r="P51" i="16"/>
  <c r="P50" i="16"/>
  <c r="P49" i="16"/>
  <c r="P48" i="16"/>
  <c r="P47" i="16"/>
  <c r="P46" i="16"/>
  <c r="P45" i="16"/>
  <c r="P44" i="16"/>
  <c r="P43" i="16"/>
  <c r="P42" i="16"/>
  <c r="P39" i="16"/>
  <c r="P38" i="16"/>
  <c r="P35" i="16"/>
  <c r="P34" i="16"/>
  <c r="P32" i="16"/>
  <c r="P31" i="16"/>
  <c r="P30" i="16"/>
  <c r="P27" i="16"/>
  <c r="P26" i="16"/>
  <c r="P25" i="16"/>
  <c r="P24" i="16"/>
  <c r="P22" i="16"/>
  <c r="P21" i="16"/>
  <c r="P20" i="16"/>
  <c r="P19" i="16"/>
  <c r="P18" i="16"/>
  <c r="P17" i="16"/>
  <c r="P15" i="16"/>
  <c r="P11" i="16"/>
  <c r="P10" i="16"/>
  <c r="P9" i="16"/>
  <c r="P8" i="16"/>
  <c r="P6" i="16"/>
  <c r="P4" i="16"/>
  <c r="P1" i="16"/>
  <c r="P88" i="15" l="1"/>
  <c r="P87" i="15"/>
  <c r="P84" i="15" l="1"/>
  <c r="P83" i="15"/>
  <c r="P82" i="15"/>
  <c r="P81" i="15"/>
  <c r="P79" i="15"/>
  <c r="P76" i="15"/>
  <c r="P75" i="15"/>
  <c r="P69" i="15"/>
  <c r="P68" i="15"/>
  <c r="P63" i="15"/>
  <c r="P54" i="15"/>
  <c r="P53" i="15"/>
  <c r="P52" i="15"/>
  <c r="P51" i="15"/>
  <c r="P50" i="15"/>
  <c r="P49" i="15"/>
  <c r="P47" i="15"/>
  <c r="P46" i="15"/>
  <c r="P45" i="15"/>
  <c r="P44" i="15"/>
  <c r="P43" i="15"/>
  <c r="P42" i="15"/>
  <c r="P39" i="15"/>
  <c r="P38" i="15"/>
  <c r="P35" i="15"/>
  <c r="P34" i="15"/>
  <c r="P32" i="15"/>
  <c r="P31" i="15"/>
  <c r="P30" i="15"/>
  <c r="P27" i="15"/>
  <c r="P26" i="15"/>
  <c r="P25" i="15"/>
  <c r="P24" i="15"/>
  <c r="P22" i="15"/>
  <c r="P15" i="15"/>
  <c r="P11" i="15"/>
  <c r="P10" i="15"/>
  <c r="P9" i="15"/>
  <c r="P8" i="15"/>
  <c r="P4" i="15"/>
  <c r="P1" i="15"/>
  <c r="P4" i="14" l="1"/>
  <c r="P1" i="14"/>
  <c r="P86" i="13" l="1"/>
  <c r="H86" i="16" l="1"/>
  <c r="P86" i="16" s="1"/>
  <c r="H86" i="15"/>
  <c r="P86" i="15" s="1"/>
  <c r="H86" i="14"/>
  <c r="P86" i="14" s="1"/>
  <c r="P85" i="13"/>
  <c r="P84" i="13"/>
  <c r="H84" i="14" s="1"/>
  <c r="P84" i="14" s="1"/>
  <c r="P83" i="13"/>
  <c r="H83" i="14" s="1"/>
  <c r="P83" i="14" s="1"/>
  <c r="P82" i="13"/>
  <c r="H82" i="14" s="1"/>
  <c r="P82" i="14" s="1"/>
  <c r="P81" i="13"/>
  <c r="H81" i="14" s="1"/>
  <c r="P81" i="14" s="1"/>
  <c r="P79" i="13"/>
  <c r="H79" i="14" s="1"/>
  <c r="P79" i="14" s="1"/>
  <c r="P76" i="13"/>
  <c r="H76" i="14" s="1"/>
  <c r="P76" i="14" s="1"/>
  <c r="P75" i="13"/>
  <c r="H75" i="14" s="1"/>
  <c r="P75" i="14" s="1"/>
  <c r="P74" i="13"/>
  <c r="P73" i="13"/>
  <c r="P71" i="13"/>
  <c r="P69" i="13"/>
  <c r="H69" i="14" s="1"/>
  <c r="P69" i="14" s="1"/>
  <c r="P68" i="13"/>
  <c r="H68" i="14" s="1"/>
  <c r="P68" i="14" s="1"/>
  <c r="P67" i="13"/>
  <c r="P63" i="13"/>
  <c r="H63" i="14" s="1"/>
  <c r="P63" i="14" s="1"/>
  <c r="P61" i="13"/>
  <c r="P55" i="13"/>
  <c r="P54" i="13"/>
  <c r="H54" i="14" s="1"/>
  <c r="P54" i="14" s="1"/>
  <c r="P53" i="13"/>
  <c r="H53" i="14" s="1"/>
  <c r="P53" i="14" s="1"/>
  <c r="P52" i="13"/>
  <c r="H52" i="14" s="1"/>
  <c r="P52" i="14" s="1"/>
  <c r="P51" i="13"/>
  <c r="H51" i="14" s="1"/>
  <c r="P51" i="14" s="1"/>
  <c r="P50" i="13"/>
  <c r="H50" i="14" s="1"/>
  <c r="P50" i="14" s="1"/>
  <c r="P49" i="13"/>
  <c r="H49" i="14" s="1"/>
  <c r="P49" i="14" s="1"/>
  <c r="P47" i="13"/>
  <c r="H47" i="14" s="1"/>
  <c r="P47" i="14" s="1"/>
  <c r="P46" i="13"/>
  <c r="H46" i="14" s="1"/>
  <c r="P46" i="14" s="1"/>
  <c r="P45" i="13"/>
  <c r="H45" i="14" s="1"/>
  <c r="P45" i="14" s="1"/>
  <c r="P44" i="13"/>
  <c r="H44" i="14" s="1"/>
  <c r="P44" i="14" s="1"/>
  <c r="P43" i="13"/>
  <c r="H43" i="14" s="1"/>
  <c r="P43" i="14" s="1"/>
  <c r="P42" i="13"/>
  <c r="H42" i="14" s="1"/>
  <c r="P42" i="14" s="1"/>
  <c r="P40" i="13"/>
  <c r="P39" i="13"/>
  <c r="H39" i="14" s="1"/>
  <c r="P39" i="14" s="1"/>
  <c r="P35" i="13"/>
  <c r="P34" i="13"/>
  <c r="H34" i="14" s="1"/>
  <c r="P34" i="14" s="1"/>
  <c r="P33" i="13"/>
  <c r="P32" i="13"/>
  <c r="H32" i="14" s="1"/>
  <c r="P32" i="14" s="1"/>
  <c r="P31" i="13"/>
  <c r="H31" i="14" s="1"/>
  <c r="P31" i="14" s="1"/>
  <c r="P30" i="13"/>
  <c r="H30" i="14" s="1"/>
  <c r="P30" i="14" s="1"/>
  <c r="P29" i="13"/>
  <c r="P28" i="13"/>
  <c r="P26" i="13"/>
  <c r="H26" i="14" s="1"/>
  <c r="P26" i="14" s="1"/>
  <c r="P22" i="13"/>
  <c r="H22" i="14" s="1"/>
  <c r="P22" i="14" s="1"/>
  <c r="P20" i="13"/>
  <c r="P19" i="13"/>
  <c r="P18" i="13"/>
  <c r="P15" i="13"/>
  <c r="H15" i="14" s="1"/>
  <c r="P15" i="14" s="1"/>
  <c r="P14" i="13"/>
  <c r="P10" i="13"/>
  <c r="H10" i="14" s="1"/>
  <c r="P10" i="14" s="1"/>
  <c r="P9" i="13"/>
  <c r="H9" i="14" s="1"/>
  <c r="P9" i="14" s="1"/>
  <c r="P8" i="13"/>
  <c r="H8" i="14" s="1"/>
  <c r="P8" i="14" s="1"/>
  <c r="P6" i="13"/>
  <c r="P5" i="13"/>
  <c r="P4" i="13"/>
  <c r="P1" i="13"/>
  <c r="H5" i="16" l="1"/>
  <c r="P5" i="16" s="1"/>
  <c r="H5" i="15"/>
  <c r="P5" i="15" s="1"/>
  <c r="H5" i="14"/>
  <c r="P5" i="14" s="1"/>
  <c r="H14" i="16"/>
  <c r="P14" i="16" s="1"/>
  <c r="H14" i="15"/>
  <c r="P14" i="15" s="1"/>
  <c r="H14" i="14"/>
  <c r="P14" i="14" s="1"/>
  <c r="H37" i="17"/>
  <c r="P37" i="17" s="1"/>
  <c r="H35" i="14"/>
  <c r="P35" i="14" s="1"/>
  <c r="H73" i="16"/>
  <c r="P73" i="16" s="1"/>
  <c r="H73" i="15"/>
  <c r="P73" i="15" s="1"/>
  <c r="H73" i="14"/>
  <c r="P73" i="14" s="1"/>
  <c r="H6" i="15"/>
  <c r="P6" i="15" s="1"/>
  <c r="H6" i="14"/>
  <c r="P6" i="14" s="1"/>
  <c r="H18" i="15"/>
  <c r="P18" i="15" s="1"/>
  <c r="H18" i="14"/>
  <c r="P18" i="14" s="1"/>
  <c r="H40" i="16"/>
  <c r="P40" i="16" s="1"/>
  <c r="H40" i="15"/>
  <c r="P40" i="15" s="1"/>
  <c r="H40" i="14"/>
  <c r="P40" i="14" s="1"/>
  <c r="H19" i="15"/>
  <c r="P19" i="15" s="1"/>
  <c r="H19" i="14"/>
  <c r="P19" i="14" s="1"/>
  <c r="H29" i="16"/>
  <c r="P29" i="16" s="1"/>
  <c r="H29" i="15"/>
  <c r="P29" i="15" s="1"/>
  <c r="H29" i="14"/>
  <c r="P29" i="14" s="1"/>
  <c r="H35" i="40"/>
  <c r="P35" i="40" s="1"/>
  <c r="H35" i="39"/>
  <c r="P35" i="39" s="1"/>
  <c r="H35" i="38"/>
  <c r="P35" i="38" s="1"/>
  <c r="H35" i="37"/>
  <c r="P35" i="37" s="1"/>
  <c r="H35" i="36"/>
  <c r="P35" i="36" s="1"/>
  <c r="H35" i="35"/>
  <c r="P35" i="35" s="1"/>
  <c r="H35" i="34"/>
  <c r="P35" i="34" s="1"/>
  <c r="H35" i="32"/>
  <c r="P35" i="32" s="1"/>
  <c r="H35" i="31"/>
  <c r="P35" i="31" s="1"/>
  <c r="H35" i="30"/>
  <c r="P35" i="30" s="1"/>
  <c r="H35" i="29"/>
  <c r="P35" i="29" s="1"/>
  <c r="H35" i="28"/>
  <c r="P35" i="28" s="1"/>
  <c r="H35" i="26"/>
  <c r="P35" i="26" s="1"/>
  <c r="H35" i="25"/>
  <c r="P35" i="25" s="1"/>
  <c r="H35" i="24"/>
  <c r="P35" i="24" s="1"/>
  <c r="H35" i="23"/>
  <c r="P35" i="23" s="1"/>
  <c r="H35" i="22"/>
  <c r="P35" i="22" s="1"/>
  <c r="H35" i="21"/>
  <c r="P35" i="21" s="1"/>
  <c r="H35" i="20"/>
  <c r="P35" i="20" s="1"/>
  <c r="H35" i="19"/>
  <c r="P35" i="19" s="1"/>
  <c r="H35" i="18"/>
  <c r="P35" i="18" s="1"/>
  <c r="H35" i="17"/>
  <c r="P35" i="17" s="1"/>
  <c r="H33" i="16"/>
  <c r="P33" i="16" s="1"/>
  <c r="H33" i="15"/>
  <c r="P33" i="15" s="1"/>
  <c r="H33" i="14"/>
  <c r="P33" i="14" s="1"/>
  <c r="H67" i="16"/>
  <c r="P67" i="16" s="1"/>
  <c r="H67" i="15"/>
  <c r="P67" i="15" s="1"/>
  <c r="H67" i="14"/>
  <c r="P67" i="14" s="1"/>
  <c r="H71" i="16"/>
  <c r="P71" i="16" s="1"/>
  <c r="H71" i="15"/>
  <c r="P71" i="15" s="1"/>
  <c r="H71" i="14"/>
  <c r="P71" i="14" s="1"/>
  <c r="H55" i="16"/>
  <c r="P55" i="16" s="1"/>
  <c r="H55" i="15"/>
  <c r="P55" i="15" s="1"/>
  <c r="H55" i="14"/>
  <c r="P55" i="14" s="1"/>
  <c r="H61" i="16"/>
  <c r="P61" i="16" s="1"/>
  <c r="H61" i="15"/>
  <c r="P61" i="15" s="1"/>
  <c r="H61" i="14"/>
  <c r="P61" i="14" s="1"/>
  <c r="H28" i="16"/>
  <c r="P28" i="16" s="1"/>
  <c r="H28" i="15"/>
  <c r="P28" i="15" s="1"/>
  <c r="H28" i="14"/>
  <c r="P28" i="14" s="1"/>
  <c r="H74" i="16"/>
  <c r="P74" i="16" s="1"/>
  <c r="H74" i="15"/>
  <c r="P74" i="15" s="1"/>
  <c r="H74" i="14"/>
  <c r="P74" i="14" s="1"/>
  <c r="H85" i="16"/>
  <c r="P85" i="16" s="1"/>
  <c r="H85" i="15"/>
  <c r="P85" i="15" s="1"/>
  <c r="H85" i="14"/>
  <c r="P85" i="14" s="1"/>
  <c r="H20" i="15"/>
  <c r="P20" i="15" s="1"/>
  <c r="H20" i="14"/>
  <c r="P20" i="14" s="1"/>
  <c r="P85" i="12"/>
  <c r="P84" i="12" l="1"/>
  <c r="P83" i="12"/>
  <c r="P82" i="12"/>
  <c r="P81" i="12"/>
  <c r="P79" i="12"/>
  <c r="P76" i="12"/>
  <c r="P75" i="12"/>
  <c r="P74" i="12"/>
  <c r="P73" i="12"/>
  <c r="P71" i="12"/>
  <c r="P69" i="12"/>
  <c r="P68" i="12"/>
  <c r="P67" i="12"/>
  <c r="P61" i="12"/>
  <c r="P55" i="12"/>
  <c r="P54" i="12"/>
  <c r="P53" i="12"/>
  <c r="P52" i="12"/>
  <c r="P51" i="12"/>
  <c r="P50" i="12"/>
  <c r="P49" i="12"/>
  <c r="P47" i="12"/>
  <c r="P46" i="12"/>
  <c r="P45" i="12"/>
  <c r="P44" i="12"/>
  <c r="P43" i="12"/>
  <c r="P42" i="12"/>
  <c r="P40" i="12"/>
  <c r="P39" i="12"/>
  <c r="P35" i="12"/>
  <c r="P34" i="12"/>
  <c r="P33" i="12"/>
  <c r="P32" i="12"/>
  <c r="P31" i="12"/>
  <c r="P30" i="12"/>
  <c r="P29" i="12"/>
  <c r="P28" i="12"/>
  <c r="P26" i="12"/>
  <c r="P22" i="12"/>
  <c r="P20" i="12"/>
  <c r="P19" i="12"/>
  <c r="P18" i="12"/>
  <c r="P10" i="12"/>
  <c r="P9" i="12"/>
  <c r="P8" i="12"/>
  <c r="P6" i="12"/>
  <c r="P4" i="12"/>
  <c r="P1" i="12"/>
  <c r="P84" i="11" l="1"/>
  <c r="P83" i="11"/>
  <c r="P82" i="11"/>
  <c r="P81" i="11"/>
  <c r="P79" i="11"/>
  <c r="P76" i="11"/>
  <c r="P75" i="11"/>
  <c r="P74" i="11"/>
  <c r="P73" i="11"/>
  <c r="P71" i="11"/>
  <c r="P69" i="11"/>
  <c r="P68" i="11"/>
  <c r="P61" i="11"/>
  <c r="P55" i="11"/>
  <c r="P54" i="11"/>
  <c r="P53" i="11"/>
  <c r="P52" i="11"/>
  <c r="P51" i="11"/>
  <c r="P50" i="11"/>
  <c r="P49" i="11"/>
  <c r="P47" i="11"/>
  <c r="P46" i="11"/>
  <c r="P45" i="11"/>
  <c r="P44" i="11"/>
  <c r="P43" i="11"/>
  <c r="P42" i="11"/>
  <c r="P40" i="11"/>
  <c r="P39" i="11"/>
  <c r="P35" i="11"/>
  <c r="P34" i="11"/>
  <c r="P33" i="11"/>
  <c r="P32" i="11"/>
  <c r="P31" i="11"/>
  <c r="P30" i="11"/>
  <c r="P29" i="11"/>
  <c r="P28" i="11"/>
  <c r="P22" i="11"/>
  <c r="P20" i="11"/>
  <c r="P19" i="11"/>
  <c r="P18" i="11"/>
  <c r="P10" i="11"/>
  <c r="P9" i="11"/>
  <c r="P8" i="11"/>
  <c r="P6" i="11"/>
  <c r="P4" i="11"/>
  <c r="P1" i="11"/>
  <c r="P84" i="10" l="1"/>
  <c r="P83" i="10" l="1"/>
  <c r="P82" i="10"/>
  <c r="P81" i="10"/>
  <c r="P79" i="10"/>
  <c r="P76" i="10"/>
  <c r="P75" i="10"/>
  <c r="P74" i="10"/>
  <c r="P68" i="10"/>
  <c r="P61" i="10"/>
  <c r="P55" i="10"/>
  <c r="P54" i="10"/>
  <c r="P53" i="10"/>
  <c r="P52" i="10"/>
  <c r="P51" i="10"/>
  <c r="P50" i="10"/>
  <c r="P47" i="10"/>
  <c r="P46" i="10"/>
  <c r="P45" i="10"/>
  <c r="P44" i="10"/>
  <c r="P43" i="10"/>
  <c r="P42" i="10"/>
  <c r="P40" i="10"/>
  <c r="P35" i="10"/>
  <c r="P33" i="10"/>
  <c r="P32" i="10"/>
  <c r="P31" i="10"/>
  <c r="P30" i="10"/>
  <c r="P29" i="10"/>
  <c r="P28" i="10"/>
  <c r="P22" i="10"/>
  <c r="P10" i="10"/>
  <c r="P9" i="10"/>
  <c r="P8" i="10"/>
  <c r="P4" i="10"/>
  <c r="P1" i="10"/>
  <c r="P83" i="9" l="1"/>
  <c r="P54" i="9" l="1"/>
  <c r="P43" i="9"/>
  <c r="P42" i="9"/>
  <c r="P40" i="9"/>
  <c r="P22" i="9"/>
  <c r="P1" i="9"/>
  <c r="P83" i="8"/>
  <c r="P54" i="8"/>
  <c r="H54" i="9" s="1"/>
  <c r="P43" i="8"/>
  <c r="H43" i="9" s="1"/>
  <c r="P42" i="8"/>
  <c r="H42" i="9" s="1"/>
  <c r="P22" i="8"/>
  <c r="H22" i="9" s="1"/>
  <c r="P20" i="8"/>
  <c r="P19" i="8"/>
  <c r="P18" i="8"/>
  <c r="P6" i="8"/>
  <c r="P1" i="8"/>
  <c r="P83" i="7"/>
  <c r="P81" i="7"/>
  <c r="H81" i="8" s="1"/>
  <c r="P81" i="8" s="1"/>
  <c r="H81" i="9" s="1"/>
  <c r="P81" i="9" s="1"/>
  <c r="P54" i="7"/>
  <c r="P49" i="7"/>
  <c r="H49" i="8" s="1"/>
  <c r="P49" i="8" s="1"/>
  <c r="P44" i="7"/>
  <c r="H44" i="8" s="1"/>
  <c r="P44" i="8" s="1"/>
  <c r="H44" i="9" s="1"/>
  <c r="P44" i="9" s="1"/>
  <c r="P43" i="7"/>
  <c r="H43" i="8" s="1"/>
  <c r="P42" i="7"/>
  <c r="H42" i="8" s="1"/>
  <c r="P22" i="7"/>
  <c r="H22" i="8" s="1"/>
  <c r="P20" i="7"/>
  <c r="H20" i="8" s="1"/>
  <c r="P19" i="7"/>
  <c r="H19" i="8" s="1"/>
  <c r="P18" i="7"/>
  <c r="H18" i="8" s="1"/>
  <c r="P1" i="7"/>
  <c r="P81" i="6"/>
  <c r="H81" i="7" s="1"/>
  <c r="P1" i="6"/>
  <c r="H20" i="10" l="1"/>
  <c r="P20" i="10" s="1"/>
  <c r="H20" i="9"/>
  <c r="P20" i="9" s="1"/>
  <c r="H49" i="10"/>
  <c r="P49" i="10" s="1"/>
  <c r="H49" i="9"/>
  <c r="P49" i="9" s="1"/>
  <c r="H19" i="10"/>
  <c r="P19" i="10" s="1"/>
  <c r="H19" i="9"/>
  <c r="P19" i="9" s="1"/>
  <c r="H6" i="10"/>
  <c r="P6" i="10" s="1"/>
  <c r="H6" i="9"/>
  <c r="P6" i="9" s="1"/>
  <c r="H18" i="10"/>
  <c r="P18" i="10" s="1"/>
  <c r="H18" i="9"/>
  <c r="P18" i="9" s="1"/>
  <c r="P83" i="5"/>
  <c r="H83" i="6" s="1"/>
  <c r="P83" i="6" s="1"/>
  <c r="P82" i="5"/>
  <c r="H82" i="6" s="1"/>
  <c r="P82" i="6" s="1"/>
  <c r="H82" i="7" s="1"/>
  <c r="P82" i="7" s="1"/>
  <c r="H82" i="8" s="1"/>
  <c r="P82" i="8" s="1"/>
  <c r="H82" i="9" s="1"/>
  <c r="P82" i="9" s="1"/>
  <c r="P29" i="5" l="1"/>
  <c r="H29" i="6" s="1"/>
  <c r="P29" i="6" s="1"/>
  <c r="H29" i="7" s="1"/>
  <c r="P29" i="7" s="1"/>
  <c r="H29" i="8" s="1"/>
  <c r="P29" i="8" s="1"/>
  <c r="H29" i="9" s="1"/>
  <c r="P29" i="9" s="1"/>
  <c r="P25" i="5"/>
  <c r="H25" i="6" s="1"/>
  <c r="P25" i="6" s="1"/>
  <c r="H25" i="7" s="1"/>
  <c r="P25" i="7" s="1"/>
  <c r="H25" i="8" s="1"/>
  <c r="P25" i="8" s="1"/>
  <c r="P21" i="5"/>
  <c r="H21" i="6" s="1"/>
  <c r="P21" i="6" s="1"/>
  <c r="H21" i="7" s="1"/>
  <c r="P21" i="7" s="1"/>
  <c r="H21" i="8" s="1"/>
  <c r="P21" i="8" s="1"/>
  <c r="P17" i="5"/>
  <c r="H17" i="6" s="1"/>
  <c r="P17" i="6" s="1"/>
  <c r="H17" i="7" s="1"/>
  <c r="P17" i="7" s="1"/>
  <c r="H17" i="8" s="1"/>
  <c r="P17" i="8" s="1"/>
  <c r="P13" i="5"/>
  <c r="H13" i="6" s="1"/>
  <c r="P13" i="6" s="1"/>
  <c r="H13" i="7" s="1"/>
  <c r="P13" i="7" s="1"/>
  <c r="H13" i="8" s="1"/>
  <c r="P13" i="8" s="1"/>
  <c r="P9" i="5"/>
  <c r="H9" i="6" s="1"/>
  <c r="P9" i="6" s="1"/>
  <c r="H9" i="7" s="1"/>
  <c r="P9" i="7" s="1"/>
  <c r="H9" i="8" s="1"/>
  <c r="P9" i="8" s="1"/>
  <c r="H9" i="9" s="1"/>
  <c r="P9" i="9" s="1"/>
  <c r="P5" i="5"/>
  <c r="H5" i="6" s="1"/>
  <c r="P5" i="6" s="1"/>
  <c r="H5" i="7" s="1"/>
  <c r="P5" i="7" s="1"/>
  <c r="H5" i="8" s="1"/>
  <c r="P5" i="8" s="1"/>
  <c r="P1" i="5"/>
  <c r="P83" i="4"/>
  <c r="P82" i="4"/>
  <c r="P81" i="4"/>
  <c r="H81" i="5" s="1"/>
  <c r="P81" i="5" s="1"/>
  <c r="P80" i="4"/>
  <c r="H80" i="5" s="1"/>
  <c r="P80" i="5" s="1"/>
  <c r="H80" i="6" s="1"/>
  <c r="P80" i="6" s="1"/>
  <c r="H80" i="7" s="1"/>
  <c r="P80" i="7" s="1"/>
  <c r="H80" i="8" s="1"/>
  <c r="P80" i="8" s="1"/>
  <c r="P79" i="4"/>
  <c r="H79" i="5" s="1"/>
  <c r="P79" i="5" s="1"/>
  <c r="H79" i="6" s="1"/>
  <c r="P79" i="6" s="1"/>
  <c r="H79" i="7" s="1"/>
  <c r="P79" i="7" s="1"/>
  <c r="H79" i="8" s="1"/>
  <c r="P79" i="8" s="1"/>
  <c r="H79" i="9" s="1"/>
  <c r="P79" i="9" s="1"/>
  <c r="P78" i="4"/>
  <c r="H78" i="5" s="1"/>
  <c r="P78" i="5" s="1"/>
  <c r="H78" i="6" s="1"/>
  <c r="P78" i="6" s="1"/>
  <c r="H78" i="7" s="1"/>
  <c r="P78" i="7" s="1"/>
  <c r="H78" i="8" s="1"/>
  <c r="P78" i="8" s="1"/>
  <c r="P77" i="4"/>
  <c r="H77" i="5" s="1"/>
  <c r="P77" i="5" s="1"/>
  <c r="H77" i="6" s="1"/>
  <c r="P77" i="6" s="1"/>
  <c r="H77" i="7" s="1"/>
  <c r="P77" i="7" s="1"/>
  <c r="H77" i="8" s="1"/>
  <c r="P77" i="8" s="1"/>
  <c r="P76" i="4"/>
  <c r="H76" i="5" s="1"/>
  <c r="P76" i="5" s="1"/>
  <c r="H76" i="6" s="1"/>
  <c r="P76" i="6" s="1"/>
  <c r="H76" i="7" s="1"/>
  <c r="P76" i="7" s="1"/>
  <c r="H76" i="8" s="1"/>
  <c r="P76" i="8" s="1"/>
  <c r="H76" i="9" s="1"/>
  <c r="P76" i="9" s="1"/>
  <c r="P75" i="4"/>
  <c r="H75" i="5" s="1"/>
  <c r="P75" i="5" s="1"/>
  <c r="H75" i="6" s="1"/>
  <c r="P75" i="6" s="1"/>
  <c r="H75" i="7" s="1"/>
  <c r="P75" i="7" s="1"/>
  <c r="H75" i="8" s="1"/>
  <c r="P75" i="8" s="1"/>
  <c r="H75" i="9" s="1"/>
  <c r="P75" i="9" s="1"/>
  <c r="P74" i="4"/>
  <c r="H74" i="5" s="1"/>
  <c r="P74" i="5" s="1"/>
  <c r="H74" i="6" s="1"/>
  <c r="P74" i="6" s="1"/>
  <c r="H74" i="7" s="1"/>
  <c r="P74" i="7" s="1"/>
  <c r="H74" i="8" s="1"/>
  <c r="P74" i="8" s="1"/>
  <c r="H74" i="9" s="1"/>
  <c r="P74" i="9" s="1"/>
  <c r="P73" i="4"/>
  <c r="H73" i="5" s="1"/>
  <c r="P73" i="5" s="1"/>
  <c r="H73" i="6" s="1"/>
  <c r="P73" i="6" s="1"/>
  <c r="H73" i="7" s="1"/>
  <c r="P73" i="7" s="1"/>
  <c r="H73" i="8" s="1"/>
  <c r="P73" i="8" s="1"/>
  <c r="P72" i="4"/>
  <c r="H72" i="5" s="1"/>
  <c r="P72" i="5" s="1"/>
  <c r="H72" i="6" s="1"/>
  <c r="P72" i="6" s="1"/>
  <c r="H72" i="7" s="1"/>
  <c r="P72" i="7" s="1"/>
  <c r="H72" i="8" s="1"/>
  <c r="P72" i="8" s="1"/>
  <c r="P71" i="4"/>
  <c r="H71" i="5" s="1"/>
  <c r="P71" i="5" s="1"/>
  <c r="H71" i="6" s="1"/>
  <c r="P71" i="6" s="1"/>
  <c r="H71" i="7" s="1"/>
  <c r="P71" i="7" s="1"/>
  <c r="H71" i="8" s="1"/>
  <c r="P71" i="8" s="1"/>
  <c r="P70" i="4"/>
  <c r="H70" i="5" s="1"/>
  <c r="P70" i="5" s="1"/>
  <c r="H70" i="6" s="1"/>
  <c r="P70" i="6" s="1"/>
  <c r="H70" i="7" s="1"/>
  <c r="P70" i="7" s="1"/>
  <c r="H70" i="8" s="1"/>
  <c r="P70" i="8" s="1"/>
  <c r="P69" i="4"/>
  <c r="H69" i="5" s="1"/>
  <c r="P69" i="5" s="1"/>
  <c r="H69" i="6" s="1"/>
  <c r="P69" i="6" s="1"/>
  <c r="H69" i="7" s="1"/>
  <c r="P69" i="7" s="1"/>
  <c r="H69" i="8" s="1"/>
  <c r="P69" i="8" s="1"/>
  <c r="P68" i="4"/>
  <c r="H68" i="5" s="1"/>
  <c r="P68" i="5" s="1"/>
  <c r="H68" i="6" s="1"/>
  <c r="P68" i="6" s="1"/>
  <c r="H68" i="7" s="1"/>
  <c r="P68" i="7" s="1"/>
  <c r="H68" i="8" s="1"/>
  <c r="P68" i="8" s="1"/>
  <c r="H68" i="9" s="1"/>
  <c r="P68" i="9" s="1"/>
  <c r="P67" i="4"/>
  <c r="H67" i="5" s="1"/>
  <c r="P67" i="5" s="1"/>
  <c r="H67" i="6" s="1"/>
  <c r="P67" i="6" s="1"/>
  <c r="H67" i="7" s="1"/>
  <c r="P67" i="7" s="1"/>
  <c r="H67" i="8" s="1"/>
  <c r="P67" i="8" s="1"/>
  <c r="P66" i="4"/>
  <c r="H66" i="5" s="1"/>
  <c r="P66" i="5" s="1"/>
  <c r="H66" i="6" s="1"/>
  <c r="P66" i="6" s="1"/>
  <c r="H66" i="7" s="1"/>
  <c r="P66" i="7" s="1"/>
  <c r="H66" i="8" s="1"/>
  <c r="P66" i="8" s="1"/>
  <c r="P65" i="4"/>
  <c r="H65" i="5" s="1"/>
  <c r="P65" i="5" s="1"/>
  <c r="H65" i="6" s="1"/>
  <c r="P65" i="6" s="1"/>
  <c r="H65" i="7" s="1"/>
  <c r="P65" i="7" s="1"/>
  <c r="H65" i="8" s="1"/>
  <c r="P65" i="8" s="1"/>
  <c r="P64" i="4"/>
  <c r="H64" i="5" s="1"/>
  <c r="P64" i="5" s="1"/>
  <c r="H64" i="6" s="1"/>
  <c r="P64" i="6" s="1"/>
  <c r="H64" i="7" s="1"/>
  <c r="P64" i="7" s="1"/>
  <c r="H64" i="8" s="1"/>
  <c r="P64" i="8" s="1"/>
  <c r="P63" i="4"/>
  <c r="H63" i="5" s="1"/>
  <c r="P63" i="5" s="1"/>
  <c r="H63" i="6" s="1"/>
  <c r="P63" i="6" s="1"/>
  <c r="H63" i="7" s="1"/>
  <c r="P63" i="7" s="1"/>
  <c r="H63" i="8" s="1"/>
  <c r="P63" i="8" s="1"/>
  <c r="P62" i="4"/>
  <c r="H62" i="5" s="1"/>
  <c r="P62" i="5" s="1"/>
  <c r="H62" i="6" s="1"/>
  <c r="P62" i="6" s="1"/>
  <c r="H62" i="7" s="1"/>
  <c r="P62" i="7" s="1"/>
  <c r="H62" i="8" s="1"/>
  <c r="P62" i="8" s="1"/>
  <c r="P61" i="4"/>
  <c r="H61" i="5" s="1"/>
  <c r="P61" i="5" s="1"/>
  <c r="H61" i="6" s="1"/>
  <c r="P61" i="6" s="1"/>
  <c r="H61" i="7" s="1"/>
  <c r="P61" i="7" s="1"/>
  <c r="H61" i="8" s="1"/>
  <c r="P61" i="8" s="1"/>
  <c r="H61" i="9" s="1"/>
  <c r="P61" i="9" s="1"/>
  <c r="P60" i="4"/>
  <c r="H60" i="5" s="1"/>
  <c r="P60" i="5" s="1"/>
  <c r="H60" i="6" s="1"/>
  <c r="P60" i="6" s="1"/>
  <c r="H60" i="7" s="1"/>
  <c r="P60" i="7" s="1"/>
  <c r="H60" i="8" s="1"/>
  <c r="P60" i="8" s="1"/>
  <c r="P59" i="4"/>
  <c r="H59" i="5" s="1"/>
  <c r="P59" i="5" s="1"/>
  <c r="H59" i="6" s="1"/>
  <c r="P59" i="6" s="1"/>
  <c r="H59" i="7" s="1"/>
  <c r="P59" i="7" s="1"/>
  <c r="H59" i="8" s="1"/>
  <c r="P59" i="8" s="1"/>
  <c r="P58" i="4"/>
  <c r="H58" i="5" s="1"/>
  <c r="P58" i="5" s="1"/>
  <c r="H58" i="6" s="1"/>
  <c r="P58" i="6" s="1"/>
  <c r="H58" i="7" s="1"/>
  <c r="P58" i="7" s="1"/>
  <c r="H58" i="8" s="1"/>
  <c r="P58" i="8" s="1"/>
  <c r="P57" i="4"/>
  <c r="H57" i="5" s="1"/>
  <c r="P57" i="5" s="1"/>
  <c r="H57" i="6" s="1"/>
  <c r="P57" i="6" s="1"/>
  <c r="H57" i="7" s="1"/>
  <c r="P57" i="7" s="1"/>
  <c r="H57" i="8" s="1"/>
  <c r="P57" i="8" s="1"/>
  <c r="P56" i="4"/>
  <c r="H56" i="5" s="1"/>
  <c r="P56" i="5" s="1"/>
  <c r="H56" i="6" s="1"/>
  <c r="P56" i="6" s="1"/>
  <c r="H56" i="7" s="1"/>
  <c r="P56" i="7" s="1"/>
  <c r="H56" i="8" s="1"/>
  <c r="P56" i="8" s="1"/>
  <c r="P55" i="4"/>
  <c r="H55" i="5" s="1"/>
  <c r="P55" i="5" s="1"/>
  <c r="H55" i="6" s="1"/>
  <c r="P55" i="6" s="1"/>
  <c r="H55" i="7" s="1"/>
  <c r="P55" i="7" s="1"/>
  <c r="H55" i="8" s="1"/>
  <c r="P55" i="8" s="1"/>
  <c r="H55" i="9" s="1"/>
  <c r="P55" i="9" s="1"/>
  <c r="P54" i="4"/>
  <c r="H54" i="5" s="1"/>
  <c r="P54" i="5" s="1"/>
  <c r="H54" i="6" s="1"/>
  <c r="P54" i="6" s="1"/>
  <c r="P53" i="4"/>
  <c r="H53" i="5" s="1"/>
  <c r="P53" i="5" s="1"/>
  <c r="H53" i="6" s="1"/>
  <c r="P53" i="6" s="1"/>
  <c r="H53" i="7" s="1"/>
  <c r="P53" i="7" s="1"/>
  <c r="H53" i="8" s="1"/>
  <c r="P53" i="8" s="1"/>
  <c r="H53" i="9" s="1"/>
  <c r="P53" i="9" s="1"/>
  <c r="P52" i="4"/>
  <c r="H52" i="5" s="1"/>
  <c r="P52" i="5" s="1"/>
  <c r="H52" i="6" s="1"/>
  <c r="P52" i="6" s="1"/>
  <c r="H52" i="7" s="1"/>
  <c r="P52" i="7" s="1"/>
  <c r="H52" i="8" s="1"/>
  <c r="P52" i="8" s="1"/>
  <c r="H52" i="9" s="1"/>
  <c r="P52" i="9" s="1"/>
  <c r="P51" i="4"/>
  <c r="H51" i="5" s="1"/>
  <c r="P51" i="5" s="1"/>
  <c r="H51" i="6" s="1"/>
  <c r="P51" i="6" s="1"/>
  <c r="H51" i="7" s="1"/>
  <c r="P51" i="7" s="1"/>
  <c r="H51" i="8" s="1"/>
  <c r="P51" i="8" s="1"/>
  <c r="H51" i="9" s="1"/>
  <c r="P51" i="9" s="1"/>
  <c r="P50" i="4"/>
  <c r="H50" i="5" s="1"/>
  <c r="P50" i="5" s="1"/>
  <c r="H50" i="6" s="1"/>
  <c r="P50" i="6" s="1"/>
  <c r="H50" i="7" s="1"/>
  <c r="P50" i="7" s="1"/>
  <c r="H50" i="8" s="1"/>
  <c r="P50" i="8" s="1"/>
  <c r="H50" i="9" s="1"/>
  <c r="P50" i="9" s="1"/>
  <c r="P49" i="4"/>
  <c r="H49" i="5" s="1"/>
  <c r="P49" i="5" s="1"/>
  <c r="H49" i="6" s="1"/>
  <c r="P49" i="6" s="1"/>
  <c r="P48" i="4"/>
  <c r="H48" i="5" s="1"/>
  <c r="P48" i="5" s="1"/>
  <c r="H48" i="6" s="1"/>
  <c r="P48" i="6" s="1"/>
  <c r="H48" i="7" s="1"/>
  <c r="P48" i="7" s="1"/>
  <c r="H48" i="8" s="1"/>
  <c r="P48" i="8" s="1"/>
  <c r="P47" i="4"/>
  <c r="H47" i="5" s="1"/>
  <c r="P47" i="5" s="1"/>
  <c r="H47" i="6" s="1"/>
  <c r="P47" i="6" s="1"/>
  <c r="H47" i="7" s="1"/>
  <c r="P47" i="7" s="1"/>
  <c r="H47" i="8" s="1"/>
  <c r="P47" i="8" s="1"/>
  <c r="H47" i="9" s="1"/>
  <c r="P47" i="9" s="1"/>
  <c r="P46" i="4"/>
  <c r="H46" i="5" s="1"/>
  <c r="P46" i="5" s="1"/>
  <c r="H46" i="6" s="1"/>
  <c r="P46" i="6" s="1"/>
  <c r="H46" i="7" s="1"/>
  <c r="P46" i="7" s="1"/>
  <c r="H46" i="8" s="1"/>
  <c r="P46" i="8" s="1"/>
  <c r="H46" i="9" s="1"/>
  <c r="P46" i="9" s="1"/>
  <c r="P45" i="4"/>
  <c r="H45" i="5" s="1"/>
  <c r="P45" i="5" s="1"/>
  <c r="H45" i="6" s="1"/>
  <c r="P45" i="6" s="1"/>
  <c r="H45" i="7" s="1"/>
  <c r="P45" i="7" s="1"/>
  <c r="H45" i="8" s="1"/>
  <c r="P45" i="8" s="1"/>
  <c r="H45" i="9" s="1"/>
  <c r="P45" i="9" s="1"/>
  <c r="P44" i="4"/>
  <c r="H44" i="5" s="1"/>
  <c r="P44" i="5" s="1"/>
  <c r="H44" i="6" s="1"/>
  <c r="P44" i="6" s="1"/>
  <c r="P43" i="4"/>
  <c r="H43" i="5" s="1"/>
  <c r="P43" i="5" s="1"/>
  <c r="H43" i="6" s="1"/>
  <c r="P43" i="6" s="1"/>
  <c r="P42" i="4"/>
  <c r="H42" i="5" s="1"/>
  <c r="P42" i="5" s="1"/>
  <c r="H42" i="6" s="1"/>
  <c r="P42" i="6" s="1"/>
  <c r="P41" i="4"/>
  <c r="H41" i="5" s="1"/>
  <c r="P41" i="5" s="1"/>
  <c r="H41" i="6" s="1"/>
  <c r="P41" i="6" s="1"/>
  <c r="H41" i="7" s="1"/>
  <c r="P41" i="7" s="1"/>
  <c r="H41" i="8" s="1"/>
  <c r="P41" i="8" s="1"/>
  <c r="P40" i="4"/>
  <c r="H40" i="5" s="1"/>
  <c r="P40" i="5" s="1"/>
  <c r="H40" i="6" s="1"/>
  <c r="P40" i="6" s="1"/>
  <c r="H40" i="7" s="1"/>
  <c r="P40" i="7" s="1"/>
  <c r="H40" i="8" s="1"/>
  <c r="P40" i="8" s="1"/>
  <c r="P39" i="4"/>
  <c r="H39" i="5" s="1"/>
  <c r="P39" i="5" s="1"/>
  <c r="H39" i="6" s="1"/>
  <c r="P39" i="6" s="1"/>
  <c r="H39" i="7" s="1"/>
  <c r="P39" i="7" s="1"/>
  <c r="H39" i="8" s="1"/>
  <c r="P39" i="8" s="1"/>
  <c r="P38" i="4"/>
  <c r="H38" i="5" s="1"/>
  <c r="P38" i="5" s="1"/>
  <c r="H38" i="6" s="1"/>
  <c r="P38" i="6" s="1"/>
  <c r="H38" i="7" s="1"/>
  <c r="P38" i="7" s="1"/>
  <c r="H38" i="8" s="1"/>
  <c r="P38" i="8" s="1"/>
  <c r="P37" i="4"/>
  <c r="H37" i="5" s="1"/>
  <c r="P37" i="5" s="1"/>
  <c r="H37" i="6" s="1"/>
  <c r="P37" i="6" s="1"/>
  <c r="H37" i="7" s="1"/>
  <c r="P37" i="7" s="1"/>
  <c r="H37" i="8" s="1"/>
  <c r="P37" i="8" s="1"/>
  <c r="P36" i="4"/>
  <c r="H36" i="5" s="1"/>
  <c r="P36" i="5" s="1"/>
  <c r="H36" i="6" s="1"/>
  <c r="P36" i="6" s="1"/>
  <c r="H36" i="7" s="1"/>
  <c r="P36" i="7" s="1"/>
  <c r="H36" i="8" s="1"/>
  <c r="P36" i="8" s="1"/>
  <c r="P35" i="4"/>
  <c r="H35" i="5" s="1"/>
  <c r="P35" i="5" s="1"/>
  <c r="H35" i="6" s="1"/>
  <c r="P35" i="6" s="1"/>
  <c r="H35" i="7" s="1"/>
  <c r="P35" i="7" s="1"/>
  <c r="H35" i="8" s="1"/>
  <c r="P35" i="8" s="1"/>
  <c r="H35" i="9" s="1"/>
  <c r="P35" i="9" s="1"/>
  <c r="P34" i="4"/>
  <c r="H34" i="5" s="1"/>
  <c r="P34" i="5" s="1"/>
  <c r="H34" i="6" s="1"/>
  <c r="P34" i="6" s="1"/>
  <c r="H34" i="7" s="1"/>
  <c r="P34" i="7" s="1"/>
  <c r="H34" i="8" s="1"/>
  <c r="P34" i="8" s="1"/>
  <c r="P33" i="4"/>
  <c r="H33" i="5" s="1"/>
  <c r="P33" i="5" s="1"/>
  <c r="H33" i="6" s="1"/>
  <c r="P33" i="6" s="1"/>
  <c r="H33" i="7" s="1"/>
  <c r="P33" i="7" s="1"/>
  <c r="H33" i="8" s="1"/>
  <c r="P33" i="8" s="1"/>
  <c r="H33" i="9" s="1"/>
  <c r="P33" i="9" s="1"/>
  <c r="P32" i="4"/>
  <c r="H32" i="5" s="1"/>
  <c r="P32" i="5" s="1"/>
  <c r="H32" i="6" s="1"/>
  <c r="P32" i="6" s="1"/>
  <c r="H32" i="7" s="1"/>
  <c r="P32" i="7" s="1"/>
  <c r="H32" i="8" s="1"/>
  <c r="P32" i="8" s="1"/>
  <c r="H32" i="9" s="1"/>
  <c r="P32" i="9" s="1"/>
  <c r="P31" i="4"/>
  <c r="H31" i="5" s="1"/>
  <c r="P31" i="5" s="1"/>
  <c r="H31" i="6" s="1"/>
  <c r="P31" i="6" s="1"/>
  <c r="H31" i="7" s="1"/>
  <c r="P31" i="7" s="1"/>
  <c r="H31" i="8" s="1"/>
  <c r="P31" i="8" s="1"/>
  <c r="H31" i="9" s="1"/>
  <c r="P31" i="9" s="1"/>
  <c r="P30" i="4"/>
  <c r="H30" i="5" s="1"/>
  <c r="P30" i="5" s="1"/>
  <c r="H30" i="6" s="1"/>
  <c r="P30" i="6" s="1"/>
  <c r="H30" i="7" s="1"/>
  <c r="P30" i="7" s="1"/>
  <c r="H30" i="8" s="1"/>
  <c r="P30" i="8" s="1"/>
  <c r="H30" i="9" s="1"/>
  <c r="P30" i="9" s="1"/>
  <c r="P29" i="4"/>
  <c r="H29" i="5" s="1"/>
  <c r="P28" i="4"/>
  <c r="H28" i="5" s="1"/>
  <c r="P28" i="5" s="1"/>
  <c r="H28" i="6" s="1"/>
  <c r="P28" i="6" s="1"/>
  <c r="H28" i="7" s="1"/>
  <c r="P28" i="7" s="1"/>
  <c r="H28" i="8" s="1"/>
  <c r="P28" i="8" s="1"/>
  <c r="H28" i="9" s="1"/>
  <c r="P28" i="9" s="1"/>
  <c r="P27" i="4"/>
  <c r="H27" i="5" s="1"/>
  <c r="P27" i="5" s="1"/>
  <c r="H27" i="6" s="1"/>
  <c r="P27" i="6" s="1"/>
  <c r="H27" i="7" s="1"/>
  <c r="P27" i="7" s="1"/>
  <c r="H27" i="8" s="1"/>
  <c r="P27" i="8" s="1"/>
  <c r="P26" i="4"/>
  <c r="H26" i="5" s="1"/>
  <c r="P26" i="5" s="1"/>
  <c r="H26" i="6" s="1"/>
  <c r="P26" i="6" s="1"/>
  <c r="H26" i="7" s="1"/>
  <c r="P26" i="7" s="1"/>
  <c r="H26" i="8" s="1"/>
  <c r="P26" i="8" s="1"/>
  <c r="P25" i="4"/>
  <c r="H25" i="5" s="1"/>
  <c r="P24" i="4"/>
  <c r="H24" i="5" s="1"/>
  <c r="P24" i="5" s="1"/>
  <c r="H24" i="6" s="1"/>
  <c r="P24" i="6" s="1"/>
  <c r="H24" i="7" s="1"/>
  <c r="P24" i="7" s="1"/>
  <c r="H24" i="8" s="1"/>
  <c r="P24" i="8" s="1"/>
  <c r="P23" i="4"/>
  <c r="H23" i="5" s="1"/>
  <c r="P23" i="5" s="1"/>
  <c r="H23" i="6" s="1"/>
  <c r="P23" i="6" s="1"/>
  <c r="H23" i="7" s="1"/>
  <c r="P23" i="7" s="1"/>
  <c r="H23" i="8" s="1"/>
  <c r="P23" i="8" s="1"/>
  <c r="P22" i="4"/>
  <c r="H22" i="5" s="1"/>
  <c r="P22" i="5" s="1"/>
  <c r="H22" i="6" s="1"/>
  <c r="P22" i="6" s="1"/>
  <c r="P21" i="4"/>
  <c r="H21" i="5" s="1"/>
  <c r="P20" i="4"/>
  <c r="H20" i="5" s="1"/>
  <c r="P20" i="5" s="1"/>
  <c r="H20" i="6" s="1"/>
  <c r="P20" i="6" s="1"/>
  <c r="P19" i="4"/>
  <c r="H19" i="5" s="1"/>
  <c r="P19" i="5" s="1"/>
  <c r="H19" i="6" s="1"/>
  <c r="P19" i="6" s="1"/>
  <c r="P18" i="4"/>
  <c r="H18" i="5" s="1"/>
  <c r="P18" i="5" s="1"/>
  <c r="H18" i="6" s="1"/>
  <c r="P18" i="6" s="1"/>
  <c r="P17" i="4"/>
  <c r="H17" i="5" s="1"/>
  <c r="P16" i="4"/>
  <c r="H16" i="5" s="1"/>
  <c r="P16" i="5" s="1"/>
  <c r="H16" i="6" s="1"/>
  <c r="P16" i="6" s="1"/>
  <c r="H16" i="7" s="1"/>
  <c r="P16" i="7" s="1"/>
  <c r="H16" i="8" s="1"/>
  <c r="P16" i="8" s="1"/>
  <c r="P15" i="4"/>
  <c r="H15" i="5" s="1"/>
  <c r="P15" i="5" s="1"/>
  <c r="H15" i="6" s="1"/>
  <c r="P15" i="6" s="1"/>
  <c r="H15" i="7" s="1"/>
  <c r="P15" i="7" s="1"/>
  <c r="H15" i="8" s="1"/>
  <c r="P15" i="8" s="1"/>
  <c r="P14" i="4"/>
  <c r="H14" i="5" s="1"/>
  <c r="P14" i="5" s="1"/>
  <c r="H14" i="6" s="1"/>
  <c r="P14" i="6" s="1"/>
  <c r="H14" i="7" s="1"/>
  <c r="P14" i="7" s="1"/>
  <c r="H14" i="8" s="1"/>
  <c r="P14" i="8" s="1"/>
  <c r="P13" i="4"/>
  <c r="H13" i="5" s="1"/>
  <c r="P12" i="4"/>
  <c r="H12" i="5" s="1"/>
  <c r="P12" i="5" s="1"/>
  <c r="H12" i="6" s="1"/>
  <c r="P12" i="6" s="1"/>
  <c r="H12" i="7" s="1"/>
  <c r="P12" i="7" s="1"/>
  <c r="H12" i="8" s="1"/>
  <c r="P12" i="8" s="1"/>
  <c r="P11" i="4"/>
  <c r="H11" i="5" s="1"/>
  <c r="P11" i="5" s="1"/>
  <c r="H11" i="6" s="1"/>
  <c r="P11" i="6" s="1"/>
  <c r="H11" i="7" s="1"/>
  <c r="P11" i="7" s="1"/>
  <c r="H11" i="8" s="1"/>
  <c r="P11" i="8" s="1"/>
  <c r="P10" i="4"/>
  <c r="H10" i="5" s="1"/>
  <c r="P10" i="5" s="1"/>
  <c r="H10" i="6" s="1"/>
  <c r="P10" i="6" s="1"/>
  <c r="H10" i="7" s="1"/>
  <c r="P10" i="7" s="1"/>
  <c r="H10" i="8" s="1"/>
  <c r="P10" i="8" s="1"/>
  <c r="H10" i="9" s="1"/>
  <c r="P10" i="9" s="1"/>
  <c r="P9" i="4"/>
  <c r="H9" i="5" s="1"/>
  <c r="P8" i="4"/>
  <c r="H8" i="5" s="1"/>
  <c r="P8" i="5" s="1"/>
  <c r="H8" i="6" s="1"/>
  <c r="P8" i="6" s="1"/>
  <c r="H8" i="7" s="1"/>
  <c r="P8" i="7" s="1"/>
  <c r="H8" i="8" s="1"/>
  <c r="P8" i="8" s="1"/>
  <c r="H8" i="9" s="1"/>
  <c r="P8" i="9" s="1"/>
  <c r="P7" i="4"/>
  <c r="H7" i="5" s="1"/>
  <c r="P7" i="5" s="1"/>
  <c r="H7" i="6" s="1"/>
  <c r="P7" i="6" s="1"/>
  <c r="H7" i="7" s="1"/>
  <c r="P7" i="7" s="1"/>
  <c r="H7" i="8" s="1"/>
  <c r="P7" i="8" s="1"/>
  <c r="P6" i="4"/>
  <c r="H6" i="5" s="1"/>
  <c r="P6" i="5" s="1"/>
  <c r="H6" i="6" s="1"/>
  <c r="P6" i="6" s="1"/>
  <c r="H6" i="7" s="1"/>
  <c r="P6" i="7" s="1"/>
  <c r="P5" i="4"/>
  <c r="H5" i="5" s="1"/>
  <c r="P4" i="4"/>
  <c r="H4" i="5" s="1"/>
  <c r="P4" i="5" s="1"/>
  <c r="H4" i="6" s="1"/>
  <c r="P4" i="6" s="1"/>
  <c r="H4" i="7" s="1"/>
  <c r="P4" i="7" s="1"/>
  <c r="H4" i="8" s="1"/>
  <c r="P4" i="8" s="1"/>
  <c r="H4" i="9" s="1"/>
  <c r="P4" i="9" s="1"/>
  <c r="P1" i="4"/>
  <c r="P83" i="3"/>
  <c r="P82" i="3"/>
  <c r="P81" i="3"/>
  <c r="P80" i="3"/>
  <c r="P79" i="3"/>
  <c r="P78" i="3"/>
  <c r="P77" i="3"/>
  <c r="P76" i="3"/>
  <c r="P75" i="3"/>
  <c r="P74" i="3"/>
  <c r="P73" i="3"/>
  <c r="P72" i="3"/>
  <c r="P71" i="3"/>
  <c r="P70" i="3"/>
  <c r="P69" i="3"/>
  <c r="P68" i="3"/>
  <c r="P67" i="3"/>
  <c r="P66" i="3"/>
  <c r="P65" i="3"/>
  <c r="P64" i="3"/>
  <c r="P63" i="3"/>
  <c r="P62" i="3"/>
  <c r="P61" i="3"/>
  <c r="P60" i="3"/>
  <c r="P59" i="3"/>
  <c r="P58" i="3"/>
  <c r="P57" i="3"/>
  <c r="P56" i="3"/>
  <c r="P55" i="3"/>
  <c r="P54" i="3"/>
  <c r="P53" i="3"/>
  <c r="P52" i="3"/>
  <c r="P51" i="3"/>
  <c r="P50" i="3"/>
  <c r="P49" i="3"/>
  <c r="P48" i="3"/>
  <c r="P47" i="3"/>
  <c r="P46" i="3"/>
  <c r="P45" i="3"/>
  <c r="P44" i="3"/>
  <c r="P43" i="3"/>
  <c r="P42" i="3"/>
  <c r="P41" i="3"/>
  <c r="P40" i="3"/>
  <c r="P39" i="3"/>
  <c r="P38" i="3"/>
  <c r="P37" i="3"/>
  <c r="P36" i="3"/>
  <c r="P35" i="3"/>
  <c r="P34" i="3"/>
  <c r="P33" i="3"/>
  <c r="P32" i="3"/>
  <c r="P31" i="3"/>
  <c r="P30" i="3"/>
  <c r="P29" i="3"/>
  <c r="P28" i="3"/>
  <c r="P27" i="3"/>
  <c r="P26" i="3"/>
  <c r="P25" i="3"/>
  <c r="P24" i="3"/>
  <c r="P23" i="3"/>
  <c r="P22" i="3"/>
  <c r="P21" i="3"/>
  <c r="P20" i="3"/>
  <c r="P19" i="3"/>
  <c r="P18" i="3"/>
  <c r="P17" i="3"/>
  <c r="P16" i="3"/>
  <c r="P15" i="3"/>
  <c r="P14" i="3"/>
  <c r="P13" i="3"/>
  <c r="P12" i="3"/>
  <c r="P11" i="3"/>
  <c r="P10" i="3"/>
  <c r="P9" i="3"/>
  <c r="P8" i="3"/>
  <c r="P7" i="3"/>
  <c r="P6" i="3"/>
  <c r="P5" i="3"/>
  <c r="P4" i="3"/>
  <c r="P1" i="3"/>
  <c r="H12" i="13" l="1"/>
  <c r="P12" i="13" s="1"/>
  <c r="H12" i="12"/>
  <c r="P12" i="12" s="1"/>
  <c r="H12" i="11"/>
  <c r="P12" i="11" s="1"/>
  <c r="H12" i="10"/>
  <c r="P12" i="10" s="1"/>
  <c r="H12" i="9"/>
  <c r="P12" i="9" s="1"/>
  <c r="H24" i="13"/>
  <c r="P24" i="13" s="1"/>
  <c r="H24" i="14" s="1"/>
  <c r="P24" i="14" s="1"/>
  <c r="H24" i="12"/>
  <c r="P24" i="12" s="1"/>
  <c r="H24" i="11"/>
  <c r="P24" i="11" s="1"/>
  <c r="H24" i="10"/>
  <c r="P24" i="10" s="1"/>
  <c r="H24" i="9"/>
  <c r="P24" i="9" s="1"/>
  <c r="H36" i="13"/>
  <c r="P36" i="13" s="1"/>
  <c r="H36" i="12"/>
  <c r="P36" i="12" s="1"/>
  <c r="H36" i="11"/>
  <c r="P36" i="11" s="1"/>
  <c r="H36" i="10"/>
  <c r="P36" i="10" s="1"/>
  <c r="H36" i="9"/>
  <c r="P36" i="9" s="1"/>
  <c r="H48" i="13"/>
  <c r="P48" i="13" s="1"/>
  <c r="H48" i="12"/>
  <c r="P48" i="12" s="1"/>
  <c r="H48" i="11"/>
  <c r="P48" i="11" s="1"/>
  <c r="H48" i="10"/>
  <c r="P48" i="10" s="1"/>
  <c r="H48" i="9"/>
  <c r="P48" i="9" s="1"/>
  <c r="H56" i="13"/>
  <c r="P56" i="13" s="1"/>
  <c r="H56" i="12"/>
  <c r="P56" i="12" s="1"/>
  <c r="H56" i="11"/>
  <c r="P56" i="11" s="1"/>
  <c r="H56" i="10"/>
  <c r="P56" i="10" s="1"/>
  <c r="H56" i="9"/>
  <c r="P56" i="9" s="1"/>
  <c r="H37" i="13"/>
  <c r="P37" i="13" s="1"/>
  <c r="H37" i="12"/>
  <c r="P37" i="12" s="1"/>
  <c r="H37" i="11"/>
  <c r="P37" i="11" s="1"/>
  <c r="H37" i="10"/>
  <c r="P37" i="10" s="1"/>
  <c r="H37" i="9"/>
  <c r="P37" i="9" s="1"/>
  <c r="H41" i="13"/>
  <c r="P41" i="13" s="1"/>
  <c r="H41" i="12"/>
  <c r="P41" i="12" s="1"/>
  <c r="H41" i="11"/>
  <c r="P41" i="11" s="1"/>
  <c r="H41" i="10"/>
  <c r="P41" i="10" s="1"/>
  <c r="H41" i="9"/>
  <c r="P41" i="9" s="1"/>
  <c r="H57" i="13"/>
  <c r="P57" i="13" s="1"/>
  <c r="H57" i="12"/>
  <c r="P57" i="12" s="1"/>
  <c r="H57" i="11"/>
  <c r="P57" i="11" s="1"/>
  <c r="H57" i="10"/>
  <c r="P57" i="10" s="1"/>
  <c r="H57" i="9"/>
  <c r="P57" i="9" s="1"/>
  <c r="H65" i="13"/>
  <c r="P65" i="13" s="1"/>
  <c r="H65" i="12"/>
  <c r="P65" i="12" s="1"/>
  <c r="H65" i="11"/>
  <c r="P65" i="11" s="1"/>
  <c r="H65" i="10"/>
  <c r="P65" i="10" s="1"/>
  <c r="H65" i="9"/>
  <c r="P65" i="9" s="1"/>
  <c r="H69" i="10"/>
  <c r="P69" i="10" s="1"/>
  <c r="H69" i="9"/>
  <c r="P69" i="9" s="1"/>
  <c r="H73" i="10"/>
  <c r="P73" i="10" s="1"/>
  <c r="H73" i="9"/>
  <c r="P73" i="9" s="1"/>
  <c r="H77" i="13"/>
  <c r="P77" i="13" s="1"/>
  <c r="H77" i="12"/>
  <c r="P77" i="12" s="1"/>
  <c r="H77" i="11"/>
  <c r="P77" i="11" s="1"/>
  <c r="H77" i="10"/>
  <c r="P77" i="10" s="1"/>
  <c r="H77" i="9"/>
  <c r="P77" i="9" s="1"/>
  <c r="H16" i="13"/>
  <c r="P16" i="13" s="1"/>
  <c r="H16" i="12"/>
  <c r="P16" i="12" s="1"/>
  <c r="H16" i="11"/>
  <c r="P16" i="11" s="1"/>
  <c r="H16" i="10"/>
  <c r="P16" i="10" s="1"/>
  <c r="H16" i="9"/>
  <c r="P16" i="9" s="1"/>
  <c r="H60" i="13"/>
  <c r="P60" i="13" s="1"/>
  <c r="H60" i="12"/>
  <c r="P60" i="12" s="1"/>
  <c r="H60" i="11"/>
  <c r="P60" i="11" s="1"/>
  <c r="H60" i="10"/>
  <c r="P60" i="10" s="1"/>
  <c r="H60" i="9"/>
  <c r="P60" i="9" s="1"/>
  <c r="H64" i="13"/>
  <c r="P64" i="13" s="1"/>
  <c r="H64" i="12"/>
  <c r="P64" i="12" s="1"/>
  <c r="H64" i="11"/>
  <c r="P64" i="11" s="1"/>
  <c r="H64" i="10"/>
  <c r="P64" i="10" s="1"/>
  <c r="H64" i="9"/>
  <c r="P64" i="9" s="1"/>
  <c r="H72" i="13"/>
  <c r="P72" i="13" s="1"/>
  <c r="H72" i="12"/>
  <c r="P72" i="12" s="1"/>
  <c r="H72" i="11"/>
  <c r="P72" i="11" s="1"/>
  <c r="H72" i="10"/>
  <c r="P72" i="10" s="1"/>
  <c r="H72" i="9"/>
  <c r="P72" i="9" s="1"/>
  <c r="H14" i="12"/>
  <c r="P14" i="12" s="1"/>
  <c r="H14" i="11"/>
  <c r="P14" i="11" s="1"/>
  <c r="H14" i="10"/>
  <c r="P14" i="10" s="1"/>
  <c r="H14" i="9"/>
  <c r="P14" i="9" s="1"/>
  <c r="H26" i="11"/>
  <c r="P26" i="11" s="1"/>
  <c r="H26" i="10"/>
  <c r="P26" i="10" s="1"/>
  <c r="H26" i="9"/>
  <c r="P26" i="9" s="1"/>
  <c r="H34" i="10"/>
  <c r="P34" i="10" s="1"/>
  <c r="H34" i="9"/>
  <c r="P34" i="9" s="1"/>
  <c r="H38" i="13"/>
  <c r="P38" i="13" s="1"/>
  <c r="H38" i="14" s="1"/>
  <c r="P38" i="14" s="1"/>
  <c r="H38" i="12"/>
  <c r="P38" i="12" s="1"/>
  <c r="H38" i="11"/>
  <c r="P38" i="11" s="1"/>
  <c r="H38" i="10"/>
  <c r="P38" i="10" s="1"/>
  <c r="H38" i="9"/>
  <c r="P38" i="9" s="1"/>
  <c r="H58" i="13"/>
  <c r="P58" i="13" s="1"/>
  <c r="H58" i="12"/>
  <c r="P58" i="12" s="1"/>
  <c r="H58" i="11"/>
  <c r="P58" i="11" s="1"/>
  <c r="H58" i="10"/>
  <c r="P58" i="10" s="1"/>
  <c r="H58" i="9"/>
  <c r="P58" i="9" s="1"/>
  <c r="H62" i="13"/>
  <c r="P62" i="13" s="1"/>
  <c r="H62" i="12"/>
  <c r="P62" i="12" s="1"/>
  <c r="H62" i="11"/>
  <c r="P62" i="11" s="1"/>
  <c r="H62" i="10"/>
  <c r="P62" i="10" s="1"/>
  <c r="H62" i="9"/>
  <c r="P62" i="9" s="1"/>
  <c r="H66" i="13"/>
  <c r="P66" i="13" s="1"/>
  <c r="H66" i="12"/>
  <c r="P66" i="12" s="1"/>
  <c r="H66" i="11"/>
  <c r="P66" i="11" s="1"/>
  <c r="H66" i="10"/>
  <c r="P66" i="10" s="1"/>
  <c r="H66" i="9"/>
  <c r="P66" i="9" s="1"/>
  <c r="H70" i="13"/>
  <c r="P70" i="13" s="1"/>
  <c r="H70" i="12"/>
  <c r="P70" i="12" s="1"/>
  <c r="H70" i="11"/>
  <c r="P70" i="11" s="1"/>
  <c r="H70" i="10"/>
  <c r="P70" i="10" s="1"/>
  <c r="H70" i="9"/>
  <c r="P70" i="9" s="1"/>
  <c r="H7" i="13"/>
  <c r="P7" i="13" s="1"/>
  <c r="H7" i="12"/>
  <c r="P7" i="12" s="1"/>
  <c r="H7" i="11"/>
  <c r="P7" i="11" s="1"/>
  <c r="H7" i="10"/>
  <c r="P7" i="10" s="1"/>
  <c r="H7" i="9"/>
  <c r="P7" i="9" s="1"/>
  <c r="H11" i="13"/>
  <c r="P11" i="13" s="1"/>
  <c r="H11" i="14" s="1"/>
  <c r="P11" i="14" s="1"/>
  <c r="H11" i="12"/>
  <c r="P11" i="12" s="1"/>
  <c r="H11" i="11"/>
  <c r="P11" i="11" s="1"/>
  <c r="H11" i="10"/>
  <c r="P11" i="10" s="1"/>
  <c r="H11" i="9"/>
  <c r="P11" i="9" s="1"/>
  <c r="H15" i="12"/>
  <c r="P15" i="12" s="1"/>
  <c r="H15" i="11"/>
  <c r="P15" i="11" s="1"/>
  <c r="H15" i="10"/>
  <c r="P15" i="10" s="1"/>
  <c r="H15" i="9"/>
  <c r="P15" i="9" s="1"/>
  <c r="H23" i="13"/>
  <c r="P23" i="13" s="1"/>
  <c r="H23" i="12"/>
  <c r="P23" i="12" s="1"/>
  <c r="H23" i="11"/>
  <c r="P23" i="11" s="1"/>
  <c r="H23" i="10"/>
  <c r="P23" i="10" s="1"/>
  <c r="H23" i="9"/>
  <c r="P23" i="9" s="1"/>
  <c r="H27" i="13"/>
  <c r="P27" i="13" s="1"/>
  <c r="H27" i="14" s="1"/>
  <c r="P27" i="14" s="1"/>
  <c r="H27" i="12"/>
  <c r="P27" i="12" s="1"/>
  <c r="H27" i="11"/>
  <c r="P27" i="11" s="1"/>
  <c r="H27" i="10"/>
  <c r="P27" i="10" s="1"/>
  <c r="H27" i="9"/>
  <c r="P27" i="9" s="1"/>
  <c r="H39" i="10"/>
  <c r="P39" i="10" s="1"/>
  <c r="H39" i="9"/>
  <c r="P39" i="9" s="1"/>
  <c r="H59" i="13"/>
  <c r="P59" i="13" s="1"/>
  <c r="H59" i="12"/>
  <c r="P59" i="12" s="1"/>
  <c r="H59" i="11"/>
  <c r="P59" i="11" s="1"/>
  <c r="H59" i="10"/>
  <c r="P59" i="10" s="1"/>
  <c r="H59" i="9"/>
  <c r="P59" i="9" s="1"/>
  <c r="H63" i="12"/>
  <c r="P63" i="12" s="1"/>
  <c r="H63" i="11"/>
  <c r="P63" i="11" s="1"/>
  <c r="H63" i="10"/>
  <c r="P63" i="10" s="1"/>
  <c r="H63" i="9"/>
  <c r="P63" i="9" s="1"/>
  <c r="H67" i="11"/>
  <c r="P67" i="11" s="1"/>
  <c r="H67" i="10"/>
  <c r="P67" i="10" s="1"/>
  <c r="H67" i="9"/>
  <c r="P67" i="9" s="1"/>
  <c r="H71" i="10"/>
  <c r="P71" i="10" s="1"/>
  <c r="H71" i="9"/>
  <c r="P71" i="9" s="1"/>
  <c r="H78" i="13"/>
  <c r="P78" i="13" s="1"/>
  <c r="H78" i="12"/>
  <c r="P78" i="12" s="1"/>
  <c r="H78" i="11"/>
  <c r="P78" i="11" s="1"/>
  <c r="H78" i="10"/>
  <c r="P78" i="10" s="1"/>
  <c r="H78" i="9"/>
  <c r="P78" i="9" s="1"/>
  <c r="H5" i="12"/>
  <c r="P5" i="12" s="1"/>
  <c r="H5" i="11"/>
  <c r="P5" i="11" s="1"/>
  <c r="H5" i="10"/>
  <c r="P5" i="10" s="1"/>
  <c r="H5" i="9"/>
  <c r="P5" i="9" s="1"/>
  <c r="H13" i="13"/>
  <c r="P13" i="13" s="1"/>
  <c r="H13" i="12"/>
  <c r="P13" i="12" s="1"/>
  <c r="H13" i="11"/>
  <c r="P13" i="11" s="1"/>
  <c r="H13" i="10"/>
  <c r="P13" i="10" s="1"/>
  <c r="H13" i="9"/>
  <c r="P13" i="9" s="1"/>
  <c r="H21" i="13"/>
  <c r="P21" i="13" s="1"/>
  <c r="H21" i="12"/>
  <c r="P21" i="12" s="1"/>
  <c r="H21" i="11"/>
  <c r="P21" i="11" s="1"/>
  <c r="H21" i="10"/>
  <c r="P21" i="10" s="1"/>
  <c r="H21" i="9"/>
  <c r="P21" i="9" s="1"/>
  <c r="H80" i="13"/>
  <c r="P80" i="13" s="1"/>
  <c r="H80" i="12"/>
  <c r="P80" i="12" s="1"/>
  <c r="H80" i="11"/>
  <c r="P80" i="11" s="1"/>
  <c r="H80" i="10"/>
  <c r="P80" i="10" s="1"/>
  <c r="H80" i="9"/>
  <c r="P80" i="9" s="1"/>
  <c r="H17" i="13"/>
  <c r="P17" i="13" s="1"/>
  <c r="H17" i="12"/>
  <c r="P17" i="12" s="1"/>
  <c r="H17" i="11"/>
  <c r="P17" i="11" s="1"/>
  <c r="H17" i="10"/>
  <c r="P17" i="10" s="1"/>
  <c r="H17" i="9"/>
  <c r="P17" i="9" s="1"/>
  <c r="H25" i="13"/>
  <c r="P25" i="13" s="1"/>
  <c r="H25" i="14" s="1"/>
  <c r="P25" i="14" s="1"/>
  <c r="H25" i="12"/>
  <c r="P25" i="12" s="1"/>
  <c r="H25" i="11"/>
  <c r="P25" i="11" s="1"/>
  <c r="H25" i="10"/>
  <c r="P25" i="10" s="1"/>
  <c r="H25" i="9"/>
  <c r="P25" i="9" s="1"/>
  <c r="P83" i="2"/>
  <c r="P82" i="2"/>
  <c r="P81" i="2"/>
  <c r="P80" i="2"/>
  <c r="P79" i="2"/>
  <c r="P78" i="2"/>
  <c r="P77" i="2"/>
  <c r="P76" i="2"/>
  <c r="P75" i="2"/>
  <c r="P74" i="2"/>
  <c r="P73" i="2"/>
  <c r="P72" i="2"/>
  <c r="P71" i="2"/>
  <c r="P70" i="2"/>
  <c r="P69" i="2"/>
  <c r="P68" i="2"/>
  <c r="P67" i="2"/>
  <c r="P66" i="2"/>
  <c r="P65" i="2"/>
  <c r="P64" i="2"/>
  <c r="P63" i="2"/>
  <c r="P62" i="2"/>
  <c r="P61" i="2"/>
  <c r="P60" i="2"/>
  <c r="P59" i="2"/>
  <c r="P58" i="2"/>
  <c r="P57" i="2"/>
  <c r="P56" i="2"/>
  <c r="P55" i="2"/>
  <c r="P54" i="2"/>
  <c r="P53" i="2"/>
  <c r="P52" i="2"/>
  <c r="P51" i="2"/>
  <c r="P50" i="2"/>
  <c r="P49" i="2"/>
  <c r="P48" i="2"/>
  <c r="P47" i="2"/>
  <c r="P46" i="2"/>
  <c r="P45" i="2"/>
  <c r="P44" i="2"/>
  <c r="P43" i="2"/>
  <c r="P42" i="2"/>
  <c r="P41" i="2"/>
  <c r="P40" i="2"/>
  <c r="P39" i="2"/>
  <c r="P38" i="2"/>
  <c r="P37" i="2"/>
  <c r="P36" i="2"/>
  <c r="P35" i="2"/>
  <c r="P34" i="2"/>
  <c r="P33" i="2"/>
  <c r="P32" i="2"/>
  <c r="P31" i="2"/>
  <c r="P30" i="2"/>
  <c r="P29" i="2"/>
  <c r="P28" i="2"/>
  <c r="P27" i="2"/>
  <c r="P26" i="2"/>
  <c r="P25" i="2"/>
  <c r="P24" i="2"/>
  <c r="P23" i="2"/>
  <c r="P22" i="2"/>
  <c r="P21" i="2"/>
  <c r="P20" i="2"/>
  <c r="P19" i="2"/>
  <c r="P18" i="2"/>
  <c r="P17" i="2"/>
  <c r="P16" i="2"/>
  <c r="P15" i="2"/>
  <c r="P14" i="2"/>
  <c r="P13" i="2"/>
  <c r="P12" i="2"/>
  <c r="P11" i="2"/>
  <c r="P10" i="2"/>
  <c r="P9" i="2"/>
  <c r="P8" i="2"/>
  <c r="P7" i="2"/>
  <c r="P6" i="2"/>
  <c r="P5" i="2"/>
  <c r="P4" i="2"/>
  <c r="P1" i="2"/>
  <c r="H17" i="15" l="1"/>
  <c r="P17" i="15" s="1"/>
  <c r="H17" i="14"/>
  <c r="P17" i="14" s="1"/>
  <c r="H80" i="16"/>
  <c r="P80" i="16" s="1"/>
  <c r="H80" i="15"/>
  <c r="P80" i="15" s="1"/>
  <c r="H80" i="14"/>
  <c r="P80" i="14" s="1"/>
  <c r="H65" i="17"/>
  <c r="P65" i="17" s="1"/>
  <c r="H70" i="16"/>
  <c r="P70" i="16" s="1"/>
  <c r="H70" i="15"/>
  <c r="P70" i="15" s="1"/>
  <c r="H70" i="14"/>
  <c r="P70" i="14" s="1"/>
  <c r="H60" i="16"/>
  <c r="P60" i="16" s="1"/>
  <c r="H60" i="15"/>
  <c r="P60" i="15" s="1"/>
  <c r="H60" i="14"/>
  <c r="P60" i="14" s="1"/>
  <c r="H57" i="16"/>
  <c r="P57" i="16" s="1"/>
  <c r="H57" i="15"/>
  <c r="P57" i="15" s="1"/>
  <c r="H57" i="14"/>
  <c r="P57" i="14" s="1"/>
  <c r="H21" i="15"/>
  <c r="P21" i="15" s="1"/>
  <c r="H21" i="14"/>
  <c r="P21" i="14" s="1"/>
  <c r="H59" i="16"/>
  <c r="P59" i="16" s="1"/>
  <c r="H59" i="15"/>
  <c r="P59" i="15" s="1"/>
  <c r="H59" i="14"/>
  <c r="P59" i="14" s="1"/>
  <c r="H23" i="23"/>
  <c r="P23" i="23" s="1"/>
  <c r="H23" i="22"/>
  <c r="P23" i="22" s="1"/>
  <c r="H23" i="21"/>
  <c r="P23" i="21" s="1"/>
  <c r="H23" i="20"/>
  <c r="P23" i="20" s="1"/>
  <c r="H23" i="19"/>
  <c r="P23" i="19" s="1"/>
  <c r="H23" i="18"/>
  <c r="P23" i="18" s="1"/>
  <c r="H23" i="17"/>
  <c r="P23" i="17" s="1"/>
  <c r="H23" i="16"/>
  <c r="P23" i="16" s="1"/>
  <c r="H23" i="15"/>
  <c r="P23" i="15" s="1"/>
  <c r="H23" i="14"/>
  <c r="P23" i="14" s="1"/>
  <c r="H66" i="16"/>
  <c r="P66" i="16" s="1"/>
  <c r="H66" i="15"/>
  <c r="P66" i="15" s="1"/>
  <c r="H66" i="14"/>
  <c r="P66" i="14" s="1"/>
  <c r="H16" i="16"/>
  <c r="P16" i="16" s="1"/>
  <c r="H16" i="15"/>
  <c r="P16" i="15" s="1"/>
  <c r="H16" i="14"/>
  <c r="P16" i="14" s="1"/>
  <c r="H41" i="16"/>
  <c r="P41" i="16" s="1"/>
  <c r="H41" i="15"/>
  <c r="P41" i="15" s="1"/>
  <c r="H41" i="14"/>
  <c r="P41" i="14" s="1"/>
  <c r="H36" i="16"/>
  <c r="P36" i="16" s="1"/>
  <c r="H36" i="15"/>
  <c r="P36" i="15" s="1"/>
  <c r="H36" i="14"/>
  <c r="P36" i="14" s="1"/>
  <c r="H73" i="24"/>
  <c r="P73" i="24" s="1"/>
  <c r="H73" i="23"/>
  <c r="P73" i="23" s="1"/>
  <c r="H73" i="22"/>
  <c r="P73" i="22" s="1"/>
  <c r="H73" i="21"/>
  <c r="P73" i="21" s="1"/>
  <c r="H73" i="20"/>
  <c r="P73" i="20" s="1"/>
  <c r="H73" i="19"/>
  <c r="P73" i="19" s="1"/>
  <c r="H73" i="18"/>
  <c r="P73" i="18" s="1"/>
  <c r="H73" i="17"/>
  <c r="P73" i="17" s="1"/>
  <c r="H78" i="16"/>
  <c r="P78" i="16" s="1"/>
  <c r="H78" i="15"/>
  <c r="P78" i="15" s="1"/>
  <c r="H78" i="14"/>
  <c r="P78" i="14" s="1"/>
  <c r="H7" i="16"/>
  <c r="P7" i="16" s="1"/>
  <c r="H7" i="15"/>
  <c r="P7" i="15" s="1"/>
  <c r="H7" i="14"/>
  <c r="P7" i="14" s="1"/>
  <c r="H48" i="15"/>
  <c r="P48" i="15" s="1"/>
  <c r="H48" i="14"/>
  <c r="P48" i="14" s="1"/>
  <c r="H13" i="16"/>
  <c r="P13" i="16" s="1"/>
  <c r="H13" i="15"/>
  <c r="P13" i="15" s="1"/>
  <c r="H13" i="14"/>
  <c r="P13" i="14" s="1"/>
  <c r="H62" i="15"/>
  <c r="P62" i="15" s="1"/>
  <c r="H62" i="14"/>
  <c r="P62" i="14" s="1"/>
  <c r="H72" i="16"/>
  <c r="P72" i="16" s="1"/>
  <c r="H72" i="15"/>
  <c r="P72" i="15" s="1"/>
  <c r="H72" i="14"/>
  <c r="P72" i="14" s="1"/>
  <c r="H72" i="23"/>
  <c r="P72" i="23" s="1"/>
  <c r="H72" i="22"/>
  <c r="P72" i="22" s="1"/>
  <c r="H72" i="21"/>
  <c r="P72" i="21" s="1"/>
  <c r="H72" i="20"/>
  <c r="P72" i="20" s="1"/>
  <c r="H72" i="19"/>
  <c r="P72" i="19" s="1"/>
  <c r="H72" i="18"/>
  <c r="P72" i="18" s="1"/>
  <c r="H72" i="17"/>
  <c r="P72" i="17" s="1"/>
  <c r="H77" i="16"/>
  <c r="P77" i="16" s="1"/>
  <c r="H77" i="15"/>
  <c r="P77" i="15" s="1"/>
  <c r="H77" i="14"/>
  <c r="P77" i="14" s="1"/>
  <c r="H37" i="16"/>
  <c r="P37" i="16" s="1"/>
  <c r="H37" i="15"/>
  <c r="P37" i="15" s="1"/>
  <c r="H37" i="14"/>
  <c r="P37" i="14" s="1"/>
  <c r="H58" i="16"/>
  <c r="P58" i="16" s="1"/>
  <c r="H58" i="15"/>
  <c r="P58" i="15" s="1"/>
  <c r="H58" i="14"/>
  <c r="P58" i="14" s="1"/>
  <c r="H64" i="16"/>
  <c r="P64" i="16" s="1"/>
  <c r="H64" i="15"/>
  <c r="P64" i="15" s="1"/>
  <c r="H64" i="14"/>
  <c r="P64" i="14" s="1"/>
  <c r="H65" i="16"/>
  <c r="P65" i="16" s="1"/>
  <c r="H65" i="15"/>
  <c r="P65" i="15" s="1"/>
  <c r="H65" i="14"/>
  <c r="P65" i="14" s="1"/>
  <c r="H56" i="16"/>
  <c r="P56" i="16" s="1"/>
  <c r="H56" i="15"/>
  <c r="P56" i="15" s="1"/>
  <c r="H56" i="14"/>
  <c r="P56" i="14" s="1"/>
  <c r="H12" i="16"/>
  <c r="P12" i="16" s="1"/>
  <c r="H12" i="15"/>
  <c r="P12" i="15" s="1"/>
  <c r="H12" i="14"/>
  <c r="P12" i="14" s="1"/>
  <c r="P83" i="1"/>
  <c r="P82" i="1"/>
  <c r="P81" i="1"/>
  <c r="P80" i="1"/>
  <c r="P79" i="1"/>
  <c r="P78" i="1" l="1"/>
  <c r="P77" i="1" l="1"/>
  <c r="P76" i="1"/>
  <c r="P75" i="1"/>
  <c r="P74" i="1" l="1"/>
  <c r="P73" i="1" l="1"/>
  <c r="P72" i="1"/>
  <c r="P71" i="1"/>
  <c r="P70" i="1"/>
  <c r="P69" i="1"/>
  <c r="P68" i="1"/>
  <c r="P67" i="1"/>
  <c r="P66" i="1"/>
  <c r="P65" i="1"/>
  <c r="P64" i="1"/>
  <c r="P63" i="1"/>
  <c r="P62" i="1"/>
  <c r="P61" i="1"/>
  <c r="P60" i="1"/>
  <c r="P59" i="1"/>
  <c r="P58" i="1"/>
  <c r="P57" i="1"/>
  <c r="P56" i="1"/>
  <c r="P55" i="1"/>
  <c r="P54" i="1"/>
  <c r="P53" i="1"/>
  <c r="P52" i="1"/>
  <c r="P51" i="1"/>
  <c r="P50" i="1"/>
  <c r="P49" i="1"/>
  <c r="P48" i="1"/>
  <c r="P47" i="1"/>
  <c r="P46" i="1"/>
  <c r="P45" i="1"/>
  <c r="P44" i="1"/>
  <c r="P43" i="1"/>
  <c r="P42" i="1"/>
  <c r="P41" i="1"/>
  <c r="P40" i="1"/>
  <c r="P39" i="1"/>
  <c r="P38" i="1"/>
  <c r="P37" i="1"/>
  <c r="P36" i="1"/>
  <c r="P35" i="1"/>
  <c r="P34" i="1"/>
  <c r="P33" i="1"/>
  <c r="P32" i="1"/>
  <c r="P31" i="1"/>
  <c r="P30" i="1"/>
  <c r="P29" i="1"/>
  <c r="P28" i="1"/>
  <c r="P27" i="1"/>
  <c r="P26" i="1"/>
  <c r="P25" i="1"/>
  <c r="P24" i="1"/>
  <c r="P23" i="1"/>
  <c r="P22" i="1"/>
  <c r="P21" i="1"/>
  <c r="P20" i="1"/>
  <c r="P19" i="1"/>
  <c r="P18" i="1"/>
  <c r="P17" i="1"/>
  <c r="P16" i="1"/>
  <c r="P15" i="1"/>
  <c r="P14" i="1"/>
  <c r="P13" i="1"/>
  <c r="P12" i="1"/>
  <c r="P11" i="1"/>
  <c r="P10" i="1"/>
  <c r="P9" i="1"/>
  <c r="P8" i="1"/>
  <c r="P7" i="1"/>
  <c r="P6" i="1"/>
  <c r="P5" i="1"/>
  <c r="P4" i="1"/>
  <c r="P1" i="1"/>
</calcChain>
</file>

<file path=xl/sharedStrings.xml><?xml version="1.0" encoding="utf-8"?>
<sst xmlns="http://schemas.openxmlformats.org/spreadsheetml/2006/main" count="13353" uniqueCount="248">
  <si>
    <t>13.09.2022 10:30:27</t>
  </si>
  <si>
    <t>Kg</t>
  </si>
  <si>
    <t>Adet</t>
  </si>
  <si>
    <t>ZZ.MAKER YAY KOL</t>
  </si>
  <si>
    <t>ZZ.JAZZ T KOL</t>
  </si>
  <si>
    <t xml:space="preserve">ZZ.PENTA KOL </t>
  </si>
  <si>
    <t>ZZ.WARLOCK (ELEGANCE) KOL</t>
  </si>
  <si>
    <t>CYBORG KOL</t>
  </si>
  <si>
    <t>ZZ.BONCUK ELYAF ( 1 TORBA = 10 KG )</t>
  </si>
  <si>
    <t>ZZ.NOORD KOL  (ALFA)</t>
  </si>
  <si>
    <t>ZZ.BETTA KOL</t>
  </si>
  <si>
    <t>ZZ.60 GR VATKA ELYAF (1 TORBA = 5 KG )</t>
  </si>
  <si>
    <t>ZZ.32Q IZGARA TAKOZ</t>
  </si>
  <si>
    <t>ZZ.Plastik L Ayak 180X180</t>
  </si>
  <si>
    <t xml:space="preserve"> </t>
  </si>
  <si>
    <t>S.NO</t>
  </si>
  <si>
    <t>ZZ.KORUMA FİLESİ</t>
  </si>
  <si>
    <t xml:space="preserve">ÜRÜN ADI                                                             </t>
  </si>
  <si>
    <t>ADET</t>
  </si>
  <si>
    <t>BİRİM</t>
  </si>
  <si>
    <t>GİRİŞ</t>
  </si>
  <si>
    <t>KALAN</t>
  </si>
  <si>
    <t>ZZ.RADO (NİTRO) AYAKLI KOL</t>
  </si>
  <si>
    <t>ZZ.ORBİT (BİLGİN) KOL</t>
  </si>
  <si>
    <t>ZZ.STELLA ÜÇGEN PLASTİK KROM KOL</t>
  </si>
  <si>
    <t>ZZ.WENGE KOL PLASTİK</t>
  </si>
  <si>
    <t>ZZ.PRESTİJ (KİNG EKO PLASTİK ) KOL</t>
  </si>
  <si>
    <t>ZZ.SEAT ALÜMİNYUM KOL</t>
  </si>
  <si>
    <t>ZZ.NEO BAR TABURESİ AYAK ÇEMBERİ</t>
  </si>
  <si>
    <t>ZZ.NEO BAR TEPSİ AYAK 4Q5</t>
  </si>
  <si>
    <t>ZZ.NEO BAR AMORTİSÖRÜ 260 LIK</t>
  </si>
  <si>
    <t>ZZ.EFOR ŞEF SET KOL +SIRT İÇ-DIŞ</t>
  </si>
  <si>
    <t xml:space="preserve"> İNCİ SEKRETER İÇ DIŞ PLASTİĞİ</t>
  </si>
  <si>
    <t>TETRA OTURAK İÇ DIŞ PLASTİK AB 3355</t>
  </si>
  <si>
    <t>EVO SIRT PLASTİĞİ</t>
  </si>
  <si>
    <t>ZZ.ZİRVE (BAG 25) SIRT DIŞ KAPAK</t>
  </si>
  <si>
    <t>ZZ.ZİRVE (BAG 25 ) SIRT İÇ KAPAK</t>
  </si>
  <si>
    <t>DARK BAŞLIK</t>
  </si>
  <si>
    <t>ZZ.VOX BAŞLIK</t>
  </si>
  <si>
    <t xml:space="preserve">DARK SIRT PLASTİĞİ </t>
  </si>
  <si>
    <t>SEKRETER İÇ / DIŞ PLASTİĞİ KONYA</t>
  </si>
  <si>
    <t>ALFA OTURAK İÇ DIŞ PLASTİĞİ</t>
  </si>
  <si>
    <t>ALFA SIRT PLASTİĞİ</t>
  </si>
  <si>
    <t>NOORD BAŞLIK PLASTİĞİ (ALFA)</t>
  </si>
  <si>
    <t>LİMA  FONT İÇ PLASTİĞİ</t>
  </si>
  <si>
    <t>ZZ.BETTA SIRT PLASTİĞİ</t>
  </si>
  <si>
    <t>ZZ.BETTA FONT DIŞ PLASTİĞİ</t>
  </si>
  <si>
    <t>ZZ.BETTA FONT İÇ PLASTİĞİ</t>
  </si>
  <si>
    <t>ZZ.BOGA SIRT İÇ - DIŞ PLASTİĞİ</t>
  </si>
  <si>
    <t>ZZ.BOGA PLASTİK BAŞLIK</t>
  </si>
  <si>
    <t>ZZ.KROM HONİK AYAK</t>
  </si>
  <si>
    <t>ZZ.JAZZ SIRT PLASTİĞİ</t>
  </si>
  <si>
    <t>ZZ.JAZZ OTURAK İÇ  PLASTİĞİ</t>
  </si>
  <si>
    <t>ZZ.JAZZ OTURAK DIŞ PLASTİĞİ</t>
  </si>
  <si>
    <t>ZZ.YAPIŞTIRICI  (UNITEK 63)</t>
  </si>
  <si>
    <t>ZZ.32Q İÇ TAKOZ</t>
  </si>
  <si>
    <t>ZZ.40x40 İÇ TAKOZ</t>
  </si>
  <si>
    <t>ZZ.20x40 İÇ TAKOZ</t>
  </si>
  <si>
    <t>ZZ.25Q İÇ TAKOZ</t>
  </si>
  <si>
    <t>ZZ.25x50 ELİPS İÇ TAKOZ</t>
  </si>
  <si>
    <t>ZZ.25x25 İÇ TAKOZ</t>
  </si>
  <si>
    <t>OYUNCU KOLTUĞU MEKANİZMA TKM</t>
  </si>
  <si>
    <t>OFİS (DIAMOND) PLSTK AYAK</t>
  </si>
  <si>
    <t>ZZ.STINGER PLASTİK AYAK -5.5 Ebru M8*35</t>
  </si>
  <si>
    <t>ZZ.NOORD SIRT PLASTİĞİ (ALFA)</t>
  </si>
  <si>
    <t xml:space="preserve">BERBER KOLTUK TEPSİ </t>
  </si>
  <si>
    <t>PLASTİK YILDIZ AYAK 60</t>
  </si>
  <si>
    <t>17 KĞ</t>
  </si>
  <si>
    <t>16 KĞ</t>
  </si>
  <si>
    <t>ZZ. MARKOL(SAKURE)  (AHŞAP AÇIK KOL)</t>
  </si>
  <si>
    <t>DORİ PLASTİK BAŞLIK(ALTIN B)</t>
  </si>
  <si>
    <t>ZZ.MİLLORD(JOBB) SIRT İÇ/DIŞ PLASTİĞİ</t>
  </si>
  <si>
    <t>ZZ.PLASTİK ÜÇGEN AYAK 10 CM (TIESTO)</t>
  </si>
  <si>
    <t>PLASTİK YILDIZ AYAK ÇİN GÜMÜŞ GRİ</t>
  </si>
  <si>
    <t>TELA BEZ 20 GR</t>
  </si>
  <si>
    <t>KĞ</t>
  </si>
  <si>
    <t>SİEANNA,KARİNA PLASTİK KOL</t>
  </si>
  <si>
    <t>MODEL 5 AYAK 10CM (15 CM)</t>
  </si>
  <si>
    <t>VOX OTURAK,SIRT İÇ DIŞ PLS.</t>
  </si>
  <si>
    <t>ZZ.BOGA SIRT İÇ - DIŞ PLASTİĞİ BEYAZ</t>
  </si>
  <si>
    <t>POLO PLASTİK TAKIMI</t>
  </si>
  <si>
    <t>EVO OTURAK İÇ/DIŞ  PLASTİĞİ</t>
  </si>
  <si>
    <t>DARK OTURAK İÇ/DIŞ PLASTİK</t>
  </si>
  <si>
    <t>DARK SIRT İÇ/DIŞ PLASTİĞİ</t>
  </si>
  <si>
    <t>VEGA FORM ÇAKMA KOL</t>
  </si>
  <si>
    <t>EXPERİ KOL</t>
  </si>
  <si>
    <t>ZZ.VEGA (FORM) KOL TABLASI</t>
  </si>
  <si>
    <t>LEO TAKIM PLASTİK</t>
  </si>
  <si>
    <t>BONCUK ELYAF</t>
  </si>
  <si>
    <t>10 KĞ</t>
  </si>
  <si>
    <t xml:space="preserve">  </t>
  </si>
  <si>
    <t>32 kğ</t>
  </si>
  <si>
    <t>15 kğ</t>
  </si>
  <si>
    <t>ZZ.BOGA (FİLELİ) OTURAK İÇ/DIŞ PLS.</t>
  </si>
  <si>
    <t>5 kğ</t>
  </si>
  <si>
    <t>ZZ.PENTA KOL (AYARLI KOL)</t>
  </si>
  <si>
    <t>100*160 balonlu naylon</t>
  </si>
  <si>
    <t>kğ</t>
  </si>
  <si>
    <t>1 pk.25</t>
  </si>
  <si>
    <t>100*160 BALONLU NAYLON</t>
  </si>
  <si>
    <t>HARMANY S KOL PLSTİK</t>
  </si>
  <si>
    <t>ZZ.PENTA KOL (ayarlı,onyar başlı)</t>
  </si>
  <si>
    <t>STREÇ NAYLON</t>
  </si>
  <si>
    <t>AB1508 COBRA CEZAR KOL</t>
  </si>
  <si>
    <t>MAKSİMUN</t>
  </si>
  <si>
    <t>MİNİMUN</t>
  </si>
  <si>
    <t>100*160 BASKISIZ NAYLON</t>
  </si>
  <si>
    <t>ZZ.KORUMA FİLESİ 17KĞ</t>
  </si>
  <si>
    <t>ELASTİK KOLON</t>
  </si>
  <si>
    <t>METRE</t>
  </si>
  <si>
    <t>MT</t>
  </si>
  <si>
    <t>ZZ.KROM KONİK AYAK</t>
  </si>
  <si>
    <t>2,3 KG</t>
  </si>
  <si>
    <t>STREÇ NAYLON 2,30 KĞ</t>
  </si>
  <si>
    <t>VOX OTURAK,İÇ DIŞ PLS.</t>
  </si>
  <si>
    <t>VOX SIRT İÇ DIŞ PLASTİĞİ</t>
  </si>
  <si>
    <t>ARALIK 1 HAFTA</t>
  </si>
  <si>
    <t>ARALIK 2 HAFTA</t>
  </si>
  <si>
    <t>FİLELİ(LİMA)  FONT DIŞ PLASTİĞİ</t>
  </si>
  <si>
    <t>FİLELİ (LİMA)  FONT İÇ PLASTİĞİ</t>
  </si>
  <si>
    <t>15 KĞ</t>
  </si>
  <si>
    <t>2,3kğ</t>
  </si>
  <si>
    <t>ARALIK 3 HAFTA</t>
  </si>
  <si>
    <t>25 LİK YARIM AY PLASTİK</t>
  </si>
  <si>
    <t>ARALIK 4 HAFTA</t>
  </si>
  <si>
    <t>OCAK.1 HAFTA</t>
  </si>
  <si>
    <t>APEX OTURAK SÜNGERİ</t>
  </si>
  <si>
    <t>APEX SIRT SÜNGERİ</t>
  </si>
  <si>
    <t>OCAK.2 HAFTA</t>
  </si>
  <si>
    <t>LİMA SIRT İÇ/DIŞ PLASTİĞİ</t>
  </si>
  <si>
    <t>LEO TAKIM PLASTİK / NEMO</t>
  </si>
  <si>
    <t xml:space="preserve">SOHO  KOL ÜSTÜ PLASTİĞİ            </t>
  </si>
  <si>
    <t>TK</t>
  </si>
  <si>
    <t>FİLELİ (LİMA,BOGA)  FONT İÇ PLASTİĞİ</t>
  </si>
  <si>
    <t>FİLELİ(LİMA,BOGA)  FONT DIŞ PLASTİĞİ</t>
  </si>
  <si>
    <t>VİVA TAKIM</t>
  </si>
  <si>
    <t>OCAK.3 HAFTA</t>
  </si>
  <si>
    <t>EVO OTURAK İÇ  PLASTİĞİ</t>
  </si>
  <si>
    <t>EVO OTURAK DIŞ PLASTİĞİ</t>
  </si>
  <si>
    <t>TETRA OTURAK DIŞ PLASTİK AB 3355</t>
  </si>
  <si>
    <t>TETRA OTURAK İÇ PLASTİK AB 3355</t>
  </si>
  <si>
    <t>DARK OTURAK DIŞ PLASTİK</t>
  </si>
  <si>
    <t>DARK OTURAK İÇ PLASTİK</t>
  </si>
  <si>
    <t>ALFA OTURAK İÇ PLASTİĞİ</t>
  </si>
  <si>
    <t>ALFA OTURAK DIŞ PLASTİĞİ</t>
  </si>
  <si>
    <t>FİLELİ (LİMA,BOGA)  FONT DIŞ PLASTİĞİ</t>
  </si>
  <si>
    <t>VOX OTURAK,İÇ PLS.</t>
  </si>
  <si>
    <t>VOX OTURAK DIŞ PLS.</t>
  </si>
  <si>
    <t>STELLA PLASTİK KOL</t>
  </si>
  <si>
    <t xml:space="preserve">JOBB SIRT İÇ DIŞ PLASTİĞİ               </t>
  </si>
  <si>
    <t>YAPIŞKAN SÜNGER</t>
  </si>
  <si>
    <t>OCAK.4 HAFTA</t>
  </si>
  <si>
    <t>YENİ MODEL MÜDÜR BAŞLIKLI PLS.</t>
  </si>
  <si>
    <t>YENİ MODEL ŞEF PLS.</t>
  </si>
  <si>
    <t>AMOR OTURAK SÜNGERİ</t>
  </si>
  <si>
    <t>AMOR SIRT SÜNGERİ</t>
  </si>
  <si>
    <t>OCAK.5 / ŞUBAT 1.HAFTA</t>
  </si>
  <si>
    <t>JAZZ T KOL</t>
  </si>
  <si>
    <t>MART 3 HAFTA</t>
  </si>
  <si>
    <t>ZZ.60 GR VATKA ELYAF (1 TORBA =10 KG )</t>
  </si>
  <si>
    <t>YENİ MODEL(VENON) MÜDÜR BAŞLIKLI PLS.</t>
  </si>
  <si>
    <t>ZZ.VEGA (FORM) KOL</t>
  </si>
  <si>
    <t>polen oturak iç dış pls.</t>
  </si>
  <si>
    <t>25 kg</t>
  </si>
  <si>
    <t>ZZ.BONCUK ELYAF ( 1 TORBA = 5 KG )</t>
  </si>
  <si>
    <t>NEMO BELLİK İÇ DIŞ PLS.</t>
  </si>
  <si>
    <t>ALFA BAŞLIK TK</t>
  </si>
  <si>
    <t>POLO SIRT İÇ DIŞ PLS.</t>
  </si>
  <si>
    <t>EKİM</t>
  </si>
  <si>
    <t>VATKA ELYAF (1 TORBA =10 KG )</t>
  </si>
  <si>
    <t>ARALIK</t>
  </si>
  <si>
    <t>tk</t>
  </si>
  <si>
    <t>20 KĞ</t>
  </si>
  <si>
    <t>23 KĞ</t>
  </si>
  <si>
    <t>KUĞU (SCORPION) AYAK</t>
  </si>
  <si>
    <t>ZZ.KOLİ BANTI</t>
  </si>
  <si>
    <t>KROM KONİK AYAK</t>
  </si>
  <si>
    <t>10 MM FİTİL</t>
  </si>
  <si>
    <t>4 MM FİTİL</t>
  </si>
  <si>
    <t>6 MM FİTİL</t>
  </si>
  <si>
    <t>ZZ.JAZZ UZUN KAPAK</t>
  </si>
  <si>
    <t>MODEL 5 AYAK 10CM (ÜÇGEN)</t>
  </si>
  <si>
    <t>ZZ.STINGER PLASTİK AYAK -TOMBUL</t>
  </si>
  <si>
    <t>YENİ MODEL(VENOM) MÜDÜR BAŞLIKLI PLS.</t>
  </si>
  <si>
    <t>ZZ.BONCUK ELYAF ( 1 TORBA =10 KG )</t>
  </si>
  <si>
    <t xml:space="preserve">                          JAZZ </t>
  </si>
  <si>
    <t>UZUN</t>
  </si>
  <si>
    <t>KAPAK</t>
  </si>
  <si>
    <t>TETRA OTURAK İÇ PLASTİK LEO /POLO</t>
  </si>
  <si>
    <t>VATKA ELYAF  300 GR(1 TORBA =15 KG )</t>
  </si>
  <si>
    <t xml:space="preserve">VATKA ELYAP 60 GR                                                                                                                                          </t>
  </si>
  <si>
    <t>ZZ.YAPIŞTIRICI  (UNITEK 87)</t>
  </si>
  <si>
    <t>7 MM FİTİL</t>
  </si>
  <si>
    <t>HAZİRAN</t>
  </si>
  <si>
    <t>JOBB PLASTİK TK.</t>
  </si>
  <si>
    <t>TEMMUZ</t>
  </si>
  <si>
    <t>AĞUSTOS</t>
  </si>
  <si>
    <t>EYLÜL</t>
  </si>
  <si>
    <t xml:space="preserve">ZZ. MARKOL(SAKURE) </t>
  </si>
  <si>
    <t>VENOM MİSAFİR PLS.,</t>
  </si>
  <si>
    <t xml:space="preserve">LİMA OTURAK İÇ DIŞ PLS.                                  </t>
  </si>
  <si>
    <t>PATARA OTURAK DIŞ PLS.</t>
  </si>
  <si>
    <t>PATARA SIRT PLS.</t>
  </si>
  <si>
    <t>PATARA BAŞLIK PLS.</t>
  </si>
  <si>
    <t>KASIM</t>
  </si>
  <si>
    <t>EVO BAŞLIK PLS.</t>
  </si>
  <si>
    <t>LAYER (PRADO) PLS. TK</t>
  </si>
  <si>
    <t>HARMONY AYAK 10CM (ÜÇGEN)</t>
  </si>
  <si>
    <t>PATARA SIRT PLS.(KRAF)</t>
  </si>
  <si>
    <t>PATARA OTURAK DIŞ PLS.(KRAF)</t>
  </si>
  <si>
    <t>DARK PLASTİK TK.(ASİVA)</t>
  </si>
  <si>
    <t>13 LÜK FİTİL</t>
  </si>
  <si>
    <t>OCAK</t>
  </si>
  <si>
    <t>DALİ PLASTİK TK (SMART)</t>
  </si>
  <si>
    <t>ŞUBAT</t>
  </si>
  <si>
    <t>EVO (DOBİ)SIRT PLASTİĞİ</t>
  </si>
  <si>
    <t>EVO(DOBİ)) BAŞLIK PLS.</t>
  </si>
  <si>
    <t>DARK (ASİVA)OTURAK İÇ PLASTİK</t>
  </si>
  <si>
    <t>EVO(DOBİ) OTURAK İÇ  PLASTİĞİ</t>
  </si>
  <si>
    <t>DARK(ASİVA) BAŞLIK</t>
  </si>
  <si>
    <t xml:space="preserve">DARK (ASİVA)SIRT PLASTİĞİ </t>
  </si>
  <si>
    <t>FİLELİ (LİMA,BOGA,POLO,BETTA)  FONT İÇ PLASTİĞİ</t>
  </si>
  <si>
    <t>FİLELİ (LİMA,BOGA,POLO,BETTA)  FONT DIŞ PLASTİĞİ</t>
  </si>
  <si>
    <t>PATARA (KRAFT) BAŞLIK PLS.</t>
  </si>
  <si>
    <t>LİBRA(BOLT) PLS. TK</t>
  </si>
  <si>
    <t>JİVAL PLS. TK.</t>
  </si>
  <si>
    <t>MERY PLS. TAKIM</t>
  </si>
  <si>
    <t>RUNİ PLS. TAKIM</t>
  </si>
  <si>
    <t>VİVA ÇİN PLS. TK.</t>
  </si>
  <si>
    <t>VENOM MÜDÜR BAŞLIKLI PLS.</t>
  </si>
  <si>
    <t>TETRA (LEO) OTURAK DIŞ PLASTİK / NEMO</t>
  </si>
  <si>
    <t>TETRA(LEO) OTURAK İÇ PLASTİK /NEMO</t>
  </si>
  <si>
    <t>TETRA (LEO) SIRT  PLASTİK / NEMO</t>
  </si>
  <si>
    <t>TETRA (LEO) BAŞLIK PLASTİK/NEMO</t>
  </si>
  <si>
    <t>COOL FİLELİ BAŞLIK PLS.</t>
  </si>
  <si>
    <t>COOL FİLELİ OTURAK İÇ/DIŞ PLS.</t>
  </si>
  <si>
    <t xml:space="preserve">COOL FİLELİ SIRT PLS. </t>
  </si>
  <si>
    <t xml:space="preserve">COOL FİLELİ KOL </t>
  </si>
  <si>
    <t>POLO BAŞLIK  PLASTİĞİ</t>
  </si>
  <si>
    <t>POLO OTURAK İÇ DIŞ PLS.</t>
  </si>
  <si>
    <t>POLO SIRT DESTEK PLS.</t>
  </si>
  <si>
    <t>JOBB BAŞLIK PLASTİK</t>
  </si>
  <si>
    <t>JOBB OTURAK İÇ/DIŞ PLASTİK</t>
  </si>
  <si>
    <t>JOBB SIRT PLASTİK</t>
  </si>
  <si>
    <t>DALİ BAŞLIK PLASTİK (SMART)</t>
  </si>
  <si>
    <t>DALİ SIRT GÖVDE PLASTİK  (SMART)</t>
  </si>
  <si>
    <t>DALİ OTURAK PLS.(SMART)</t>
  </si>
  <si>
    <t>DALİ BELLİK PLS. (SMART)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</si>
</sst>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#,##0.00;[Red]#,##0.00"/>
  </numFmts>
  <fonts count="9" x14ac:knownFonts="1">
    <font>
      <sz val="11"/>
      <color theme="1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b/>
      <sz val="11"/>
      <color rgb="FFFF0000"/>
      <name val="Calibri"/>
      <family val="2"/>
      <charset val="162"/>
      <scheme val="minor"/>
    </font>
    <font>
      <b/>
      <sz val="11"/>
      <color theme="4"/>
      <name val="Calibri"/>
      <family val="2"/>
      <charset val="162"/>
      <scheme val="minor"/>
    </font>
    <font>
      <sz val="11"/>
      <color theme="4"/>
      <name val="Calibri"/>
      <family val="2"/>
      <charset val="162"/>
      <scheme val="minor"/>
    </font>
    <font>
      <b/>
      <sz val="11"/>
      <color rgb="FF00B050"/>
      <name val="Calibri"/>
      <family val="2"/>
      <charset val="162"/>
      <scheme val="minor"/>
    </font>
    <font>
      <sz val="11"/>
      <color rgb="FF00B050"/>
      <name val="Calibri"/>
      <family val="2"/>
      <charset val="162"/>
      <scheme val="minor"/>
    </font>
    <font>
      <b/>
      <sz val="1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8" fillId="0" borderId="0" applyFont="0" applyFill="0" applyBorder="0" applyAlignment="0" applyProtection="0"/>
  </cellStyleXfs>
  <cellXfs count="116">
    <xf numFmtId="0" fontId="0" fillId="0" borderId="0" xfId="0"/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/>
    </xf>
    <xf numFmtId="0" fontId="0" fillId="0" borderId="1" xfId="0" applyBorder="1" applyProtection="1">
      <protection locked="0"/>
    </xf>
    <xf numFmtId="0" fontId="0" fillId="0" borderId="1" xfId="0" applyBorder="1"/>
    <xf numFmtId="14" fontId="0" fillId="0" borderId="1" xfId="0" applyNumberFormat="1" applyBorder="1"/>
    <xf numFmtId="14" fontId="0" fillId="0" borderId="1" xfId="0" applyNumberFormat="1" applyBorder="1" applyProtection="1">
      <protection locked="0"/>
    </xf>
    <xf numFmtId="0" fontId="0" fillId="0" borderId="1" xfId="0" applyBorder="1" applyAlignment="1" applyProtection="1">
      <alignment horizontal="center"/>
      <protection locked="0"/>
    </xf>
    <xf numFmtId="0" fontId="0" fillId="0" borderId="1" xfId="0" applyBorder="1" applyAlignment="1">
      <alignment horizontal="center"/>
    </xf>
    <xf numFmtId="0" fontId="1" fillId="0" borderId="10" xfId="0" applyFont="1" applyBorder="1" applyProtection="1">
      <protection locked="0"/>
    </xf>
    <xf numFmtId="0" fontId="1" fillId="0" borderId="11" xfId="0" applyFont="1" applyBorder="1"/>
    <xf numFmtId="0" fontId="1" fillId="0" borderId="12" xfId="0" applyFont="1" applyBorder="1"/>
    <xf numFmtId="0" fontId="1" fillId="0" borderId="1" xfId="0" applyFont="1" applyBorder="1" applyProtection="1">
      <protection locked="0"/>
    </xf>
    <xf numFmtId="0" fontId="1" fillId="0" borderId="2" xfId="0" applyFont="1" applyBorder="1" applyProtection="1">
      <protection locked="0"/>
    </xf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 applyProtection="1">
      <protection locked="0"/>
    </xf>
    <xf numFmtId="0" fontId="1" fillId="0" borderId="0" xfId="0" applyFont="1" applyBorder="1"/>
    <xf numFmtId="0" fontId="1" fillId="0" borderId="6" xfId="0" applyFont="1" applyBorder="1"/>
    <xf numFmtId="0" fontId="1" fillId="0" borderId="7" xfId="0" applyFont="1" applyBorder="1" applyProtection="1">
      <protection locked="0"/>
    </xf>
    <xf numFmtId="0" fontId="1" fillId="0" borderId="8" xfId="0" applyFont="1" applyBorder="1"/>
    <xf numFmtId="0" fontId="1" fillId="0" borderId="9" xfId="0" applyFont="1" applyBorder="1"/>
    <xf numFmtId="0" fontId="1" fillId="0" borderId="10" xfId="0" applyFont="1" applyBorder="1"/>
    <xf numFmtId="0" fontId="1" fillId="0" borderId="1" xfId="0" applyFont="1" applyBorder="1"/>
    <xf numFmtId="0" fontId="1" fillId="0" borderId="1" xfId="0" applyFont="1" applyBorder="1" applyAlignment="1">
      <alignment horizontal="right"/>
    </xf>
    <xf numFmtId="0" fontId="1" fillId="0" borderId="5" xfId="0" applyFont="1" applyFill="1" applyBorder="1" applyProtection="1">
      <protection locked="0"/>
    </xf>
    <xf numFmtId="0" fontId="1" fillId="0" borderId="10" xfId="0" applyFont="1" applyFill="1" applyBorder="1" applyProtection="1">
      <protection locked="0"/>
    </xf>
    <xf numFmtId="0" fontId="0" fillId="0" borderId="11" xfId="0" applyBorder="1"/>
    <xf numFmtId="0" fontId="0" fillId="0" borderId="12" xfId="0" applyBorder="1"/>
    <xf numFmtId="0" fontId="1" fillId="0" borderId="1" xfId="0" applyFont="1" applyFill="1" applyBorder="1" applyProtection="1">
      <protection locked="0"/>
    </xf>
    <xf numFmtId="0" fontId="0" fillId="0" borderId="1" xfId="0" applyFill="1" applyBorder="1" applyAlignment="1" applyProtection="1">
      <alignment horizontal="center"/>
      <protection locked="0"/>
    </xf>
    <xf numFmtId="0" fontId="0" fillId="0" borderId="1" xfId="0" applyFill="1" applyBorder="1"/>
    <xf numFmtId="0" fontId="0" fillId="0" borderId="5" xfId="0" applyBorder="1"/>
    <xf numFmtId="0" fontId="0" fillId="0" borderId="0" xfId="0" applyBorder="1"/>
    <xf numFmtId="0" fontId="0" fillId="0" borderId="7" xfId="0" applyBorder="1"/>
    <xf numFmtId="0" fontId="0" fillId="0" borderId="8" xfId="0" applyBorder="1"/>
    <xf numFmtId="0" fontId="0" fillId="0" borderId="10" xfId="0" applyBorder="1"/>
    <xf numFmtId="0" fontId="1" fillId="0" borderId="5" xfId="0" applyFont="1" applyBorder="1"/>
    <xf numFmtId="16" fontId="0" fillId="0" borderId="0" xfId="0" applyNumberFormat="1" applyProtection="1">
      <protection locked="0"/>
    </xf>
    <xf numFmtId="14" fontId="1" fillId="0" borderId="1" xfId="0" applyNumberFormat="1" applyFont="1" applyBorder="1"/>
    <xf numFmtId="14" fontId="1" fillId="0" borderId="1" xfId="0" applyNumberFormat="1" applyFont="1" applyBorder="1" applyProtection="1">
      <protection locked="0"/>
    </xf>
    <xf numFmtId="0" fontId="1" fillId="0" borderId="0" xfId="0" applyFont="1"/>
    <xf numFmtId="0" fontId="1" fillId="2" borderId="1" xfId="0" applyFont="1" applyFill="1" applyBorder="1"/>
    <xf numFmtId="0" fontId="0" fillId="2" borderId="1" xfId="0" applyFill="1" applyBorder="1"/>
    <xf numFmtId="0" fontId="0" fillId="2" borderId="1" xfId="0" applyFill="1" applyBorder="1" applyProtection="1">
      <protection locked="0"/>
    </xf>
    <xf numFmtId="0" fontId="1" fillId="3" borderId="1" xfId="0" applyFont="1" applyFill="1" applyBorder="1"/>
    <xf numFmtId="0" fontId="0" fillId="3" borderId="1" xfId="0" applyFill="1" applyBorder="1"/>
    <xf numFmtId="0" fontId="0" fillId="3" borderId="1" xfId="0" applyFill="1" applyBorder="1" applyProtection="1">
      <protection locked="0"/>
    </xf>
    <xf numFmtId="0" fontId="1" fillId="0" borderId="1" xfId="0" applyFont="1" applyBorder="1" applyAlignment="1">
      <alignment horizontal="center"/>
    </xf>
    <xf numFmtId="0" fontId="1" fillId="0" borderId="7" xfId="0" applyFont="1" applyBorder="1"/>
    <xf numFmtId="14" fontId="0" fillId="0" borderId="0" xfId="0" applyNumberFormat="1"/>
    <xf numFmtId="0" fontId="0" fillId="0" borderId="13" xfId="0" applyFill="1" applyBorder="1" applyProtection="1">
      <protection locked="0"/>
    </xf>
    <xf numFmtId="0" fontId="2" fillId="4" borderId="5" xfId="0" applyFont="1" applyFill="1" applyBorder="1" applyProtection="1">
      <protection locked="0"/>
    </xf>
    <xf numFmtId="0" fontId="2" fillId="4" borderId="0" xfId="0" applyFont="1" applyFill="1" applyBorder="1"/>
    <xf numFmtId="0" fontId="2" fillId="4" borderId="6" xfId="0" applyFont="1" applyFill="1" applyBorder="1"/>
    <xf numFmtId="0" fontId="1" fillId="3" borderId="5" xfId="0" applyFont="1" applyFill="1" applyBorder="1" applyProtection="1">
      <protection locked="0"/>
    </xf>
    <xf numFmtId="0" fontId="1" fillId="3" borderId="0" xfId="0" applyFont="1" applyFill="1" applyBorder="1"/>
    <xf numFmtId="0" fontId="1" fillId="3" borderId="6" xfId="0" applyFont="1" applyFill="1" applyBorder="1"/>
    <xf numFmtId="0" fontId="1" fillId="3" borderId="1" xfId="0" applyFont="1" applyFill="1" applyBorder="1" applyProtection="1">
      <protection locked="0"/>
    </xf>
    <xf numFmtId="0" fontId="0" fillId="3" borderId="1" xfId="0" applyFill="1" applyBorder="1" applyAlignment="1" applyProtection="1">
      <alignment horizontal="center"/>
      <protection locked="0"/>
    </xf>
    <xf numFmtId="0" fontId="0" fillId="0" borderId="9" xfId="0" applyBorder="1"/>
    <xf numFmtId="0" fontId="1" fillId="0" borderId="0" xfId="0" applyFont="1" applyFill="1" applyBorder="1" applyAlignment="1" applyProtection="1">
      <alignment horizontal="center"/>
      <protection locked="0"/>
    </xf>
    <xf numFmtId="0" fontId="0" fillId="0" borderId="14" xfId="0" applyBorder="1" applyAlignment="1">
      <alignment horizontal="center"/>
    </xf>
    <xf numFmtId="0" fontId="0" fillId="0" borderId="14" xfId="0" applyBorder="1" applyProtection="1">
      <protection locked="0"/>
    </xf>
    <xf numFmtId="0" fontId="0" fillId="0" borderId="14" xfId="0" applyBorder="1"/>
    <xf numFmtId="0" fontId="0" fillId="0" borderId="13" xfId="0" applyFill="1" applyBorder="1" applyAlignment="1" applyProtection="1">
      <alignment horizontal="left"/>
      <protection locked="0"/>
    </xf>
    <xf numFmtId="0" fontId="0" fillId="0" borderId="1" xfId="0" applyBorder="1" applyAlignment="1">
      <alignment horizontal="right"/>
    </xf>
    <xf numFmtId="0" fontId="1" fillId="0" borderId="14" xfId="0" applyFont="1" applyBorder="1" applyAlignment="1">
      <alignment horizontal="center"/>
    </xf>
    <xf numFmtId="0" fontId="1" fillId="0" borderId="10" xfId="0" applyFont="1" applyFill="1" applyBorder="1"/>
    <xf numFmtId="0" fontId="1" fillId="0" borderId="15" xfId="0" applyFont="1" applyBorder="1" applyProtection="1">
      <protection locked="0"/>
    </xf>
    <xf numFmtId="0" fontId="2" fillId="4" borderId="10" xfId="0" applyFont="1" applyFill="1" applyBorder="1" applyProtection="1">
      <protection locked="0"/>
    </xf>
    <xf numFmtId="0" fontId="2" fillId="4" borderId="11" xfId="0" applyFont="1" applyFill="1" applyBorder="1"/>
    <xf numFmtId="0" fontId="2" fillId="4" borderId="12" xfId="0" applyFont="1" applyFill="1" applyBorder="1"/>
    <xf numFmtId="0" fontId="1" fillId="0" borderId="1" xfId="0" applyFont="1" applyFill="1" applyBorder="1" applyAlignment="1" applyProtection="1">
      <alignment horizontal="center"/>
      <protection locked="0"/>
    </xf>
    <xf numFmtId="0" fontId="1" fillId="0" borderId="1" xfId="0" applyFont="1" applyFill="1" applyBorder="1"/>
    <xf numFmtId="0" fontId="0" fillId="0" borderId="1" xfId="0" applyFill="1" applyBorder="1" applyAlignment="1">
      <alignment horizontal="center"/>
    </xf>
    <xf numFmtId="0" fontId="0" fillId="0" borderId="1" xfId="0" applyFill="1" applyBorder="1" applyProtection="1">
      <protection locked="0"/>
    </xf>
    <xf numFmtId="0" fontId="1" fillId="0" borderId="1" xfId="0" applyFont="1" applyFill="1" applyBorder="1" applyAlignment="1">
      <alignment horizontal="center"/>
    </xf>
    <xf numFmtId="17" fontId="0" fillId="0" borderId="0" xfId="0" applyNumberFormat="1"/>
    <xf numFmtId="0" fontId="3" fillId="0" borderId="10" xfId="0" applyFont="1" applyBorder="1"/>
    <xf numFmtId="0" fontId="3" fillId="0" borderId="11" xfId="0" applyFont="1" applyBorder="1"/>
    <xf numFmtId="0" fontId="4" fillId="0" borderId="11" xfId="0" applyFont="1" applyBorder="1"/>
    <xf numFmtId="0" fontId="4" fillId="0" borderId="12" xfId="0" applyFont="1" applyBorder="1"/>
    <xf numFmtId="0" fontId="5" fillId="0" borderId="1" xfId="0" applyFont="1" applyBorder="1" applyProtection="1">
      <protection locked="0"/>
    </xf>
    <xf numFmtId="0" fontId="5" fillId="0" borderId="5" xfId="0" applyFont="1" applyBorder="1" applyAlignment="1" applyProtection="1">
      <alignment horizontal="right"/>
      <protection locked="0"/>
    </xf>
    <xf numFmtId="0" fontId="6" fillId="0" borderId="0" xfId="0" applyFont="1" applyAlignment="1">
      <alignment horizontal="right"/>
    </xf>
    <xf numFmtId="0" fontId="5" fillId="0" borderId="0" xfId="0" applyFont="1" applyBorder="1" applyAlignment="1">
      <alignment horizontal="right"/>
    </xf>
    <xf numFmtId="0" fontId="5" fillId="0" borderId="6" xfId="0" applyFont="1" applyBorder="1" applyAlignment="1">
      <alignment horizontal="right"/>
    </xf>
    <xf numFmtId="0" fontId="6" fillId="0" borderId="0" xfId="0" applyFont="1" applyAlignment="1">
      <alignment horizontal="right" vertical="top"/>
    </xf>
    <xf numFmtId="0" fontId="5" fillId="0" borderId="0" xfId="0" applyFont="1" applyBorder="1" applyAlignment="1">
      <alignment horizontal="right" vertical="top"/>
    </xf>
    <xf numFmtId="0" fontId="5" fillId="0" borderId="5" xfId="0" applyFont="1" applyBorder="1" applyAlignment="1" applyProtection="1">
      <alignment horizontal="right" vertical="top"/>
      <protection locked="0"/>
    </xf>
    <xf numFmtId="0" fontId="7" fillId="0" borderId="0" xfId="0" applyFont="1" applyFill="1" applyBorder="1" applyAlignment="1">
      <alignment horizontal="center" vertical="top"/>
    </xf>
    <xf numFmtId="0" fontId="7" fillId="0" borderId="5" xfId="0" applyFont="1" applyFill="1" applyBorder="1" applyAlignment="1" applyProtection="1">
      <alignment horizontal="center" vertical="top"/>
      <protection locked="0"/>
    </xf>
    <xf numFmtId="0" fontId="7" fillId="0" borderId="6" xfId="0" applyFont="1" applyFill="1" applyBorder="1" applyAlignment="1">
      <alignment horizontal="right"/>
    </xf>
    <xf numFmtId="0" fontId="7" fillId="0" borderId="0" xfId="0" applyFont="1" applyFill="1" applyAlignment="1">
      <alignment horizontal="right" vertical="top"/>
    </xf>
    <xf numFmtId="3" fontId="0" fillId="2" borderId="1" xfId="0" applyNumberFormat="1" applyFill="1" applyBorder="1"/>
    <xf numFmtId="3" fontId="0" fillId="3" borderId="1" xfId="0" applyNumberFormat="1" applyFill="1" applyBorder="1"/>
    <xf numFmtId="43" fontId="0" fillId="0" borderId="1" xfId="1" applyFont="1" applyBorder="1" applyProtection="1">
      <protection locked="0"/>
    </xf>
    <xf numFmtId="164" fontId="0" fillId="0" borderId="1" xfId="0" applyNumberFormat="1" applyBorder="1" applyProtection="1">
      <protection locked="0"/>
    </xf>
    <xf numFmtId="164" fontId="0" fillId="0" borderId="1" xfId="0" applyNumberFormat="1" applyBorder="1"/>
    <xf numFmtId="0" fontId="6" fillId="0" borderId="0" xfId="0" applyFont="1" applyAlignment="1">
      <alignment horizontal="left" vertical="top"/>
    </xf>
    <xf numFmtId="0" fontId="1" fillId="0" borderId="12" xfId="0" applyFont="1" applyBorder="1" applyProtection="1">
      <protection locked="0"/>
    </xf>
    <xf numFmtId="0" fontId="1" fillId="0" borderId="16" xfId="0" applyFont="1" applyBorder="1" applyProtection="1">
      <protection locked="0"/>
    </xf>
    <xf numFmtId="0" fontId="1" fillId="0" borderId="17" xfId="0" applyFont="1" applyBorder="1"/>
    <xf numFmtId="0" fontId="1" fillId="0" borderId="18" xfId="0" applyFont="1" applyBorder="1"/>
    <xf numFmtId="0" fontId="0" fillId="0" borderId="14" xfId="0" applyBorder="1" applyAlignment="1" applyProtection="1">
      <alignment horizontal="center"/>
      <protection locked="0"/>
    </xf>
    <xf numFmtId="0" fontId="0" fillId="0" borderId="15" xfId="0" applyBorder="1" applyAlignment="1" applyProtection="1">
      <alignment horizontal="center"/>
      <protection locked="0"/>
    </xf>
    <xf numFmtId="0" fontId="7" fillId="0" borderId="11" xfId="0" applyFont="1" applyFill="1" applyBorder="1" applyAlignment="1">
      <alignment horizontal="right" vertical="top"/>
    </xf>
    <xf numFmtId="0" fontId="7" fillId="0" borderId="11" xfId="0" applyFont="1" applyFill="1" applyBorder="1" applyAlignment="1">
      <alignment horizontal="center" vertical="top"/>
    </xf>
    <xf numFmtId="0" fontId="7" fillId="0" borderId="10" xfId="0" applyFont="1" applyFill="1" applyBorder="1" applyAlignment="1" applyProtection="1">
      <alignment horizontal="center" vertical="top"/>
      <protection locked="0"/>
    </xf>
    <xf numFmtId="0" fontId="7" fillId="0" borderId="12" xfId="0" applyFont="1" applyFill="1" applyBorder="1" applyAlignment="1">
      <alignment horizontal="right"/>
    </xf>
    <xf numFmtId="0" fontId="1" fillId="0" borderId="2" xfId="0" applyFont="1" applyBorder="1"/>
    <xf numFmtId="0" fontId="0" fillId="0" borderId="15" xfId="0" applyBorder="1" applyAlignment="1">
      <alignment horizontal="center"/>
    </xf>
    <xf numFmtId="0" fontId="1" fillId="0" borderId="15" xfId="0" applyFont="1" applyBorder="1"/>
    <xf numFmtId="0" fontId="0" fillId="0" borderId="15" xfId="0" applyBorder="1" applyProtection="1">
      <protection locked="0"/>
    </xf>
    <xf numFmtId="0" fontId="0" fillId="0" borderId="15" xfId="0" applyBorder="1"/>
  </cellXfs>
  <cellStyles count="2">
    <cellStyle name="Normal" xfId="0" builtinId="0"/>
    <cellStyle name="Virgül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calcChain" Target="calcChain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83"/>
  <sheetViews>
    <sheetView workbookViewId="0">
      <selection activeCell="H4" sqref="H4"/>
    </sheetView>
  </sheetViews>
  <sheetFormatPr defaultRowHeight="15" x14ac:dyDescent="0.25"/>
  <cols>
    <col min="1" max="1" width="5.5703125" customWidth="1"/>
    <col min="2" max="3" width="9.140625" hidden="1" customWidth="1"/>
    <col min="11" max="15" width="10.140625" bestFit="1" customWidth="1"/>
  </cols>
  <sheetData>
    <row r="1" spans="1:17" x14ac:dyDescent="0.25">
      <c r="G1" s="1"/>
      <c r="P1">
        <f>+H1+J1-K1-L1-M1-N1-O1</f>
        <v>0</v>
      </c>
    </row>
    <row r="2" spans="1:17" x14ac:dyDescent="0.25">
      <c r="A2" t="s">
        <v>14</v>
      </c>
      <c r="O2" s="1" t="s">
        <v>0</v>
      </c>
    </row>
    <row r="3" spans="1:17" x14ac:dyDescent="0.25">
      <c r="A3" s="1" t="s">
        <v>15</v>
      </c>
      <c r="D3" s="9" t="s">
        <v>17</v>
      </c>
      <c r="E3" s="10"/>
      <c r="F3" s="10"/>
      <c r="G3" s="11"/>
      <c r="H3" s="12" t="s">
        <v>18</v>
      </c>
      <c r="I3" s="4" t="s">
        <v>19</v>
      </c>
      <c r="J3" s="3" t="s">
        <v>20</v>
      </c>
      <c r="K3" s="5">
        <v>44830</v>
      </c>
      <c r="L3" s="6">
        <v>44831</v>
      </c>
      <c r="M3" s="5">
        <v>44832</v>
      </c>
      <c r="N3" s="5">
        <v>44833</v>
      </c>
      <c r="O3" s="6">
        <v>44834</v>
      </c>
      <c r="P3" s="3" t="s">
        <v>21</v>
      </c>
    </row>
    <row r="4" spans="1:17" x14ac:dyDescent="0.25">
      <c r="A4" s="2">
        <v>1</v>
      </c>
      <c r="D4" s="13" t="s">
        <v>16</v>
      </c>
      <c r="E4" s="14"/>
      <c r="F4" s="14"/>
      <c r="G4" s="15"/>
      <c r="H4" s="12">
        <v>351</v>
      </c>
      <c r="I4" s="7" t="s">
        <v>1</v>
      </c>
      <c r="J4" s="3">
        <v>0</v>
      </c>
      <c r="K4" s="3">
        <v>0</v>
      </c>
      <c r="L4" s="3">
        <v>17</v>
      </c>
      <c r="M4" s="3">
        <v>0</v>
      </c>
      <c r="N4" s="3">
        <v>0</v>
      </c>
      <c r="O4" s="3">
        <v>0</v>
      </c>
      <c r="P4" s="4">
        <f t="shared" ref="P4:P67" si="0">+H4+J4-K4-L4-M4-N4-O4</f>
        <v>334</v>
      </c>
      <c r="Q4" t="s">
        <v>67</v>
      </c>
    </row>
    <row r="5" spans="1:17" x14ac:dyDescent="0.25">
      <c r="A5" s="2">
        <v>2</v>
      </c>
      <c r="D5" s="9" t="s">
        <v>22</v>
      </c>
      <c r="E5" s="10"/>
      <c r="F5" s="10"/>
      <c r="G5" s="11"/>
      <c r="H5" s="12">
        <v>30</v>
      </c>
      <c r="I5" s="7" t="s">
        <v>2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4">
        <f t="shared" si="0"/>
        <v>30</v>
      </c>
      <c r="Q5" s="1" t="s">
        <v>14</v>
      </c>
    </row>
    <row r="6" spans="1:17" x14ac:dyDescent="0.25">
      <c r="A6" s="2">
        <v>3</v>
      </c>
      <c r="D6" s="16" t="s">
        <v>23</v>
      </c>
      <c r="E6" s="17"/>
      <c r="F6" s="17"/>
      <c r="G6" s="18"/>
      <c r="H6" s="12">
        <v>40</v>
      </c>
      <c r="I6" s="7" t="s">
        <v>2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4">
        <f t="shared" si="0"/>
        <v>40</v>
      </c>
      <c r="Q6" s="1" t="s">
        <v>14</v>
      </c>
    </row>
    <row r="7" spans="1:17" x14ac:dyDescent="0.25">
      <c r="A7" s="2">
        <v>4</v>
      </c>
      <c r="D7" s="9" t="s">
        <v>3</v>
      </c>
      <c r="E7" s="10"/>
      <c r="F7" s="10"/>
      <c r="G7" s="11"/>
      <c r="H7" s="12">
        <v>58</v>
      </c>
      <c r="I7" s="7" t="s">
        <v>2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4">
        <f t="shared" si="0"/>
        <v>58</v>
      </c>
      <c r="Q7" s="1" t="s">
        <v>14</v>
      </c>
    </row>
    <row r="8" spans="1:17" x14ac:dyDescent="0.25">
      <c r="A8" s="2">
        <v>5</v>
      </c>
      <c r="D8" s="16" t="s">
        <v>4</v>
      </c>
      <c r="E8" s="17"/>
      <c r="F8" s="17"/>
      <c r="G8" s="18"/>
      <c r="H8" s="12">
        <v>280</v>
      </c>
      <c r="I8" s="7" t="s">
        <v>2</v>
      </c>
      <c r="J8" s="3">
        <v>0</v>
      </c>
      <c r="K8" s="3">
        <v>8</v>
      </c>
      <c r="L8" s="3">
        <v>40</v>
      </c>
      <c r="M8" s="3">
        <v>0</v>
      </c>
      <c r="N8" s="3">
        <v>0</v>
      </c>
      <c r="O8" s="3">
        <v>0</v>
      </c>
      <c r="P8" s="4">
        <f t="shared" si="0"/>
        <v>232</v>
      </c>
      <c r="Q8" s="1" t="s">
        <v>14</v>
      </c>
    </row>
    <row r="9" spans="1:17" x14ac:dyDescent="0.25">
      <c r="A9" s="2">
        <v>6</v>
      </c>
      <c r="D9" s="9" t="s">
        <v>24</v>
      </c>
      <c r="E9" s="10"/>
      <c r="F9" s="10"/>
      <c r="G9" s="11"/>
      <c r="H9" s="12">
        <v>138</v>
      </c>
      <c r="I9" s="7" t="s">
        <v>2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4">
        <f t="shared" si="0"/>
        <v>138</v>
      </c>
      <c r="Q9" s="1" t="s">
        <v>14</v>
      </c>
    </row>
    <row r="10" spans="1:17" x14ac:dyDescent="0.25">
      <c r="A10" s="2">
        <v>7</v>
      </c>
      <c r="D10" s="16" t="s">
        <v>5</v>
      </c>
      <c r="E10" s="17"/>
      <c r="F10" s="17"/>
      <c r="G10" s="18"/>
      <c r="H10" s="12">
        <v>2408</v>
      </c>
      <c r="I10" s="7" t="s">
        <v>2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4">
        <f t="shared" si="0"/>
        <v>2408</v>
      </c>
      <c r="Q10" s="1" t="s">
        <v>14</v>
      </c>
    </row>
    <row r="11" spans="1:17" x14ac:dyDescent="0.25">
      <c r="A11" s="2">
        <v>8</v>
      </c>
      <c r="D11" s="9" t="s">
        <v>25</v>
      </c>
      <c r="E11" s="10"/>
      <c r="F11" s="10"/>
      <c r="G11" s="11"/>
      <c r="H11" s="12">
        <v>496</v>
      </c>
      <c r="I11" s="7" t="s">
        <v>2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4">
        <f t="shared" si="0"/>
        <v>496</v>
      </c>
      <c r="Q11" s="1" t="s">
        <v>14</v>
      </c>
    </row>
    <row r="12" spans="1:17" x14ac:dyDescent="0.25">
      <c r="A12" s="2">
        <v>9</v>
      </c>
      <c r="D12" s="16" t="s">
        <v>26</v>
      </c>
      <c r="E12" s="17"/>
      <c r="F12" s="17"/>
      <c r="G12" s="18"/>
      <c r="H12" s="12">
        <v>60</v>
      </c>
      <c r="I12" s="7" t="s">
        <v>2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4">
        <f t="shared" si="0"/>
        <v>60</v>
      </c>
      <c r="Q12" s="1" t="s">
        <v>14</v>
      </c>
    </row>
    <row r="13" spans="1:17" x14ac:dyDescent="0.25">
      <c r="A13" s="2">
        <v>10</v>
      </c>
      <c r="D13" s="9" t="s">
        <v>6</v>
      </c>
      <c r="E13" s="10"/>
      <c r="F13" s="10"/>
      <c r="G13" s="11"/>
      <c r="H13" s="12">
        <v>42</v>
      </c>
      <c r="I13" s="7" t="s">
        <v>2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4">
        <f t="shared" si="0"/>
        <v>42</v>
      </c>
      <c r="Q13" s="1" t="s">
        <v>14</v>
      </c>
    </row>
    <row r="14" spans="1:17" x14ac:dyDescent="0.25">
      <c r="A14" s="2">
        <v>11</v>
      </c>
      <c r="D14" s="16" t="s">
        <v>7</v>
      </c>
      <c r="E14" s="17"/>
      <c r="F14" s="17"/>
      <c r="G14" s="18"/>
      <c r="H14" s="12">
        <v>24</v>
      </c>
      <c r="I14" s="7" t="s">
        <v>2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4">
        <f t="shared" si="0"/>
        <v>24</v>
      </c>
      <c r="Q14" s="1" t="s">
        <v>14</v>
      </c>
    </row>
    <row r="15" spans="1:17" x14ac:dyDescent="0.25">
      <c r="A15" s="2">
        <v>12</v>
      </c>
      <c r="D15" s="9" t="s">
        <v>69</v>
      </c>
      <c r="E15" s="10"/>
      <c r="F15" s="10"/>
      <c r="G15" s="11"/>
      <c r="H15" s="12">
        <v>26</v>
      </c>
      <c r="I15" s="7" t="s">
        <v>2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4">
        <f t="shared" si="0"/>
        <v>26</v>
      </c>
      <c r="Q15" s="1" t="s">
        <v>14</v>
      </c>
    </row>
    <row r="16" spans="1:17" x14ac:dyDescent="0.25">
      <c r="A16" s="2">
        <v>13</v>
      </c>
      <c r="D16" s="16" t="s">
        <v>27</v>
      </c>
      <c r="E16" s="17"/>
      <c r="F16" s="17"/>
      <c r="G16" s="18"/>
      <c r="H16" s="12">
        <v>90</v>
      </c>
      <c r="I16" s="7" t="s">
        <v>2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4">
        <f t="shared" si="0"/>
        <v>90</v>
      </c>
      <c r="Q16" s="1" t="s">
        <v>14</v>
      </c>
    </row>
    <row r="17" spans="1:17" x14ac:dyDescent="0.25">
      <c r="A17" s="2">
        <v>14</v>
      </c>
      <c r="D17" s="9" t="s">
        <v>73</v>
      </c>
      <c r="E17" s="10"/>
      <c r="F17" s="10"/>
      <c r="G17" s="11"/>
      <c r="H17" s="12">
        <v>800</v>
      </c>
      <c r="I17" s="7" t="s">
        <v>2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4">
        <f t="shared" si="0"/>
        <v>800</v>
      </c>
      <c r="Q17" s="1" t="s">
        <v>14</v>
      </c>
    </row>
    <row r="18" spans="1:17" x14ac:dyDescent="0.25">
      <c r="A18" s="2">
        <v>15</v>
      </c>
      <c r="D18" s="16" t="s">
        <v>28</v>
      </c>
      <c r="E18" s="17"/>
      <c r="F18" s="17"/>
      <c r="G18" s="18"/>
      <c r="H18" s="12">
        <v>9</v>
      </c>
      <c r="I18" s="7" t="s">
        <v>2</v>
      </c>
      <c r="J18" s="3">
        <v>50</v>
      </c>
      <c r="K18" s="3">
        <v>0</v>
      </c>
      <c r="L18" s="3">
        <v>15</v>
      </c>
      <c r="M18" s="3">
        <v>1</v>
      </c>
      <c r="N18" s="3">
        <v>0</v>
      </c>
      <c r="O18" s="3">
        <v>0</v>
      </c>
      <c r="P18" s="4">
        <f t="shared" si="0"/>
        <v>43</v>
      </c>
      <c r="Q18" s="1" t="s">
        <v>14</v>
      </c>
    </row>
    <row r="19" spans="1:17" x14ac:dyDescent="0.25">
      <c r="A19" s="2">
        <v>16</v>
      </c>
      <c r="D19" s="9" t="s">
        <v>29</v>
      </c>
      <c r="E19" s="10"/>
      <c r="F19" s="10"/>
      <c r="G19" s="11"/>
      <c r="H19" s="12">
        <v>10</v>
      </c>
      <c r="I19" s="7" t="s">
        <v>2</v>
      </c>
      <c r="J19" s="3">
        <v>50</v>
      </c>
      <c r="K19" s="3">
        <v>0</v>
      </c>
      <c r="L19" s="3">
        <v>15</v>
      </c>
      <c r="M19" s="3">
        <v>1</v>
      </c>
      <c r="N19" s="3">
        <v>0</v>
      </c>
      <c r="O19" s="3">
        <v>0</v>
      </c>
      <c r="P19" s="4">
        <f t="shared" si="0"/>
        <v>44</v>
      </c>
      <c r="Q19" s="1" t="s">
        <v>14</v>
      </c>
    </row>
    <row r="20" spans="1:17" x14ac:dyDescent="0.25">
      <c r="A20" s="2">
        <v>17</v>
      </c>
      <c r="D20" s="16" t="s">
        <v>30</v>
      </c>
      <c r="E20" s="17"/>
      <c r="F20" s="17"/>
      <c r="G20" s="18"/>
      <c r="H20" s="12">
        <v>20</v>
      </c>
      <c r="I20" s="7" t="s">
        <v>2</v>
      </c>
      <c r="J20" s="3">
        <v>50</v>
      </c>
      <c r="K20" s="3">
        <v>0</v>
      </c>
      <c r="L20" s="3">
        <v>15</v>
      </c>
      <c r="M20" s="3">
        <v>1</v>
      </c>
      <c r="N20" s="3">
        <v>0</v>
      </c>
      <c r="O20" s="3">
        <v>0</v>
      </c>
      <c r="P20" s="4">
        <f t="shared" si="0"/>
        <v>54</v>
      </c>
      <c r="Q20" s="1" t="s">
        <v>14</v>
      </c>
    </row>
    <row r="21" spans="1:17" x14ac:dyDescent="0.25">
      <c r="A21" s="2">
        <v>18</v>
      </c>
      <c r="D21" s="9" t="s">
        <v>31</v>
      </c>
      <c r="E21" s="10"/>
      <c r="F21" s="10"/>
      <c r="G21" s="11"/>
      <c r="H21" s="12">
        <v>33</v>
      </c>
      <c r="I21" s="7" t="s">
        <v>2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4">
        <f t="shared" si="0"/>
        <v>33</v>
      </c>
      <c r="Q21" s="1" t="s">
        <v>14</v>
      </c>
    </row>
    <row r="22" spans="1:17" x14ac:dyDescent="0.25">
      <c r="A22" s="2">
        <v>19</v>
      </c>
      <c r="D22" s="16" t="s">
        <v>8</v>
      </c>
      <c r="E22" s="17"/>
      <c r="F22" s="17"/>
      <c r="G22" s="18"/>
      <c r="H22" s="12">
        <v>10</v>
      </c>
      <c r="I22" s="7" t="s">
        <v>1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4">
        <f t="shared" si="0"/>
        <v>10</v>
      </c>
      <c r="Q22" s="1" t="s">
        <v>14</v>
      </c>
    </row>
    <row r="23" spans="1:17" x14ac:dyDescent="0.25">
      <c r="A23" s="2">
        <v>20</v>
      </c>
      <c r="D23" s="9" t="s">
        <v>32</v>
      </c>
      <c r="E23" s="10"/>
      <c r="F23" s="10"/>
      <c r="G23" s="11"/>
      <c r="H23" s="12">
        <v>2000</v>
      </c>
      <c r="I23" s="7" t="s">
        <v>2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4">
        <f t="shared" si="0"/>
        <v>2000</v>
      </c>
      <c r="Q23" s="1" t="s">
        <v>14</v>
      </c>
    </row>
    <row r="24" spans="1:17" x14ac:dyDescent="0.25">
      <c r="A24" s="2">
        <v>21</v>
      </c>
      <c r="D24" s="16" t="s">
        <v>33</v>
      </c>
      <c r="E24" s="17"/>
      <c r="F24" s="17"/>
      <c r="G24" s="18"/>
      <c r="H24" s="12">
        <v>290</v>
      </c>
      <c r="I24" s="7" t="s">
        <v>2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4">
        <f t="shared" si="0"/>
        <v>290</v>
      </c>
      <c r="Q24" s="1" t="s">
        <v>14</v>
      </c>
    </row>
    <row r="25" spans="1:17" x14ac:dyDescent="0.25">
      <c r="A25" s="2">
        <v>22</v>
      </c>
      <c r="D25" s="9" t="s">
        <v>34</v>
      </c>
      <c r="E25" s="10"/>
      <c r="F25" s="10"/>
      <c r="G25" s="11"/>
      <c r="H25" s="12">
        <v>48</v>
      </c>
      <c r="I25" s="7" t="s">
        <v>2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4">
        <f t="shared" si="0"/>
        <v>48</v>
      </c>
      <c r="Q25" s="1" t="s">
        <v>14</v>
      </c>
    </row>
    <row r="26" spans="1:17" x14ac:dyDescent="0.25">
      <c r="A26" s="2">
        <v>23</v>
      </c>
      <c r="D26" s="16" t="s">
        <v>82</v>
      </c>
      <c r="E26" s="17"/>
      <c r="F26" s="17"/>
      <c r="G26" s="18"/>
      <c r="H26" s="12">
        <v>138</v>
      </c>
      <c r="I26" s="7" t="s">
        <v>2</v>
      </c>
      <c r="J26" s="3">
        <v>30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4">
        <f t="shared" si="0"/>
        <v>168</v>
      </c>
      <c r="Q26" s="1" t="s">
        <v>14</v>
      </c>
    </row>
    <row r="27" spans="1:17" x14ac:dyDescent="0.25">
      <c r="A27" s="2">
        <v>24</v>
      </c>
      <c r="D27" s="9" t="s">
        <v>81</v>
      </c>
      <c r="E27" s="10"/>
      <c r="F27" s="10"/>
      <c r="G27" s="11"/>
      <c r="H27" s="12">
        <v>50</v>
      </c>
      <c r="I27" s="7" t="s">
        <v>2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  <c r="P27" s="4">
        <f t="shared" si="0"/>
        <v>50</v>
      </c>
      <c r="Q27" s="1" t="s">
        <v>14</v>
      </c>
    </row>
    <row r="28" spans="1:17" x14ac:dyDescent="0.25">
      <c r="A28" s="2">
        <v>25</v>
      </c>
      <c r="D28" s="16" t="s">
        <v>35</v>
      </c>
      <c r="E28" s="17"/>
      <c r="F28" s="17"/>
      <c r="G28" s="18"/>
      <c r="H28" s="12">
        <v>50</v>
      </c>
      <c r="I28" s="7" t="s">
        <v>2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4">
        <f t="shared" si="0"/>
        <v>50</v>
      </c>
      <c r="Q28" s="1" t="s">
        <v>14</v>
      </c>
    </row>
    <row r="29" spans="1:17" x14ac:dyDescent="0.25">
      <c r="A29" s="2">
        <v>26</v>
      </c>
      <c r="D29" s="9" t="s">
        <v>36</v>
      </c>
      <c r="E29" s="10"/>
      <c r="F29" s="10"/>
      <c r="G29" s="11"/>
      <c r="H29" s="12">
        <v>65</v>
      </c>
      <c r="I29" s="7" t="s">
        <v>2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4">
        <f t="shared" si="0"/>
        <v>65</v>
      </c>
      <c r="Q29" s="1" t="s">
        <v>14</v>
      </c>
    </row>
    <row r="30" spans="1:17" x14ac:dyDescent="0.25">
      <c r="A30" s="2">
        <v>27</v>
      </c>
      <c r="D30" s="16" t="s">
        <v>37</v>
      </c>
      <c r="E30" s="17"/>
      <c r="F30" s="17"/>
      <c r="G30" s="18"/>
      <c r="H30" s="12">
        <v>215</v>
      </c>
      <c r="I30" s="7" t="s">
        <v>2</v>
      </c>
      <c r="J30" s="3">
        <v>25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4">
        <f t="shared" si="0"/>
        <v>240</v>
      </c>
      <c r="Q30" s="1" t="s">
        <v>14</v>
      </c>
    </row>
    <row r="31" spans="1:17" x14ac:dyDescent="0.25">
      <c r="A31" s="2">
        <v>28</v>
      </c>
      <c r="D31" s="9" t="s">
        <v>38</v>
      </c>
      <c r="E31" s="10"/>
      <c r="F31" s="10"/>
      <c r="G31" s="11"/>
      <c r="H31" s="12">
        <v>726</v>
      </c>
      <c r="I31" s="7" t="s">
        <v>2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4">
        <f t="shared" si="0"/>
        <v>726</v>
      </c>
      <c r="Q31" s="1" t="s">
        <v>14</v>
      </c>
    </row>
    <row r="32" spans="1:17" x14ac:dyDescent="0.25">
      <c r="A32" s="2">
        <v>29</v>
      </c>
      <c r="D32" s="16" t="s">
        <v>39</v>
      </c>
      <c r="E32" s="17"/>
      <c r="F32" s="17"/>
      <c r="G32" s="18"/>
      <c r="H32" s="12">
        <v>50</v>
      </c>
      <c r="I32" s="7" t="s">
        <v>2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4">
        <f t="shared" si="0"/>
        <v>50</v>
      </c>
      <c r="Q32" s="1" t="s">
        <v>14</v>
      </c>
    </row>
    <row r="33" spans="1:17" x14ac:dyDescent="0.25">
      <c r="A33" s="2">
        <v>30</v>
      </c>
      <c r="D33" s="9" t="s">
        <v>40</v>
      </c>
      <c r="E33" s="10"/>
      <c r="F33" s="10"/>
      <c r="G33" s="11"/>
      <c r="H33" s="12">
        <v>1115</v>
      </c>
      <c r="I33" s="7" t="s">
        <v>2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4">
        <f t="shared" si="0"/>
        <v>1115</v>
      </c>
      <c r="Q33" s="1" t="s">
        <v>14</v>
      </c>
    </row>
    <row r="34" spans="1:17" x14ac:dyDescent="0.25">
      <c r="A34" s="2">
        <v>31</v>
      </c>
      <c r="D34" s="16" t="s">
        <v>9</v>
      </c>
      <c r="E34" s="17"/>
      <c r="F34" s="17"/>
      <c r="G34" s="18"/>
      <c r="H34" s="12">
        <v>546</v>
      </c>
      <c r="I34" s="7" t="s">
        <v>2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4">
        <f t="shared" si="0"/>
        <v>546</v>
      </c>
      <c r="Q34" s="1" t="s">
        <v>14</v>
      </c>
    </row>
    <row r="35" spans="1:17" x14ac:dyDescent="0.25">
      <c r="A35" s="2">
        <v>32</v>
      </c>
      <c r="D35" s="9" t="s">
        <v>83</v>
      </c>
      <c r="E35" s="10"/>
      <c r="F35" s="10"/>
      <c r="G35" s="11"/>
      <c r="H35" s="12">
        <v>100</v>
      </c>
      <c r="I35" s="7" t="s">
        <v>2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4">
        <f t="shared" si="0"/>
        <v>100</v>
      </c>
      <c r="Q35" s="1" t="s">
        <v>14</v>
      </c>
    </row>
    <row r="36" spans="1:17" x14ac:dyDescent="0.25">
      <c r="A36" s="2">
        <v>33</v>
      </c>
      <c r="D36" s="16" t="s">
        <v>70</v>
      </c>
      <c r="E36" s="17"/>
      <c r="F36" s="17"/>
      <c r="G36" s="18"/>
      <c r="H36" s="12">
        <v>960</v>
      </c>
      <c r="I36" s="7" t="s">
        <v>2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4">
        <f t="shared" si="0"/>
        <v>960</v>
      </c>
      <c r="Q36" s="1" t="s">
        <v>14</v>
      </c>
    </row>
    <row r="37" spans="1:17" x14ac:dyDescent="0.25">
      <c r="A37" s="2">
        <v>34</v>
      </c>
      <c r="D37" s="9" t="s">
        <v>41</v>
      </c>
      <c r="E37" s="10"/>
      <c r="F37" s="10"/>
      <c r="G37" s="11"/>
      <c r="H37" s="12">
        <v>326</v>
      </c>
      <c r="I37" s="7" t="s">
        <v>2</v>
      </c>
      <c r="J37" s="3">
        <v>0</v>
      </c>
      <c r="K37" s="3">
        <v>0</v>
      </c>
      <c r="L37" s="3">
        <v>0</v>
      </c>
      <c r="M37" s="3">
        <v>35</v>
      </c>
      <c r="N37" s="3">
        <v>0</v>
      </c>
      <c r="O37" s="3">
        <v>0</v>
      </c>
      <c r="P37" s="4">
        <f t="shared" si="0"/>
        <v>291</v>
      </c>
      <c r="Q37" s="1" t="s">
        <v>14</v>
      </c>
    </row>
    <row r="38" spans="1:17" x14ac:dyDescent="0.25">
      <c r="A38" s="2">
        <v>35</v>
      </c>
      <c r="D38" s="16" t="s">
        <v>42</v>
      </c>
      <c r="E38" s="17"/>
      <c r="F38" s="17"/>
      <c r="G38" s="18"/>
      <c r="H38" s="12">
        <v>330</v>
      </c>
      <c r="I38" s="7" t="s">
        <v>2</v>
      </c>
      <c r="J38" s="3">
        <v>0</v>
      </c>
      <c r="K38" s="3">
        <v>0</v>
      </c>
      <c r="L38" s="3">
        <v>0</v>
      </c>
      <c r="M38" s="3">
        <v>35</v>
      </c>
      <c r="N38" s="3">
        <v>0</v>
      </c>
      <c r="O38" s="3">
        <v>0</v>
      </c>
      <c r="P38" s="4">
        <f t="shared" si="0"/>
        <v>295</v>
      </c>
      <c r="Q38" s="1" t="s">
        <v>14</v>
      </c>
    </row>
    <row r="39" spans="1:17" x14ac:dyDescent="0.25">
      <c r="A39" s="2">
        <v>36</v>
      </c>
      <c r="D39" s="9" t="s">
        <v>43</v>
      </c>
      <c r="E39" s="10"/>
      <c r="F39" s="10"/>
      <c r="G39" s="11"/>
      <c r="H39" s="12">
        <v>40</v>
      </c>
      <c r="I39" s="7" t="s">
        <v>2</v>
      </c>
      <c r="J39" s="3">
        <v>0</v>
      </c>
      <c r="K39" s="3">
        <v>0</v>
      </c>
      <c r="L39" s="3">
        <v>0</v>
      </c>
      <c r="M39" s="3">
        <v>35</v>
      </c>
      <c r="N39" s="3">
        <v>0</v>
      </c>
      <c r="O39" s="3">
        <v>0</v>
      </c>
      <c r="P39" s="4">
        <f t="shared" si="0"/>
        <v>5</v>
      </c>
      <c r="Q39" s="1" t="s">
        <v>14</v>
      </c>
    </row>
    <row r="40" spans="1:17" x14ac:dyDescent="0.25">
      <c r="A40" s="2">
        <v>37</v>
      </c>
      <c r="D40" s="16" t="s">
        <v>44</v>
      </c>
      <c r="E40" s="17"/>
      <c r="F40" s="17"/>
      <c r="G40" s="18"/>
      <c r="H40" s="12">
        <v>99</v>
      </c>
      <c r="I40" s="7" t="s">
        <v>2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4">
        <f t="shared" si="0"/>
        <v>99</v>
      </c>
      <c r="Q40" s="1" t="s">
        <v>14</v>
      </c>
    </row>
    <row r="41" spans="1:17" x14ac:dyDescent="0.25">
      <c r="A41" s="2">
        <v>38</v>
      </c>
      <c r="D41" s="9" t="s">
        <v>71</v>
      </c>
      <c r="E41" s="10"/>
      <c r="F41" s="10"/>
      <c r="G41" s="11"/>
      <c r="H41" s="12">
        <v>20</v>
      </c>
      <c r="I41" s="7" t="s">
        <v>2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4">
        <f t="shared" si="0"/>
        <v>20</v>
      </c>
      <c r="Q41" s="1" t="s">
        <v>14</v>
      </c>
    </row>
    <row r="42" spans="1:17" x14ac:dyDescent="0.25">
      <c r="A42" s="2">
        <v>39</v>
      </c>
      <c r="D42" s="16" t="s">
        <v>10</v>
      </c>
      <c r="E42" s="17"/>
      <c r="F42" s="17"/>
      <c r="G42" s="18"/>
      <c r="H42" s="12">
        <v>130</v>
      </c>
      <c r="I42" s="7" t="s">
        <v>2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4">
        <f t="shared" si="0"/>
        <v>130</v>
      </c>
      <c r="Q42" s="1" t="s">
        <v>14</v>
      </c>
    </row>
    <row r="43" spans="1:17" x14ac:dyDescent="0.25">
      <c r="A43" s="2">
        <v>40</v>
      </c>
      <c r="D43" s="9" t="s">
        <v>45</v>
      </c>
      <c r="E43" s="10"/>
      <c r="F43" s="10"/>
      <c r="G43" s="11"/>
      <c r="H43" s="12">
        <v>168</v>
      </c>
      <c r="I43" s="7" t="s">
        <v>2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4">
        <f t="shared" si="0"/>
        <v>168</v>
      </c>
      <c r="Q43" s="1" t="s">
        <v>14</v>
      </c>
    </row>
    <row r="44" spans="1:17" x14ac:dyDescent="0.25">
      <c r="A44" s="2">
        <v>41</v>
      </c>
      <c r="D44" s="16" t="s">
        <v>46</v>
      </c>
      <c r="E44" s="17"/>
      <c r="F44" s="17"/>
      <c r="G44" s="18"/>
      <c r="H44" s="12">
        <v>35</v>
      </c>
      <c r="I44" s="7" t="s">
        <v>2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4">
        <f t="shared" si="0"/>
        <v>35</v>
      </c>
      <c r="Q44" s="1" t="s">
        <v>14</v>
      </c>
    </row>
    <row r="45" spans="1:17" x14ac:dyDescent="0.25">
      <c r="A45" s="2">
        <v>42</v>
      </c>
      <c r="D45" s="9" t="s">
        <v>47</v>
      </c>
      <c r="E45" s="10"/>
      <c r="F45" s="10"/>
      <c r="G45" s="11"/>
      <c r="H45" s="12">
        <v>30</v>
      </c>
      <c r="I45" s="7" t="s">
        <v>2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4">
        <f t="shared" si="0"/>
        <v>30</v>
      </c>
      <c r="Q45" s="1" t="s">
        <v>14</v>
      </c>
    </row>
    <row r="46" spans="1:17" x14ac:dyDescent="0.25">
      <c r="A46" s="2">
        <v>43</v>
      </c>
      <c r="D46" s="16" t="s">
        <v>79</v>
      </c>
      <c r="E46" s="17"/>
      <c r="F46" s="17"/>
      <c r="G46" s="18"/>
      <c r="H46" s="12">
        <v>21</v>
      </c>
      <c r="I46" s="7" t="s">
        <v>2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4">
        <f t="shared" si="0"/>
        <v>21</v>
      </c>
      <c r="Q46" s="1" t="s">
        <v>14</v>
      </c>
    </row>
    <row r="47" spans="1:17" x14ac:dyDescent="0.25">
      <c r="A47" s="2">
        <v>44</v>
      </c>
      <c r="D47" s="9" t="s">
        <v>48</v>
      </c>
      <c r="E47" s="10"/>
      <c r="F47" s="10"/>
      <c r="G47" s="11"/>
      <c r="H47" s="12">
        <v>38</v>
      </c>
      <c r="I47" s="7" t="s">
        <v>2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4">
        <f t="shared" si="0"/>
        <v>38</v>
      </c>
      <c r="Q47" s="1" t="s">
        <v>14</v>
      </c>
    </row>
    <row r="48" spans="1:17" x14ac:dyDescent="0.25">
      <c r="A48" s="2">
        <v>45</v>
      </c>
      <c r="D48" s="16" t="s">
        <v>49</v>
      </c>
      <c r="E48" s="17"/>
      <c r="F48" s="17"/>
      <c r="G48" s="18"/>
      <c r="H48" s="12">
        <v>28</v>
      </c>
      <c r="I48" s="7" t="s">
        <v>2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4">
        <f t="shared" si="0"/>
        <v>28</v>
      </c>
      <c r="Q48" s="1" t="s">
        <v>14</v>
      </c>
    </row>
    <row r="49" spans="1:17" x14ac:dyDescent="0.25">
      <c r="A49" s="2">
        <v>46</v>
      </c>
      <c r="D49" s="9" t="s">
        <v>11</v>
      </c>
      <c r="E49" s="10"/>
      <c r="F49" s="10"/>
      <c r="G49" s="11"/>
      <c r="H49" s="12">
        <v>310</v>
      </c>
      <c r="I49" s="7" t="s">
        <v>1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4">
        <f t="shared" si="0"/>
        <v>310</v>
      </c>
      <c r="Q49" s="1" t="s">
        <v>14</v>
      </c>
    </row>
    <row r="50" spans="1:17" x14ac:dyDescent="0.25">
      <c r="A50" s="2">
        <v>47</v>
      </c>
      <c r="D50" s="16" t="s">
        <v>50</v>
      </c>
      <c r="E50" s="17"/>
      <c r="F50" s="17"/>
      <c r="G50" s="18"/>
      <c r="H50" s="12">
        <v>225</v>
      </c>
      <c r="I50" s="7" t="s">
        <v>2</v>
      </c>
      <c r="J50" s="3">
        <v>0</v>
      </c>
      <c r="K50" s="3">
        <v>6</v>
      </c>
      <c r="L50" s="3">
        <v>10</v>
      </c>
      <c r="M50" s="3">
        <v>0</v>
      </c>
      <c r="N50" s="3">
        <v>0</v>
      </c>
      <c r="O50" s="3">
        <v>0</v>
      </c>
      <c r="P50" s="4">
        <f t="shared" si="0"/>
        <v>209</v>
      </c>
      <c r="Q50" s="1" t="s">
        <v>14</v>
      </c>
    </row>
    <row r="51" spans="1:17" x14ac:dyDescent="0.25">
      <c r="A51" s="2">
        <v>48</v>
      </c>
      <c r="D51" s="9" t="s">
        <v>51</v>
      </c>
      <c r="E51" s="10"/>
      <c r="F51" s="10"/>
      <c r="G51" s="11"/>
      <c r="H51" s="12">
        <v>124</v>
      </c>
      <c r="I51" s="7" t="s">
        <v>2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4">
        <f t="shared" si="0"/>
        <v>124</v>
      </c>
      <c r="Q51" s="1" t="s">
        <v>14</v>
      </c>
    </row>
    <row r="52" spans="1:17" x14ac:dyDescent="0.25">
      <c r="A52" s="2">
        <v>49</v>
      </c>
      <c r="D52" s="16" t="s">
        <v>52</v>
      </c>
      <c r="E52" s="17"/>
      <c r="F52" s="17"/>
      <c r="G52" s="18"/>
      <c r="H52" s="12">
        <v>60</v>
      </c>
      <c r="I52" s="7" t="s">
        <v>2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4">
        <f t="shared" si="0"/>
        <v>60</v>
      </c>
      <c r="Q52" s="1" t="s">
        <v>14</v>
      </c>
    </row>
    <row r="53" spans="1:17" x14ac:dyDescent="0.25">
      <c r="A53" s="2">
        <v>50</v>
      </c>
      <c r="D53" s="9" t="s">
        <v>53</v>
      </c>
      <c r="E53" s="10"/>
      <c r="F53" s="10"/>
      <c r="G53" s="11"/>
      <c r="H53" s="12">
        <v>60</v>
      </c>
      <c r="I53" s="7" t="s">
        <v>2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4">
        <f t="shared" si="0"/>
        <v>60</v>
      </c>
      <c r="Q53" s="1" t="s">
        <v>14</v>
      </c>
    </row>
    <row r="54" spans="1:17" x14ac:dyDescent="0.25">
      <c r="A54" s="2">
        <v>51</v>
      </c>
      <c r="D54" s="16" t="s">
        <v>54</v>
      </c>
      <c r="E54" s="17"/>
      <c r="F54" s="17"/>
      <c r="G54" s="18"/>
      <c r="H54" s="12">
        <v>256</v>
      </c>
      <c r="I54" s="7" t="s">
        <v>1</v>
      </c>
      <c r="J54" s="3">
        <v>0</v>
      </c>
      <c r="K54" s="3">
        <v>48</v>
      </c>
      <c r="L54" s="3">
        <v>32</v>
      </c>
      <c r="M54" s="3">
        <v>17</v>
      </c>
      <c r="N54" s="3">
        <v>17</v>
      </c>
      <c r="O54" s="3">
        <v>0</v>
      </c>
      <c r="P54" s="4">
        <f t="shared" si="0"/>
        <v>142</v>
      </c>
      <c r="Q54" s="1" t="s">
        <v>68</v>
      </c>
    </row>
    <row r="55" spans="1:17" x14ac:dyDescent="0.25">
      <c r="A55" s="2">
        <v>52</v>
      </c>
      <c r="D55" s="9" t="s">
        <v>55</v>
      </c>
      <c r="E55" s="10"/>
      <c r="F55" s="10"/>
      <c r="G55" s="11"/>
      <c r="H55" s="12">
        <v>10000</v>
      </c>
      <c r="I55" s="7" t="s">
        <v>2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  <c r="P55" s="4">
        <f t="shared" si="0"/>
        <v>10000</v>
      </c>
      <c r="Q55" s="1" t="s">
        <v>14</v>
      </c>
    </row>
    <row r="56" spans="1:17" x14ac:dyDescent="0.25">
      <c r="A56" s="2">
        <v>53</v>
      </c>
      <c r="D56" s="16" t="s">
        <v>56</v>
      </c>
      <c r="E56" s="17"/>
      <c r="F56" s="17"/>
      <c r="G56" s="18"/>
      <c r="H56" s="12">
        <v>2000</v>
      </c>
      <c r="I56" s="7" t="s">
        <v>2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  <c r="P56" s="4">
        <f t="shared" si="0"/>
        <v>2000</v>
      </c>
      <c r="Q56" s="1" t="s">
        <v>14</v>
      </c>
    </row>
    <row r="57" spans="1:17" x14ac:dyDescent="0.25">
      <c r="A57" s="2">
        <v>54</v>
      </c>
      <c r="D57" s="9" t="s">
        <v>12</v>
      </c>
      <c r="E57" s="10"/>
      <c r="F57" s="10"/>
      <c r="G57" s="11"/>
      <c r="H57" s="12">
        <v>2800</v>
      </c>
      <c r="I57" s="7" t="s">
        <v>2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  <c r="P57" s="4">
        <f t="shared" si="0"/>
        <v>2800</v>
      </c>
      <c r="Q57" s="1" t="s">
        <v>14</v>
      </c>
    </row>
    <row r="58" spans="1:17" x14ac:dyDescent="0.25">
      <c r="A58" s="2">
        <v>55</v>
      </c>
      <c r="D58" s="16" t="s">
        <v>57</v>
      </c>
      <c r="E58" s="17"/>
      <c r="F58" s="17"/>
      <c r="G58" s="18"/>
      <c r="H58" s="12">
        <v>3000</v>
      </c>
      <c r="I58" s="7" t="s">
        <v>2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4">
        <f t="shared" si="0"/>
        <v>3000</v>
      </c>
      <c r="Q58" s="1" t="s">
        <v>14</v>
      </c>
    </row>
    <row r="59" spans="1:17" x14ac:dyDescent="0.25">
      <c r="A59" s="2">
        <v>56</v>
      </c>
      <c r="D59" s="9" t="s">
        <v>58</v>
      </c>
      <c r="E59" s="10"/>
      <c r="F59" s="10"/>
      <c r="G59" s="11"/>
      <c r="H59" s="12">
        <v>5000</v>
      </c>
      <c r="I59" s="7" t="s">
        <v>2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  <c r="P59" s="4">
        <f t="shared" si="0"/>
        <v>5000</v>
      </c>
      <c r="Q59" s="1" t="s">
        <v>14</v>
      </c>
    </row>
    <row r="60" spans="1:17" x14ac:dyDescent="0.25">
      <c r="A60" s="2">
        <v>57</v>
      </c>
      <c r="D60" s="16" t="s">
        <v>59</v>
      </c>
      <c r="E60" s="17"/>
      <c r="F60" s="17"/>
      <c r="G60" s="18"/>
      <c r="H60" s="12">
        <v>3000</v>
      </c>
      <c r="I60" s="7" t="s">
        <v>2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4">
        <f t="shared" si="0"/>
        <v>3000</v>
      </c>
      <c r="Q60" s="1" t="s">
        <v>14</v>
      </c>
    </row>
    <row r="61" spans="1:17" x14ac:dyDescent="0.25">
      <c r="A61" s="2">
        <v>58</v>
      </c>
      <c r="D61" s="9" t="s">
        <v>60</v>
      </c>
      <c r="E61" s="10"/>
      <c r="F61" s="10"/>
      <c r="G61" s="11"/>
      <c r="H61" s="12">
        <v>5000</v>
      </c>
      <c r="I61" s="7" t="s">
        <v>2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4">
        <f t="shared" si="0"/>
        <v>5000</v>
      </c>
      <c r="Q61" s="1" t="s">
        <v>14</v>
      </c>
    </row>
    <row r="62" spans="1:17" x14ac:dyDescent="0.25">
      <c r="A62" s="2">
        <v>59</v>
      </c>
      <c r="D62" s="16" t="s">
        <v>61</v>
      </c>
      <c r="E62" s="17"/>
      <c r="F62" s="17"/>
      <c r="G62" s="18"/>
      <c r="H62" s="12">
        <v>494</v>
      </c>
      <c r="I62" s="7" t="s">
        <v>2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4">
        <f t="shared" si="0"/>
        <v>494</v>
      </c>
      <c r="Q62" s="1" t="s">
        <v>14</v>
      </c>
    </row>
    <row r="63" spans="1:17" x14ac:dyDescent="0.25">
      <c r="A63" s="2">
        <v>60</v>
      </c>
      <c r="D63" s="9" t="s">
        <v>62</v>
      </c>
      <c r="E63" s="10"/>
      <c r="F63" s="10"/>
      <c r="G63" s="11"/>
      <c r="H63" s="12">
        <v>100</v>
      </c>
      <c r="I63" s="7" t="s">
        <v>2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4">
        <f t="shared" si="0"/>
        <v>100</v>
      </c>
      <c r="Q63" s="1" t="s">
        <v>14</v>
      </c>
    </row>
    <row r="64" spans="1:17" x14ac:dyDescent="0.25">
      <c r="A64" s="2">
        <v>61</v>
      </c>
      <c r="D64" s="16" t="s">
        <v>13</v>
      </c>
      <c r="E64" s="17"/>
      <c r="F64" s="17"/>
      <c r="G64" s="18"/>
      <c r="H64" s="12">
        <v>297</v>
      </c>
      <c r="I64" s="7" t="s">
        <v>2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4">
        <f t="shared" si="0"/>
        <v>297</v>
      </c>
      <c r="Q64" s="1" t="s">
        <v>14</v>
      </c>
    </row>
    <row r="65" spans="1:17" x14ac:dyDescent="0.25">
      <c r="A65" s="2">
        <v>62</v>
      </c>
      <c r="D65" s="9" t="s">
        <v>72</v>
      </c>
      <c r="E65" s="10"/>
      <c r="F65" s="10"/>
      <c r="G65" s="11"/>
      <c r="H65" s="12">
        <v>315</v>
      </c>
      <c r="I65" s="7" t="s">
        <v>2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4">
        <f t="shared" si="0"/>
        <v>315</v>
      </c>
      <c r="Q65" s="1" t="s">
        <v>14</v>
      </c>
    </row>
    <row r="66" spans="1:17" x14ac:dyDescent="0.25">
      <c r="A66" s="2">
        <v>63</v>
      </c>
      <c r="D66" s="16" t="s">
        <v>63</v>
      </c>
      <c r="E66" s="17"/>
      <c r="F66" s="17"/>
      <c r="G66" s="18"/>
      <c r="H66" s="12">
        <v>350</v>
      </c>
      <c r="I66" s="7" t="s">
        <v>2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  <c r="P66" s="4">
        <f t="shared" si="0"/>
        <v>350</v>
      </c>
      <c r="Q66" s="1" t="s">
        <v>14</v>
      </c>
    </row>
    <row r="67" spans="1:17" x14ac:dyDescent="0.25">
      <c r="A67" s="2">
        <v>64</v>
      </c>
      <c r="D67" s="9" t="s">
        <v>77</v>
      </c>
      <c r="E67" s="10"/>
      <c r="F67" s="10"/>
      <c r="G67" s="11"/>
      <c r="H67" s="12">
        <v>1550</v>
      </c>
      <c r="I67" s="7" t="s">
        <v>2</v>
      </c>
      <c r="J67" s="3">
        <v>0</v>
      </c>
      <c r="K67" s="3">
        <v>150</v>
      </c>
      <c r="L67" s="3">
        <v>0</v>
      </c>
      <c r="M67" s="3">
        <v>0</v>
      </c>
      <c r="N67" s="3">
        <v>0</v>
      </c>
      <c r="O67" s="3">
        <v>0</v>
      </c>
      <c r="P67" s="4">
        <f t="shared" si="0"/>
        <v>1400</v>
      </c>
      <c r="Q67" s="1" t="s">
        <v>14</v>
      </c>
    </row>
    <row r="68" spans="1:17" x14ac:dyDescent="0.25">
      <c r="A68" s="2">
        <v>65</v>
      </c>
      <c r="D68" s="16" t="s">
        <v>87</v>
      </c>
      <c r="E68" s="17"/>
      <c r="F68" s="17"/>
      <c r="G68" s="18"/>
      <c r="H68" s="12">
        <v>543</v>
      </c>
      <c r="I68" s="7" t="s">
        <v>2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4">
        <f t="shared" ref="P68:P83" si="1">+H68+J68-K68-L68-M68-N68-O68</f>
        <v>543</v>
      </c>
      <c r="Q68" s="1" t="s">
        <v>14</v>
      </c>
    </row>
    <row r="69" spans="1:17" x14ac:dyDescent="0.25">
      <c r="A69" s="2">
        <v>66</v>
      </c>
      <c r="D69" s="9" t="s">
        <v>64</v>
      </c>
      <c r="E69" s="10"/>
      <c r="F69" s="10"/>
      <c r="G69" s="11"/>
      <c r="H69" s="12">
        <v>328</v>
      </c>
      <c r="I69" s="7" t="s">
        <v>2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4">
        <f t="shared" si="1"/>
        <v>328</v>
      </c>
      <c r="Q69" s="1" t="s">
        <v>14</v>
      </c>
    </row>
    <row r="70" spans="1:17" x14ac:dyDescent="0.25">
      <c r="A70" s="2">
        <v>67</v>
      </c>
      <c r="D70" s="16" t="s">
        <v>65</v>
      </c>
      <c r="E70" s="17"/>
      <c r="F70" s="17"/>
      <c r="G70" s="18"/>
      <c r="H70" s="12">
        <v>95</v>
      </c>
      <c r="I70" s="7" t="s">
        <v>2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4">
        <f t="shared" si="1"/>
        <v>95</v>
      </c>
      <c r="Q70" s="1" t="s">
        <v>14</v>
      </c>
    </row>
    <row r="71" spans="1:17" x14ac:dyDescent="0.25">
      <c r="A71" s="2">
        <v>68</v>
      </c>
      <c r="D71" s="9" t="s">
        <v>66</v>
      </c>
      <c r="E71" s="10"/>
      <c r="F71" s="10"/>
      <c r="G71" s="11"/>
      <c r="H71" s="12">
        <v>500</v>
      </c>
      <c r="I71" s="7" t="s">
        <v>2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4">
        <f t="shared" si="1"/>
        <v>500</v>
      </c>
      <c r="Q71" s="1" t="s">
        <v>14</v>
      </c>
    </row>
    <row r="72" spans="1:17" x14ac:dyDescent="0.25">
      <c r="A72" s="2">
        <v>69</v>
      </c>
      <c r="D72" s="19" t="s">
        <v>86</v>
      </c>
      <c r="E72" s="20"/>
      <c r="F72" s="20"/>
      <c r="G72" s="21"/>
      <c r="H72" s="12">
        <v>0</v>
      </c>
      <c r="I72" s="7" t="s">
        <v>2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  <c r="P72" s="4">
        <f t="shared" si="1"/>
        <v>0</v>
      </c>
      <c r="Q72" s="1" t="s">
        <v>14</v>
      </c>
    </row>
    <row r="73" spans="1:17" x14ac:dyDescent="0.25">
      <c r="A73" s="2">
        <v>70</v>
      </c>
      <c r="D73" s="22" t="s">
        <v>74</v>
      </c>
      <c r="E73" s="10"/>
      <c r="F73" s="10"/>
      <c r="G73" s="11"/>
      <c r="H73" s="23">
        <v>140</v>
      </c>
      <c r="I73" s="8" t="s">
        <v>75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4">
        <f t="shared" si="1"/>
        <v>140</v>
      </c>
      <c r="Q73" s="1" t="s">
        <v>14</v>
      </c>
    </row>
    <row r="74" spans="1:17" x14ac:dyDescent="0.25">
      <c r="A74" s="2">
        <v>71</v>
      </c>
      <c r="C74" s="1" t="s">
        <v>14</v>
      </c>
      <c r="D74" s="22" t="s">
        <v>76</v>
      </c>
      <c r="E74" s="10"/>
      <c r="F74" s="10"/>
      <c r="G74" s="11"/>
      <c r="H74" s="24">
        <v>184</v>
      </c>
      <c r="I74" s="8" t="s">
        <v>2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4">
        <f t="shared" si="1"/>
        <v>184</v>
      </c>
      <c r="Q74" s="1" t="s">
        <v>14</v>
      </c>
    </row>
    <row r="75" spans="1:17" x14ac:dyDescent="0.25">
      <c r="A75" s="2">
        <v>72</v>
      </c>
      <c r="D75" s="25" t="s">
        <v>78</v>
      </c>
      <c r="H75" s="29">
        <v>76</v>
      </c>
      <c r="I75" s="30" t="s">
        <v>2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4">
        <f t="shared" si="1"/>
        <v>76</v>
      </c>
      <c r="Q75" s="1" t="s">
        <v>14</v>
      </c>
    </row>
    <row r="76" spans="1:17" x14ac:dyDescent="0.25">
      <c r="A76" s="2">
        <v>73</v>
      </c>
      <c r="D76" s="26" t="s">
        <v>80</v>
      </c>
      <c r="E76" s="27"/>
      <c r="F76" s="27"/>
      <c r="G76" s="28"/>
      <c r="H76" s="29">
        <v>50</v>
      </c>
      <c r="I76" s="8" t="s">
        <v>2</v>
      </c>
      <c r="J76" s="3">
        <v>0</v>
      </c>
      <c r="K76" s="3">
        <v>0</v>
      </c>
      <c r="L76" s="3">
        <v>0</v>
      </c>
      <c r="M76" s="3">
        <v>12</v>
      </c>
      <c r="N76" s="3">
        <v>0</v>
      </c>
      <c r="O76" s="3">
        <v>0</v>
      </c>
      <c r="P76" s="4">
        <f t="shared" si="1"/>
        <v>38</v>
      </c>
      <c r="Q76" s="1" t="s">
        <v>14</v>
      </c>
    </row>
    <row r="77" spans="1:17" x14ac:dyDescent="0.25">
      <c r="A77" s="2">
        <v>74</v>
      </c>
      <c r="D77" s="26" t="s">
        <v>84</v>
      </c>
      <c r="E77" s="27"/>
      <c r="F77" s="27"/>
      <c r="G77" s="28"/>
      <c r="H77" s="29">
        <v>100</v>
      </c>
      <c r="I77" s="8" t="s">
        <v>2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4">
        <f t="shared" si="1"/>
        <v>100</v>
      </c>
      <c r="Q77" s="1" t="s">
        <v>14</v>
      </c>
    </row>
    <row r="78" spans="1:17" x14ac:dyDescent="0.25">
      <c r="A78" s="2">
        <v>75</v>
      </c>
      <c r="D78" s="26" t="s">
        <v>85</v>
      </c>
      <c r="E78" s="27"/>
      <c r="F78" s="27"/>
      <c r="G78" s="28"/>
      <c r="H78" s="29">
        <v>2</v>
      </c>
      <c r="I78" s="8" t="s">
        <v>2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  <c r="P78" s="31">
        <f t="shared" si="1"/>
        <v>2</v>
      </c>
    </row>
    <row r="79" spans="1:17" x14ac:dyDescent="0.25">
      <c r="D79" s="37" t="s">
        <v>88</v>
      </c>
      <c r="E79" s="17"/>
      <c r="F79" s="33"/>
      <c r="G79" s="33"/>
      <c r="H79" s="4"/>
      <c r="I79" s="8" t="s">
        <v>75</v>
      </c>
      <c r="J79" s="4">
        <v>100</v>
      </c>
      <c r="K79" s="4"/>
      <c r="L79" s="4"/>
      <c r="M79" s="4"/>
      <c r="N79" s="4">
        <v>30</v>
      </c>
      <c r="O79" s="4"/>
      <c r="P79" s="31">
        <f t="shared" si="1"/>
        <v>70</v>
      </c>
      <c r="Q79" s="1" t="s">
        <v>89</v>
      </c>
    </row>
    <row r="80" spans="1:17" x14ac:dyDescent="0.25">
      <c r="D80" s="36"/>
      <c r="E80" s="27"/>
      <c r="F80" s="27"/>
      <c r="G80" s="28"/>
      <c r="H80" s="4"/>
      <c r="I80" s="8"/>
      <c r="J80" s="4"/>
      <c r="K80" s="4"/>
      <c r="L80" s="4"/>
      <c r="M80" s="4"/>
      <c r="N80" s="4"/>
      <c r="O80" s="4"/>
      <c r="P80" s="31">
        <f t="shared" si="1"/>
        <v>0</v>
      </c>
    </row>
    <row r="81" spans="4:16" x14ac:dyDescent="0.25">
      <c r="D81" s="32"/>
      <c r="E81" s="33"/>
      <c r="F81" s="33"/>
      <c r="G81" s="33"/>
      <c r="H81" s="4"/>
      <c r="I81" s="8"/>
      <c r="J81" s="4"/>
      <c r="K81" s="4"/>
      <c r="L81" s="4"/>
      <c r="M81" s="4"/>
      <c r="N81" s="4"/>
      <c r="O81" s="4"/>
      <c r="P81" s="31">
        <f t="shared" si="1"/>
        <v>0</v>
      </c>
    </row>
    <row r="82" spans="4:16" x14ac:dyDescent="0.25">
      <c r="D82" s="36"/>
      <c r="E82" s="27"/>
      <c r="F82" s="27"/>
      <c r="G82" s="28"/>
      <c r="H82" s="4"/>
      <c r="I82" s="8"/>
      <c r="J82" s="4"/>
      <c r="K82" s="4"/>
      <c r="L82" s="4"/>
      <c r="M82" s="4"/>
      <c r="N82" s="4"/>
      <c r="O82" s="4"/>
      <c r="P82" s="31">
        <f t="shared" si="1"/>
        <v>0</v>
      </c>
    </row>
    <row r="83" spans="4:16" x14ac:dyDescent="0.25">
      <c r="D83" s="34"/>
      <c r="E83" s="35"/>
      <c r="F83" s="35"/>
      <c r="G83" s="35"/>
      <c r="H83" s="4"/>
      <c r="I83" s="8"/>
      <c r="J83" s="4"/>
      <c r="K83" s="4"/>
      <c r="L83" s="4"/>
      <c r="M83" s="4"/>
      <c r="N83" s="4"/>
      <c r="O83" s="4"/>
      <c r="P83" s="31">
        <f t="shared" si="1"/>
        <v>0</v>
      </c>
    </row>
  </sheetData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83"/>
  <sheetViews>
    <sheetView workbookViewId="0">
      <selection activeCell="P4" sqref="P4:P83"/>
    </sheetView>
  </sheetViews>
  <sheetFormatPr defaultRowHeight="15" x14ac:dyDescent="0.25"/>
  <cols>
    <col min="1" max="1" width="5.5703125" customWidth="1"/>
    <col min="2" max="3" width="9.140625" hidden="1" customWidth="1"/>
    <col min="11" max="15" width="10.140625" bestFit="1" customWidth="1"/>
  </cols>
  <sheetData>
    <row r="1" spans="1:17" x14ac:dyDescent="0.25">
      <c r="G1" s="1"/>
      <c r="P1">
        <f>+H1+J1-K1-L1-M1-N1-O1</f>
        <v>0</v>
      </c>
    </row>
    <row r="2" spans="1:17" x14ac:dyDescent="0.25">
      <c r="A2" t="s">
        <v>14</v>
      </c>
      <c r="O2" s="38">
        <v>44837</v>
      </c>
    </row>
    <row r="3" spans="1:17" x14ac:dyDescent="0.25">
      <c r="A3" s="1" t="s">
        <v>15</v>
      </c>
      <c r="D3" s="9" t="s">
        <v>17</v>
      </c>
      <c r="E3" s="10"/>
      <c r="F3" s="10"/>
      <c r="G3" s="11"/>
      <c r="H3" s="12" t="s">
        <v>18</v>
      </c>
      <c r="I3" s="4" t="s">
        <v>19</v>
      </c>
      <c r="J3" s="3" t="s">
        <v>20</v>
      </c>
      <c r="K3" s="5">
        <v>44837</v>
      </c>
      <c r="L3" s="6">
        <v>44838</v>
      </c>
      <c r="M3" s="5">
        <v>44839</v>
      </c>
      <c r="N3" s="5">
        <v>44840</v>
      </c>
      <c r="O3" s="6">
        <v>44841</v>
      </c>
      <c r="P3" s="3" t="s">
        <v>21</v>
      </c>
    </row>
    <row r="4" spans="1:17" x14ac:dyDescent="0.25">
      <c r="A4" s="2">
        <v>1</v>
      </c>
      <c r="D4" s="13" t="s">
        <v>16</v>
      </c>
      <c r="E4" s="14"/>
      <c r="F4" s="14"/>
      <c r="G4" s="15"/>
      <c r="H4" s="12">
        <v>334</v>
      </c>
      <c r="I4" s="7" t="s">
        <v>1</v>
      </c>
      <c r="J4" s="3">
        <v>0</v>
      </c>
      <c r="K4" s="3">
        <v>0</v>
      </c>
      <c r="L4" s="3">
        <v>17</v>
      </c>
      <c r="M4" s="3">
        <v>0</v>
      </c>
      <c r="N4" s="3">
        <v>0</v>
      </c>
      <c r="O4" s="3">
        <v>0</v>
      </c>
      <c r="P4" s="4">
        <f t="shared" ref="P4:P67" si="0">+H4+J4-K4-L4-M4-N4-O4</f>
        <v>317</v>
      </c>
      <c r="Q4" t="s">
        <v>67</v>
      </c>
    </row>
    <row r="5" spans="1:17" x14ac:dyDescent="0.25">
      <c r="A5" s="2">
        <v>2</v>
      </c>
      <c r="D5" s="9" t="s">
        <v>22</v>
      </c>
      <c r="E5" s="10"/>
      <c r="F5" s="10"/>
      <c r="G5" s="11"/>
      <c r="H5" s="12">
        <v>30</v>
      </c>
      <c r="I5" s="7" t="s">
        <v>2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4">
        <f t="shared" si="0"/>
        <v>30</v>
      </c>
      <c r="Q5" s="1" t="s">
        <v>14</v>
      </c>
    </row>
    <row r="6" spans="1:17" x14ac:dyDescent="0.25">
      <c r="A6" s="2">
        <v>3</v>
      </c>
      <c r="D6" s="16" t="s">
        <v>23</v>
      </c>
      <c r="E6" s="17"/>
      <c r="F6" s="17"/>
      <c r="G6" s="18"/>
      <c r="H6" s="12">
        <v>40</v>
      </c>
      <c r="I6" s="7" t="s">
        <v>2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4">
        <f t="shared" si="0"/>
        <v>40</v>
      </c>
      <c r="Q6" s="1" t="s">
        <v>14</v>
      </c>
    </row>
    <row r="7" spans="1:17" x14ac:dyDescent="0.25">
      <c r="A7" s="2">
        <v>4</v>
      </c>
      <c r="D7" s="9" t="s">
        <v>3</v>
      </c>
      <c r="E7" s="10"/>
      <c r="F7" s="10"/>
      <c r="G7" s="11"/>
      <c r="H7" s="12">
        <v>58</v>
      </c>
      <c r="I7" s="7" t="s">
        <v>2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4">
        <f t="shared" si="0"/>
        <v>58</v>
      </c>
      <c r="Q7" s="1" t="s">
        <v>14</v>
      </c>
    </row>
    <row r="8" spans="1:17" x14ac:dyDescent="0.25">
      <c r="A8" s="2">
        <v>5</v>
      </c>
      <c r="D8" s="16" t="s">
        <v>4</v>
      </c>
      <c r="E8" s="17"/>
      <c r="F8" s="17"/>
      <c r="G8" s="18"/>
      <c r="H8" s="12">
        <v>232</v>
      </c>
      <c r="I8" s="7" t="s">
        <v>2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4">
        <f t="shared" si="0"/>
        <v>232</v>
      </c>
      <c r="Q8" s="1" t="s">
        <v>14</v>
      </c>
    </row>
    <row r="9" spans="1:17" x14ac:dyDescent="0.25">
      <c r="A9" s="2">
        <v>6</v>
      </c>
      <c r="D9" s="9" t="s">
        <v>24</v>
      </c>
      <c r="E9" s="10"/>
      <c r="F9" s="10"/>
      <c r="G9" s="11"/>
      <c r="H9" s="12">
        <v>138</v>
      </c>
      <c r="I9" s="7" t="s">
        <v>2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138</v>
      </c>
      <c r="P9" s="4">
        <f t="shared" si="0"/>
        <v>0</v>
      </c>
      <c r="Q9" s="1" t="s">
        <v>14</v>
      </c>
    </row>
    <row r="10" spans="1:17" x14ac:dyDescent="0.25">
      <c r="A10" s="2">
        <v>7</v>
      </c>
      <c r="D10" s="16" t="s">
        <v>5</v>
      </c>
      <c r="E10" s="17"/>
      <c r="F10" s="17"/>
      <c r="G10" s="18"/>
      <c r="H10" s="12">
        <v>2408</v>
      </c>
      <c r="I10" s="7" t="s">
        <v>2</v>
      </c>
      <c r="J10" s="3">
        <v>0</v>
      </c>
      <c r="K10" s="3">
        <v>0</v>
      </c>
      <c r="L10" s="3">
        <v>40</v>
      </c>
      <c r="M10" s="3">
        <v>20</v>
      </c>
      <c r="N10" s="3">
        <v>0</v>
      </c>
      <c r="O10" s="3">
        <v>0</v>
      </c>
      <c r="P10" s="4">
        <f t="shared" si="0"/>
        <v>2348</v>
      </c>
      <c r="Q10" s="1" t="s">
        <v>14</v>
      </c>
    </row>
    <row r="11" spans="1:17" x14ac:dyDescent="0.25">
      <c r="A11" s="2">
        <v>8</v>
      </c>
      <c r="D11" s="9" t="s">
        <v>25</v>
      </c>
      <c r="E11" s="10"/>
      <c r="F11" s="10"/>
      <c r="G11" s="11"/>
      <c r="H11" s="12">
        <v>496</v>
      </c>
      <c r="I11" s="7" t="s">
        <v>2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4">
        <f t="shared" si="0"/>
        <v>496</v>
      </c>
      <c r="Q11" s="1" t="s">
        <v>14</v>
      </c>
    </row>
    <row r="12" spans="1:17" x14ac:dyDescent="0.25">
      <c r="A12" s="2">
        <v>9</v>
      </c>
      <c r="D12" s="16" t="s">
        <v>26</v>
      </c>
      <c r="E12" s="17"/>
      <c r="F12" s="17"/>
      <c r="G12" s="18"/>
      <c r="H12" s="12">
        <v>60</v>
      </c>
      <c r="I12" s="7" t="s">
        <v>2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4">
        <f t="shared" si="0"/>
        <v>60</v>
      </c>
      <c r="Q12" s="1" t="s">
        <v>14</v>
      </c>
    </row>
    <row r="13" spans="1:17" x14ac:dyDescent="0.25">
      <c r="A13" s="2">
        <v>10</v>
      </c>
      <c r="D13" s="9" t="s">
        <v>6</v>
      </c>
      <c r="E13" s="10"/>
      <c r="F13" s="10"/>
      <c r="G13" s="11"/>
      <c r="H13" s="12">
        <v>42</v>
      </c>
      <c r="I13" s="7" t="s">
        <v>2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4">
        <f t="shared" si="0"/>
        <v>42</v>
      </c>
      <c r="Q13" s="1" t="s">
        <v>14</v>
      </c>
    </row>
    <row r="14" spans="1:17" x14ac:dyDescent="0.25">
      <c r="A14" s="2">
        <v>11</v>
      </c>
      <c r="D14" s="16" t="s">
        <v>7</v>
      </c>
      <c r="E14" s="17"/>
      <c r="F14" s="17"/>
      <c r="G14" s="18"/>
      <c r="H14" s="12">
        <v>24</v>
      </c>
      <c r="I14" s="7" t="s">
        <v>2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4">
        <f t="shared" si="0"/>
        <v>24</v>
      </c>
      <c r="Q14" s="1" t="s">
        <v>14</v>
      </c>
    </row>
    <row r="15" spans="1:17" x14ac:dyDescent="0.25">
      <c r="A15" s="2">
        <v>12</v>
      </c>
      <c r="D15" s="9" t="s">
        <v>69</v>
      </c>
      <c r="E15" s="10"/>
      <c r="F15" s="10"/>
      <c r="G15" s="11"/>
      <c r="H15" s="12">
        <v>26</v>
      </c>
      <c r="I15" s="7" t="s">
        <v>2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4">
        <f t="shared" si="0"/>
        <v>26</v>
      </c>
      <c r="Q15" s="1" t="s">
        <v>14</v>
      </c>
    </row>
    <row r="16" spans="1:17" x14ac:dyDescent="0.25">
      <c r="A16" s="2">
        <v>13</v>
      </c>
      <c r="D16" s="16" t="s">
        <v>27</v>
      </c>
      <c r="E16" s="17"/>
      <c r="F16" s="17"/>
      <c r="G16" s="18"/>
      <c r="H16" s="12">
        <v>90</v>
      </c>
      <c r="I16" s="7" t="s">
        <v>2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4">
        <f t="shared" si="0"/>
        <v>90</v>
      </c>
      <c r="Q16" s="1" t="s">
        <v>14</v>
      </c>
    </row>
    <row r="17" spans="1:17" x14ac:dyDescent="0.25">
      <c r="A17" s="2">
        <v>14</v>
      </c>
      <c r="D17" s="9" t="s">
        <v>73</v>
      </c>
      <c r="E17" s="10"/>
      <c r="F17" s="10"/>
      <c r="G17" s="11"/>
      <c r="H17" s="12">
        <v>800</v>
      </c>
      <c r="I17" s="7" t="s">
        <v>2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4">
        <f t="shared" si="0"/>
        <v>800</v>
      </c>
      <c r="Q17" s="1" t="s">
        <v>14</v>
      </c>
    </row>
    <row r="18" spans="1:17" x14ac:dyDescent="0.25">
      <c r="A18" s="2">
        <v>15</v>
      </c>
      <c r="D18" s="16" t="s">
        <v>28</v>
      </c>
      <c r="E18" s="17"/>
      <c r="F18" s="17"/>
      <c r="G18" s="18"/>
      <c r="H18" s="12">
        <v>43</v>
      </c>
      <c r="I18" s="7" t="s">
        <v>2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2</v>
      </c>
      <c r="P18" s="4">
        <f t="shared" si="0"/>
        <v>41</v>
      </c>
      <c r="Q18" s="1" t="s">
        <v>14</v>
      </c>
    </row>
    <row r="19" spans="1:17" x14ac:dyDescent="0.25">
      <c r="A19" s="2">
        <v>16</v>
      </c>
      <c r="D19" s="9" t="s">
        <v>29</v>
      </c>
      <c r="E19" s="10"/>
      <c r="F19" s="10"/>
      <c r="G19" s="11"/>
      <c r="H19" s="12">
        <v>44</v>
      </c>
      <c r="I19" s="7" t="s">
        <v>2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2</v>
      </c>
      <c r="P19" s="4">
        <f t="shared" si="0"/>
        <v>42</v>
      </c>
      <c r="Q19" s="1" t="s">
        <v>14</v>
      </c>
    </row>
    <row r="20" spans="1:17" x14ac:dyDescent="0.25">
      <c r="A20" s="2">
        <v>17</v>
      </c>
      <c r="D20" s="16" t="s">
        <v>30</v>
      </c>
      <c r="E20" s="17"/>
      <c r="F20" s="17"/>
      <c r="G20" s="18"/>
      <c r="H20" s="12">
        <v>54</v>
      </c>
      <c r="I20" s="7" t="s">
        <v>2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2</v>
      </c>
      <c r="P20" s="4">
        <f t="shared" si="0"/>
        <v>52</v>
      </c>
      <c r="Q20" s="1" t="s">
        <v>14</v>
      </c>
    </row>
    <row r="21" spans="1:17" x14ac:dyDescent="0.25">
      <c r="A21" s="2">
        <v>18</v>
      </c>
      <c r="D21" s="9" t="s">
        <v>31</v>
      </c>
      <c r="E21" s="10"/>
      <c r="F21" s="10"/>
      <c r="G21" s="11"/>
      <c r="H21" s="12">
        <v>33</v>
      </c>
      <c r="I21" s="7" t="s">
        <v>2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4">
        <f t="shared" si="0"/>
        <v>33</v>
      </c>
      <c r="Q21" s="1" t="s">
        <v>14</v>
      </c>
    </row>
    <row r="22" spans="1:17" x14ac:dyDescent="0.25">
      <c r="A22" s="2">
        <v>19</v>
      </c>
      <c r="D22" s="16" t="s">
        <v>8</v>
      </c>
      <c r="E22" s="17"/>
      <c r="F22" s="17"/>
      <c r="G22" s="18"/>
      <c r="H22" s="12">
        <v>80</v>
      </c>
      <c r="I22" s="7" t="s">
        <v>1</v>
      </c>
      <c r="J22" s="3">
        <v>0</v>
      </c>
      <c r="K22" s="3">
        <v>0</v>
      </c>
      <c r="L22" s="3">
        <v>10</v>
      </c>
      <c r="M22" s="3">
        <v>0</v>
      </c>
      <c r="N22" s="3">
        <v>0</v>
      </c>
      <c r="O22" s="3">
        <v>0</v>
      </c>
      <c r="P22" s="4">
        <f t="shared" si="0"/>
        <v>70</v>
      </c>
      <c r="Q22" s="1" t="s">
        <v>14</v>
      </c>
    </row>
    <row r="23" spans="1:17" x14ac:dyDescent="0.25">
      <c r="A23" s="2">
        <v>20</v>
      </c>
      <c r="D23" s="9" t="s">
        <v>32</v>
      </c>
      <c r="E23" s="10"/>
      <c r="F23" s="10"/>
      <c r="G23" s="11"/>
      <c r="H23" s="12">
        <v>2000</v>
      </c>
      <c r="I23" s="7" t="s">
        <v>2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4">
        <f t="shared" si="0"/>
        <v>2000</v>
      </c>
      <c r="Q23" s="1" t="s">
        <v>14</v>
      </c>
    </row>
    <row r="24" spans="1:17" x14ac:dyDescent="0.25">
      <c r="A24" s="2">
        <v>21</v>
      </c>
      <c r="D24" s="16" t="s">
        <v>33</v>
      </c>
      <c r="E24" s="17"/>
      <c r="F24" s="17"/>
      <c r="G24" s="18"/>
      <c r="H24" s="12">
        <v>290</v>
      </c>
      <c r="I24" s="7" t="s">
        <v>2</v>
      </c>
      <c r="J24" s="3">
        <v>0</v>
      </c>
      <c r="K24" s="3">
        <v>11</v>
      </c>
      <c r="L24" s="3">
        <v>0</v>
      </c>
      <c r="M24" s="3">
        <v>0</v>
      </c>
      <c r="N24" s="3">
        <v>0</v>
      </c>
      <c r="O24" s="3">
        <v>0</v>
      </c>
      <c r="P24" s="4">
        <f t="shared" si="0"/>
        <v>279</v>
      </c>
      <c r="Q24" s="1" t="s">
        <v>14</v>
      </c>
    </row>
    <row r="25" spans="1:17" x14ac:dyDescent="0.25">
      <c r="A25" s="2">
        <v>22</v>
      </c>
      <c r="D25" s="9" t="s">
        <v>34</v>
      </c>
      <c r="E25" s="10"/>
      <c r="F25" s="10"/>
      <c r="G25" s="11"/>
      <c r="H25" s="12">
        <v>48</v>
      </c>
      <c r="I25" s="7" t="s">
        <v>2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4">
        <f t="shared" si="0"/>
        <v>48</v>
      </c>
      <c r="Q25" s="1" t="s">
        <v>14</v>
      </c>
    </row>
    <row r="26" spans="1:17" x14ac:dyDescent="0.25">
      <c r="A26" s="2">
        <v>23</v>
      </c>
      <c r="D26" s="16" t="s">
        <v>82</v>
      </c>
      <c r="E26" s="17"/>
      <c r="F26" s="17"/>
      <c r="G26" s="18"/>
      <c r="H26" s="12">
        <v>168</v>
      </c>
      <c r="I26" s="7" t="s">
        <v>2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4">
        <f t="shared" si="0"/>
        <v>168</v>
      </c>
      <c r="Q26" s="1" t="s">
        <v>14</v>
      </c>
    </row>
    <row r="27" spans="1:17" x14ac:dyDescent="0.25">
      <c r="A27" s="2">
        <v>24</v>
      </c>
      <c r="D27" s="9" t="s">
        <v>81</v>
      </c>
      <c r="E27" s="10"/>
      <c r="F27" s="10"/>
      <c r="G27" s="11"/>
      <c r="H27" s="12">
        <v>50</v>
      </c>
      <c r="I27" s="7" t="s">
        <v>2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  <c r="P27" s="4">
        <f t="shared" si="0"/>
        <v>50</v>
      </c>
      <c r="Q27" s="1" t="s">
        <v>14</v>
      </c>
    </row>
    <row r="28" spans="1:17" x14ac:dyDescent="0.25">
      <c r="A28" s="2">
        <v>25</v>
      </c>
      <c r="D28" s="16" t="s">
        <v>35</v>
      </c>
      <c r="E28" s="17"/>
      <c r="F28" s="17"/>
      <c r="G28" s="18"/>
      <c r="H28" s="12">
        <v>50</v>
      </c>
      <c r="I28" s="7" t="s">
        <v>2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4">
        <f t="shared" si="0"/>
        <v>50</v>
      </c>
      <c r="Q28" s="1" t="s">
        <v>14</v>
      </c>
    </row>
    <row r="29" spans="1:17" x14ac:dyDescent="0.25">
      <c r="A29" s="2">
        <v>26</v>
      </c>
      <c r="D29" s="9" t="s">
        <v>36</v>
      </c>
      <c r="E29" s="10"/>
      <c r="F29" s="10"/>
      <c r="G29" s="11"/>
      <c r="H29" s="12">
        <v>65</v>
      </c>
      <c r="I29" s="7" t="s">
        <v>2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4">
        <f t="shared" si="0"/>
        <v>65</v>
      </c>
      <c r="Q29" s="1" t="s">
        <v>14</v>
      </c>
    </row>
    <row r="30" spans="1:17" x14ac:dyDescent="0.25">
      <c r="A30" s="2">
        <v>27</v>
      </c>
      <c r="D30" s="16" t="s">
        <v>37</v>
      </c>
      <c r="E30" s="17"/>
      <c r="F30" s="17"/>
      <c r="G30" s="18"/>
      <c r="H30" s="12">
        <v>240</v>
      </c>
      <c r="I30" s="7" t="s">
        <v>2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4">
        <f t="shared" si="0"/>
        <v>240</v>
      </c>
      <c r="Q30" s="1" t="s">
        <v>14</v>
      </c>
    </row>
    <row r="31" spans="1:17" x14ac:dyDescent="0.25">
      <c r="A31" s="2">
        <v>28</v>
      </c>
      <c r="D31" s="9" t="s">
        <v>38</v>
      </c>
      <c r="E31" s="10"/>
      <c r="F31" s="10"/>
      <c r="G31" s="11"/>
      <c r="H31" s="12">
        <v>726</v>
      </c>
      <c r="I31" s="7" t="s">
        <v>2</v>
      </c>
      <c r="J31" s="3">
        <v>0</v>
      </c>
      <c r="K31" s="3">
        <v>4</v>
      </c>
      <c r="L31" s="3">
        <v>0</v>
      </c>
      <c r="M31" s="3">
        <v>0</v>
      </c>
      <c r="N31" s="3">
        <v>1</v>
      </c>
      <c r="O31" s="3">
        <v>0</v>
      </c>
      <c r="P31" s="4">
        <f t="shared" si="0"/>
        <v>721</v>
      </c>
      <c r="Q31" s="1" t="s">
        <v>14</v>
      </c>
    </row>
    <row r="32" spans="1:17" x14ac:dyDescent="0.25">
      <c r="A32" s="2">
        <v>29</v>
      </c>
      <c r="D32" s="16" t="s">
        <v>39</v>
      </c>
      <c r="E32" s="17"/>
      <c r="F32" s="17"/>
      <c r="G32" s="18"/>
      <c r="H32" s="12">
        <v>50</v>
      </c>
      <c r="I32" s="7" t="s">
        <v>2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4">
        <f t="shared" si="0"/>
        <v>50</v>
      </c>
      <c r="Q32" s="1" t="s">
        <v>14</v>
      </c>
    </row>
    <row r="33" spans="1:17" x14ac:dyDescent="0.25">
      <c r="A33" s="2">
        <v>30</v>
      </c>
      <c r="D33" s="9" t="s">
        <v>40</v>
      </c>
      <c r="E33" s="10"/>
      <c r="F33" s="10"/>
      <c r="G33" s="11"/>
      <c r="H33" s="12">
        <v>1115</v>
      </c>
      <c r="I33" s="7" t="s">
        <v>2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4">
        <f t="shared" si="0"/>
        <v>1115</v>
      </c>
      <c r="Q33" s="1" t="s">
        <v>14</v>
      </c>
    </row>
    <row r="34" spans="1:17" x14ac:dyDescent="0.25">
      <c r="A34" s="2">
        <v>31</v>
      </c>
      <c r="D34" s="16" t="s">
        <v>9</v>
      </c>
      <c r="E34" s="17"/>
      <c r="F34" s="17"/>
      <c r="G34" s="18"/>
      <c r="H34" s="12">
        <v>546</v>
      </c>
      <c r="I34" s="7" t="s">
        <v>2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4">
        <f t="shared" si="0"/>
        <v>546</v>
      </c>
      <c r="Q34" s="1" t="s">
        <v>14</v>
      </c>
    </row>
    <row r="35" spans="1:17" x14ac:dyDescent="0.25">
      <c r="A35" s="2">
        <v>32</v>
      </c>
      <c r="D35" s="9" t="s">
        <v>83</v>
      </c>
      <c r="E35" s="10"/>
      <c r="F35" s="10"/>
      <c r="G35" s="11"/>
      <c r="H35" s="12">
        <v>100</v>
      </c>
      <c r="I35" s="7" t="s">
        <v>2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4">
        <f t="shared" si="0"/>
        <v>100</v>
      </c>
      <c r="Q35" s="1" t="s">
        <v>14</v>
      </c>
    </row>
    <row r="36" spans="1:17" x14ac:dyDescent="0.25">
      <c r="A36" s="2">
        <v>33</v>
      </c>
      <c r="D36" s="16" t="s">
        <v>70</v>
      </c>
      <c r="E36" s="17"/>
      <c r="F36" s="17"/>
      <c r="G36" s="18"/>
      <c r="H36" s="12">
        <v>960</v>
      </c>
      <c r="I36" s="7" t="s">
        <v>2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4">
        <f t="shared" si="0"/>
        <v>960</v>
      </c>
      <c r="Q36" s="1" t="s">
        <v>14</v>
      </c>
    </row>
    <row r="37" spans="1:17" x14ac:dyDescent="0.25">
      <c r="A37" s="2">
        <v>34</v>
      </c>
      <c r="D37" s="9" t="s">
        <v>41</v>
      </c>
      <c r="E37" s="10"/>
      <c r="F37" s="10"/>
      <c r="G37" s="11"/>
      <c r="H37" s="12">
        <v>291</v>
      </c>
      <c r="I37" s="7" t="s">
        <v>2</v>
      </c>
      <c r="J37" s="3">
        <v>0</v>
      </c>
      <c r="K37" s="3">
        <v>0</v>
      </c>
      <c r="L37" s="3">
        <v>0</v>
      </c>
      <c r="M37" s="3">
        <v>8</v>
      </c>
      <c r="N37" s="3">
        <v>0</v>
      </c>
      <c r="O37" s="3">
        <v>0</v>
      </c>
      <c r="P37" s="4">
        <f t="shared" si="0"/>
        <v>283</v>
      </c>
      <c r="Q37" s="1" t="s">
        <v>14</v>
      </c>
    </row>
    <row r="38" spans="1:17" x14ac:dyDescent="0.25">
      <c r="A38" s="2">
        <v>35</v>
      </c>
      <c r="D38" s="16" t="s">
        <v>42</v>
      </c>
      <c r="E38" s="17"/>
      <c r="F38" s="17"/>
      <c r="G38" s="18"/>
      <c r="H38" s="12">
        <v>295</v>
      </c>
      <c r="I38" s="7" t="s">
        <v>2</v>
      </c>
      <c r="J38" s="3">
        <v>0</v>
      </c>
      <c r="K38" s="3">
        <v>0</v>
      </c>
      <c r="L38" s="3">
        <v>0</v>
      </c>
      <c r="M38" s="3">
        <v>8</v>
      </c>
      <c r="N38" s="3">
        <v>0</v>
      </c>
      <c r="O38" s="3">
        <v>0</v>
      </c>
      <c r="P38" s="4">
        <f t="shared" si="0"/>
        <v>287</v>
      </c>
      <c r="Q38" s="1" t="s">
        <v>14</v>
      </c>
    </row>
    <row r="39" spans="1:17" x14ac:dyDescent="0.25">
      <c r="A39" s="2">
        <v>36</v>
      </c>
      <c r="D39" s="9" t="s">
        <v>43</v>
      </c>
      <c r="E39" s="10"/>
      <c r="F39" s="10"/>
      <c r="G39" s="11"/>
      <c r="H39" s="12">
        <v>35</v>
      </c>
      <c r="I39" s="7" t="s">
        <v>2</v>
      </c>
      <c r="J39" s="3">
        <v>0</v>
      </c>
      <c r="K39" s="3">
        <v>0</v>
      </c>
      <c r="L39" s="3">
        <v>0</v>
      </c>
      <c r="M39" s="3">
        <v>8</v>
      </c>
      <c r="N39" s="3">
        <v>0</v>
      </c>
      <c r="O39" s="3">
        <v>0</v>
      </c>
      <c r="P39" s="4">
        <f t="shared" si="0"/>
        <v>27</v>
      </c>
      <c r="Q39" s="1" t="s">
        <v>14</v>
      </c>
    </row>
    <row r="40" spans="1:17" x14ac:dyDescent="0.25">
      <c r="A40" s="2">
        <v>37</v>
      </c>
      <c r="D40" s="16" t="s">
        <v>44</v>
      </c>
      <c r="E40" s="17"/>
      <c r="F40" s="17"/>
      <c r="G40" s="18"/>
      <c r="H40" s="12">
        <v>99</v>
      </c>
      <c r="I40" s="7" t="s">
        <v>2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4">
        <f t="shared" si="0"/>
        <v>99</v>
      </c>
      <c r="Q40" s="1" t="s">
        <v>14</v>
      </c>
    </row>
    <row r="41" spans="1:17" x14ac:dyDescent="0.25">
      <c r="A41" s="2">
        <v>38</v>
      </c>
      <c r="D41" s="9" t="s">
        <v>71</v>
      </c>
      <c r="E41" s="10"/>
      <c r="F41" s="10"/>
      <c r="G41" s="11"/>
      <c r="H41" s="12">
        <v>20</v>
      </c>
      <c r="I41" s="7" t="s">
        <v>2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4">
        <f t="shared" si="0"/>
        <v>20</v>
      </c>
      <c r="Q41" s="1" t="s">
        <v>14</v>
      </c>
    </row>
    <row r="42" spans="1:17" x14ac:dyDescent="0.25">
      <c r="A42" s="2">
        <v>39</v>
      </c>
      <c r="D42" s="16" t="s">
        <v>10</v>
      </c>
      <c r="E42" s="17"/>
      <c r="F42" s="17"/>
      <c r="G42" s="18"/>
      <c r="H42" s="12">
        <v>130</v>
      </c>
      <c r="I42" s="7" t="s">
        <v>2</v>
      </c>
      <c r="J42" s="3">
        <v>50</v>
      </c>
      <c r="K42" s="3">
        <v>25</v>
      </c>
      <c r="L42" s="3">
        <v>0</v>
      </c>
      <c r="M42" s="3">
        <v>0</v>
      </c>
      <c r="N42" s="3">
        <v>0</v>
      </c>
      <c r="O42" s="3">
        <v>0</v>
      </c>
      <c r="P42" s="4">
        <f t="shared" si="0"/>
        <v>155</v>
      </c>
      <c r="Q42" s="1" t="s">
        <v>14</v>
      </c>
    </row>
    <row r="43" spans="1:17" x14ac:dyDescent="0.25">
      <c r="A43" s="2">
        <v>40</v>
      </c>
      <c r="D43" s="9" t="s">
        <v>45</v>
      </c>
      <c r="E43" s="10"/>
      <c r="F43" s="10"/>
      <c r="G43" s="11"/>
      <c r="H43" s="12">
        <v>168</v>
      </c>
      <c r="I43" s="7" t="s">
        <v>2</v>
      </c>
      <c r="J43" s="3">
        <v>8</v>
      </c>
      <c r="K43" s="3">
        <v>25</v>
      </c>
      <c r="L43" s="3">
        <v>0</v>
      </c>
      <c r="M43" s="3">
        <v>0</v>
      </c>
      <c r="N43" s="3">
        <v>0</v>
      </c>
      <c r="O43" s="3">
        <v>0</v>
      </c>
      <c r="P43" s="4">
        <f t="shared" si="0"/>
        <v>151</v>
      </c>
      <c r="Q43" s="1" t="s">
        <v>14</v>
      </c>
    </row>
    <row r="44" spans="1:17" x14ac:dyDescent="0.25">
      <c r="A44" s="2">
        <v>41</v>
      </c>
      <c r="D44" s="16" t="s">
        <v>46</v>
      </c>
      <c r="E44" s="17"/>
      <c r="F44" s="17"/>
      <c r="G44" s="18"/>
      <c r="H44" s="12">
        <v>35</v>
      </c>
      <c r="I44" s="7" t="s">
        <v>2</v>
      </c>
      <c r="J44" s="3">
        <v>15</v>
      </c>
      <c r="K44" s="3">
        <v>25</v>
      </c>
      <c r="L44" s="3">
        <v>0</v>
      </c>
      <c r="M44" s="3">
        <v>0</v>
      </c>
      <c r="N44" s="3">
        <v>0</v>
      </c>
      <c r="O44" s="3">
        <v>0</v>
      </c>
      <c r="P44" s="4">
        <f t="shared" si="0"/>
        <v>25</v>
      </c>
      <c r="Q44" s="1" t="s">
        <v>14</v>
      </c>
    </row>
    <row r="45" spans="1:17" x14ac:dyDescent="0.25">
      <c r="A45" s="2">
        <v>42</v>
      </c>
      <c r="D45" s="9" t="s">
        <v>47</v>
      </c>
      <c r="E45" s="10"/>
      <c r="F45" s="10"/>
      <c r="G45" s="11"/>
      <c r="H45" s="12">
        <v>30</v>
      </c>
      <c r="I45" s="7" t="s">
        <v>2</v>
      </c>
      <c r="J45" s="3">
        <v>15</v>
      </c>
      <c r="K45" s="3">
        <v>25</v>
      </c>
      <c r="L45" s="3">
        <v>0</v>
      </c>
      <c r="M45" s="3">
        <v>0</v>
      </c>
      <c r="N45" s="3">
        <v>0</v>
      </c>
      <c r="O45" s="3">
        <v>0</v>
      </c>
      <c r="P45" s="4">
        <f t="shared" si="0"/>
        <v>20</v>
      </c>
      <c r="Q45" s="1" t="s">
        <v>14</v>
      </c>
    </row>
    <row r="46" spans="1:17" x14ac:dyDescent="0.25">
      <c r="A46" s="2">
        <v>43</v>
      </c>
      <c r="D46" s="16" t="s">
        <v>93</v>
      </c>
      <c r="E46" s="17"/>
      <c r="F46" s="17"/>
      <c r="G46" s="18"/>
      <c r="H46" s="12">
        <v>21</v>
      </c>
      <c r="I46" s="7" t="s">
        <v>2</v>
      </c>
      <c r="J46" s="3">
        <v>50</v>
      </c>
      <c r="K46" s="3">
        <v>0</v>
      </c>
      <c r="L46" s="3">
        <v>0</v>
      </c>
      <c r="M46" s="3">
        <v>16</v>
      </c>
      <c r="N46" s="3">
        <v>0</v>
      </c>
      <c r="O46" s="3">
        <v>0</v>
      </c>
      <c r="P46" s="4">
        <f t="shared" si="0"/>
        <v>55</v>
      </c>
      <c r="Q46" s="1" t="s">
        <v>14</v>
      </c>
    </row>
    <row r="47" spans="1:17" x14ac:dyDescent="0.25">
      <c r="A47" s="2">
        <v>44</v>
      </c>
      <c r="D47" s="9" t="s">
        <v>48</v>
      </c>
      <c r="E47" s="10"/>
      <c r="F47" s="10"/>
      <c r="G47" s="11"/>
      <c r="H47" s="12">
        <v>59</v>
      </c>
      <c r="I47" s="7" t="s">
        <v>2</v>
      </c>
      <c r="J47" s="3">
        <v>0</v>
      </c>
      <c r="K47" s="3">
        <v>0</v>
      </c>
      <c r="L47" s="3">
        <v>0</v>
      </c>
      <c r="M47" s="3">
        <v>16</v>
      </c>
      <c r="N47" s="3">
        <v>0</v>
      </c>
      <c r="O47" s="3">
        <v>0</v>
      </c>
      <c r="P47" s="4">
        <f t="shared" si="0"/>
        <v>43</v>
      </c>
      <c r="Q47" s="1" t="s">
        <v>14</v>
      </c>
    </row>
    <row r="48" spans="1:17" x14ac:dyDescent="0.25">
      <c r="A48" s="2">
        <v>45</v>
      </c>
      <c r="D48" s="16" t="s">
        <v>49</v>
      </c>
      <c r="E48" s="17"/>
      <c r="F48" s="17"/>
      <c r="G48" s="18"/>
      <c r="H48" s="12">
        <v>28</v>
      </c>
      <c r="I48" s="7" t="s">
        <v>2</v>
      </c>
      <c r="J48" s="3">
        <v>0</v>
      </c>
      <c r="K48" s="3">
        <v>0</v>
      </c>
      <c r="L48" s="3">
        <v>0</v>
      </c>
      <c r="M48" s="3">
        <v>16</v>
      </c>
      <c r="N48" s="3">
        <v>0</v>
      </c>
      <c r="O48" s="3">
        <v>0</v>
      </c>
      <c r="P48" s="4">
        <f t="shared" si="0"/>
        <v>12</v>
      </c>
      <c r="Q48" s="1" t="s">
        <v>14</v>
      </c>
    </row>
    <row r="49" spans="1:17" x14ac:dyDescent="0.25">
      <c r="A49" s="2">
        <v>46</v>
      </c>
      <c r="D49" s="9" t="s">
        <v>11</v>
      </c>
      <c r="E49" s="10"/>
      <c r="F49" s="10"/>
      <c r="G49" s="11"/>
      <c r="H49" s="12">
        <v>310</v>
      </c>
      <c r="I49" s="7" t="s">
        <v>1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20</v>
      </c>
      <c r="P49" s="4">
        <f t="shared" si="0"/>
        <v>290</v>
      </c>
      <c r="Q49" s="1" t="s">
        <v>94</v>
      </c>
    </row>
    <row r="50" spans="1:17" x14ac:dyDescent="0.25">
      <c r="A50" s="2">
        <v>47</v>
      </c>
      <c r="D50" s="16" t="s">
        <v>50</v>
      </c>
      <c r="E50" s="17"/>
      <c r="F50" s="17"/>
      <c r="G50" s="18"/>
      <c r="H50" s="12">
        <v>209</v>
      </c>
      <c r="I50" s="7" t="s">
        <v>2</v>
      </c>
      <c r="J50" s="3">
        <v>0</v>
      </c>
      <c r="K50" s="3">
        <v>0</v>
      </c>
      <c r="L50" s="3">
        <v>0</v>
      </c>
      <c r="M50" s="3">
        <v>20</v>
      </c>
      <c r="N50" s="3">
        <v>0</v>
      </c>
      <c r="O50" s="3">
        <v>2</v>
      </c>
      <c r="P50" s="4">
        <f t="shared" si="0"/>
        <v>187</v>
      </c>
      <c r="Q50" s="1" t="s">
        <v>14</v>
      </c>
    </row>
    <row r="51" spans="1:17" x14ac:dyDescent="0.25">
      <c r="A51" s="2">
        <v>48</v>
      </c>
      <c r="D51" s="9" t="s">
        <v>51</v>
      </c>
      <c r="E51" s="10"/>
      <c r="F51" s="10"/>
      <c r="G51" s="11"/>
      <c r="H51" s="12">
        <v>124</v>
      </c>
      <c r="I51" s="7" t="s">
        <v>2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4">
        <f t="shared" si="0"/>
        <v>124</v>
      </c>
      <c r="Q51" s="1" t="s">
        <v>14</v>
      </c>
    </row>
    <row r="52" spans="1:17" x14ac:dyDescent="0.25">
      <c r="A52" s="2">
        <v>49</v>
      </c>
      <c r="D52" s="16" t="s">
        <v>52</v>
      </c>
      <c r="E52" s="17"/>
      <c r="F52" s="17"/>
      <c r="G52" s="18"/>
      <c r="H52" s="12">
        <v>60</v>
      </c>
      <c r="I52" s="7" t="s">
        <v>2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4">
        <f t="shared" si="0"/>
        <v>60</v>
      </c>
      <c r="Q52" s="1" t="s">
        <v>14</v>
      </c>
    </row>
    <row r="53" spans="1:17" x14ac:dyDescent="0.25">
      <c r="A53" s="2">
        <v>50</v>
      </c>
      <c r="D53" s="9" t="s">
        <v>53</v>
      </c>
      <c r="E53" s="10"/>
      <c r="F53" s="10"/>
      <c r="G53" s="11"/>
      <c r="H53" s="12">
        <v>60</v>
      </c>
      <c r="I53" s="7" t="s">
        <v>2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4">
        <f t="shared" si="0"/>
        <v>60</v>
      </c>
      <c r="Q53" s="1" t="s">
        <v>14</v>
      </c>
    </row>
    <row r="54" spans="1:17" x14ac:dyDescent="0.25">
      <c r="A54" s="2">
        <v>51</v>
      </c>
      <c r="D54" s="16" t="s">
        <v>54</v>
      </c>
      <c r="E54" s="17"/>
      <c r="F54" s="17"/>
      <c r="G54" s="18"/>
      <c r="H54" s="12">
        <v>85</v>
      </c>
      <c r="I54" s="7" t="s">
        <v>1</v>
      </c>
      <c r="J54" s="3">
        <v>1050</v>
      </c>
      <c r="K54" s="3">
        <v>34</v>
      </c>
      <c r="L54" s="3">
        <v>34</v>
      </c>
      <c r="M54" s="3">
        <v>0</v>
      </c>
      <c r="N54" s="3">
        <v>32</v>
      </c>
      <c r="O54" s="3">
        <v>60</v>
      </c>
      <c r="P54" s="4">
        <f t="shared" si="0"/>
        <v>975</v>
      </c>
      <c r="Q54" s="1" t="s">
        <v>92</v>
      </c>
    </row>
    <row r="55" spans="1:17" x14ac:dyDescent="0.25">
      <c r="A55" s="2">
        <v>52</v>
      </c>
      <c r="D55" s="9" t="s">
        <v>55</v>
      </c>
      <c r="E55" s="10"/>
      <c r="F55" s="10"/>
      <c r="G55" s="11"/>
      <c r="H55" s="12">
        <v>10000</v>
      </c>
      <c r="I55" s="7" t="s">
        <v>2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  <c r="P55" s="4">
        <f t="shared" si="0"/>
        <v>10000</v>
      </c>
      <c r="Q55" s="1" t="s">
        <v>14</v>
      </c>
    </row>
    <row r="56" spans="1:17" x14ac:dyDescent="0.25">
      <c r="A56" s="2">
        <v>53</v>
      </c>
      <c r="D56" s="16" t="s">
        <v>56</v>
      </c>
      <c r="E56" s="17"/>
      <c r="F56" s="17"/>
      <c r="G56" s="18"/>
      <c r="H56" s="12">
        <v>2000</v>
      </c>
      <c r="I56" s="7" t="s">
        <v>2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  <c r="P56" s="4">
        <f t="shared" si="0"/>
        <v>2000</v>
      </c>
      <c r="Q56" s="1" t="s">
        <v>14</v>
      </c>
    </row>
    <row r="57" spans="1:17" x14ac:dyDescent="0.25">
      <c r="A57" s="2">
        <v>54</v>
      </c>
      <c r="D57" s="9" t="s">
        <v>12</v>
      </c>
      <c r="E57" s="10"/>
      <c r="F57" s="10"/>
      <c r="G57" s="11"/>
      <c r="H57" s="12">
        <v>2800</v>
      </c>
      <c r="I57" s="7" t="s">
        <v>2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  <c r="P57" s="4">
        <f t="shared" si="0"/>
        <v>2800</v>
      </c>
      <c r="Q57" s="1" t="s">
        <v>14</v>
      </c>
    </row>
    <row r="58" spans="1:17" x14ac:dyDescent="0.25">
      <c r="A58" s="2">
        <v>55</v>
      </c>
      <c r="D58" s="16" t="s">
        <v>57</v>
      </c>
      <c r="E58" s="17"/>
      <c r="F58" s="17"/>
      <c r="G58" s="18"/>
      <c r="H58" s="12">
        <v>3000</v>
      </c>
      <c r="I58" s="7" t="s">
        <v>2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4">
        <f t="shared" si="0"/>
        <v>3000</v>
      </c>
      <c r="Q58" s="1" t="s">
        <v>14</v>
      </c>
    </row>
    <row r="59" spans="1:17" x14ac:dyDescent="0.25">
      <c r="A59" s="2">
        <v>56</v>
      </c>
      <c r="D59" s="9" t="s">
        <v>58</v>
      </c>
      <c r="E59" s="10"/>
      <c r="F59" s="10"/>
      <c r="G59" s="11"/>
      <c r="H59" s="12">
        <v>5000</v>
      </c>
      <c r="I59" s="7" t="s">
        <v>2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  <c r="P59" s="4">
        <f t="shared" si="0"/>
        <v>5000</v>
      </c>
      <c r="Q59" s="1" t="s">
        <v>14</v>
      </c>
    </row>
    <row r="60" spans="1:17" x14ac:dyDescent="0.25">
      <c r="A60" s="2">
        <v>57</v>
      </c>
      <c r="D60" s="16" t="s">
        <v>59</v>
      </c>
      <c r="E60" s="17"/>
      <c r="F60" s="17"/>
      <c r="G60" s="18"/>
      <c r="H60" s="12">
        <v>3000</v>
      </c>
      <c r="I60" s="7" t="s">
        <v>2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4">
        <f t="shared" si="0"/>
        <v>3000</v>
      </c>
      <c r="Q60" s="1" t="s">
        <v>14</v>
      </c>
    </row>
    <row r="61" spans="1:17" x14ac:dyDescent="0.25">
      <c r="A61" s="2">
        <v>58</v>
      </c>
      <c r="D61" s="9" t="s">
        <v>60</v>
      </c>
      <c r="E61" s="10"/>
      <c r="F61" s="10"/>
      <c r="G61" s="11"/>
      <c r="H61" s="12">
        <v>5000</v>
      </c>
      <c r="I61" s="7" t="s">
        <v>2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4">
        <f t="shared" si="0"/>
        <v>5000</v>
      </c>
      <c r="Q61" s="1" t="s">
        <v>14</v>
      </c>
    </row>
    <row r="62" spans="1:17" x14ac:dyDescent="0.25">
      <c r="A62" s="2">
        <v>59</v>
      </c>
      <c r="D62" s="16" t="s">
        <v>61</v>
      </c>
      <c r="E62" s="17"/>
      <c r="F62" s="17"/>
      <c r="G62" s="18"/>
      <c r="H62" s="12">
        <v>494</v>
      </c>
      <c r="I62" s="7" t="s">
        <v>2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4">
        <f t="shared" si="0"/>
        <v>494</v>
      </c>
      <c r="Q62" s="1" t="s">
        <v>14</v>
      </c>
    </row>
    <row r="63" spans="1:17" x14ac:dyDescent="0.25">
      <c r="A63" s="2">
        <v>60</v>
      </c>
      <c r="D63" s="9" t="s">
        <v>62</v>
      </c>
      <c r="E63" s="10"/>
      <c r="F63" s="10"/>
      <c r="G63" s="11"/>
      <c r="H63" s="12">
        <v>100</v>
      </c>
      <c r="I63" s="7" t="s">
        <v>2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4">
        <f t="shared" si="0"/>
        <v>100</v>
      </c>
      <c r="Q63" s="1" t="s">
        <v>14</v>
      </c>
    </row>
    <row r="64" spans="1:17" x14ac:dyDescent="0.25">
      <c r="A64" s="2">
        <v>61</v>
      </c>
      <c r="D64" s="16" t="s">
        <v>13</v>
      </c>
      <c r="E64" s="17"/>
      <c r="F64" s="17"/>
      <c r="G64" s="18"/>
      <c r="H64" s="12">
        <v>297</v>
      </c>
      <c r="I64" s="7" t="s">
        <v>2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4">
        <f t="shared" si="0"/>
        <v>297</v>
      </c>
      <c r="Q64" s="1" t="s">
        <v>14</v>
      </c>
    </row>
    <row r="65" spans="1:17" x14ac:dyDescent="0.25">
      <c r="A65" s="2">
        <v>62</v>
      </c>
      <c r="D65" s="9" t="s">
        <v>72</v>
      </c>
      <c r="E65" s="10"/>
      <c r="F65" s="10"/>
      <c r="G65" s="11"/>
      <c r="H65" s="12">
        <v>315</v>
      </c>
      <c r="I65" s="7" t="s">
        <v>2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4">
        <f t="shared" si="0"/>
        <v>315</v>
      </c>
      <c r="Q65" s="1" t="s">
        <v>14</v>
      </c>
    </row>
    <row r="66" spans="1:17" x14ac:dyDescent="0.25">
      <c r="A66" s="2">
        <v>63</v>
      </c>
      <c r="D66" s="16" t="s">
        <v>63</v>
      </c>
      <c r="E66" s="17"/>
      <c r="F66" s="17"/>
      <c r="G66" s="18"/>
      <c r="H66" s="12">
        <v>350</v>
      </c>
      <c r="I66" s="7" t="s">
        <v>2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  <c r="P66" s="4">
        <f t="shared" si="0"/>
        <v>350</v>
      </c>
      <c r="Q66" s="1" t="s">
        <v>14</v>
      </c>
    </row>
    <row r="67" spans="1:17" x14ac:dyDescent="0.25">
      <c r="A67" s="2">
        <v>64</v>
      </c>
      <c r="D67" s="9" t="s">
        <v>77</v>
      </c>
      <c r="E67" s="10"/>
      <c r="F67" s="10"/>
      <c r="G67" s="11"/>
      <c r="H67" s="12">
        <v>1400</v>
      </c>
      <c r="I67" s="7" t="s">
        <v>2</v>
      </c>
      <c r="J67" s="3">
        <v>0</v>
      </c>
      <c r="K67" s="3">
        <v>0</v>
      </c>
      <c r="L67" s="3">
        <v>6</v>
      </c>
      <c r="M67" s="3">
        <v>0</v>
      </c>
      <c r="N67" s="3">
        <v>0</v>
      </c>
      <c r="O67" s="3">
        <v>0</v>
      </c>
      <c r="P67" s="4">
        <f t="shared" si="0"/>
        <v>1394</v>
      </c>
      <c r="Q67" s="1" t="s">
        <v>14</v>
      </c>
    </row>
    <row r="68" spans="1:17" x14ac:dyDescent="0.25">
      <c r="A68" s="2">
        <v>65</v>
      </c>
      <c r="D68" s="16" t="s">
        <v>87</v>
      </c>
      <c r="E68" s="17"/>
      <c r="F68" s="17"/>
      <c r="G68" s="18"/>
      <c r="H68" s="12">
        <v>543</v>
      </c>
      <c r="I68" s="7" t="s">
        <v>2</v>
      </c>
      <c r="J68" s="3">
        <v>0</v>
      </c>
      <c r="K68" s="3">
        <v>11</v>
      </c>
      <c r="L68" s="3">
        <v>0</v>
      </c>
      <c r="M68" s="3">
        <v>0</v>
      </c>
      <c r="N68" s="3">
        <v>0</v>
      </c>
      <c r="O68" s="3">
        <v>0</v>
      </c>
      <c r="P68" s="4">
        <f t="shared" ref="P68:P83" si="1">+H68+J68-K68-L68-M68-N68-O68</f>
        <v>532</v>
      </c>
      <c r="Q68" s="1" t="s">
        <v>14</v>
      </c>
    </row>
    <row r="69" spans="1:17" x14ac:dyDescent="0.25">
      <c r="A69" s="2">
        <v>66</v>
      </c>
      <c r="D69" s="9" t="s">
        <v>64</v>
      </c>
      <c r="E69" s="10"/>
      <c r="F69" s="10"/>
      <c r="G69" s="11"/>
      <c r="H69" s="12">
        <v>328</v>
      </c>
      <c r="I69" s="7" t="s">
        <v>2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4">
        <f t="shared" si="1"/>
        <v>328</v>
      </c>
      <c r="Q69" s="1" t="s">
        <v>14</v>
      </c>
    </row>
    <row r="70" spans="1:17" x14ac:dyDescent="0.25">
      <c r="A70" s="2">
        <v>67</v>
      </c>
      <c r="D70" s="16" t="s">
        <v>65</v>
      </c>
      <c r="E70" s="17"/>
      <c r="F70" s="17"/>
      <c r="G70" s="18"/>
      <c r="H70" s="12">
        <v>95</v>
      </c>
      <c r="I70" s="7" t="s">
        <v>2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4">
        <f t="shared" si="1"/>
        <v>95</v>
      </c>
      <c r="Q70" s="1" t="s">
        <v>14</v>
      </c>
    </row>
    <row r="71" spans="1:17" x14ac:dyDescent="0.25">
      <c r="A71" s="2">
        <v>68</v>
      </c>
      <c r="D71" s="9" t="s">
        <v>66</v>
      </c>
      <c r="E71" s="10"/>
      <c r="F71" s="10"/>
      <c r="G71" s="11"/>
      <c r="H71" s="12">
        <v>500</v>
      </c>
      <c r="I71" s="7" t="s">
        <v>2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4">
        <f t="shared" si="1"/>
        <v>500</v>
      </c>
      <c r="Q71" s="1" t="s">
        <v>14</v>
      </c>
    </row>
    <row r="72" spans="1:17" x14ac:dyDescent="0.25">
      <c r="A72" s="2">
        <v>69</v>
      </c>
      <c r="D72" s="19" t="s">
        <v>86</v>
      </c>
      <c r="E72" s="20"/>
      <c r="F72" s="20"/>
      <c r="G72" s="21"/>
      <c r="H72" s="12">
        <v>0</v>
      </c>
      <c r="I72" s="7" t="s">
        <v>2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  <c r="P72" s="4">
        <f t="shared" si="1"/>
        <v>0</v>
      </c>
      <c r="Q72" s="1" t="s">
        <v>14</v>
      </c>
    </row>
    <row r="73" spans="1:17" x14ac:dyDescent="0.25">
      <c r="A73" s="2">
        <v>70</v>
      </c>
      <c r="D73" s="22" t="s">
        <v>74</v>
      </c>
      <c r="E73" s="10"/>
      <c r="F73" s="10"/>
      <c r="G73" s="11"/>
      <c r="H73" s="23">
        <v>160</v>
      </c>
      <c r="I73" s="8" t="s">
        <v>75</v>
      </c>
      <c r="J73" s="3">
        <v>0</v>
      </c>
      <c r="K73" s="3">
        <v>32</v>
      </c>
      <c r="L73" s="3">
        <v>0</v>
      </c>
      <c r="M73" s="3">
        <v>0</v>
      </c>
      <c r="N73" s="3">
        <v>0</v>
      </c>
      <c r="O73" s="3">
        <v>0</v>
      </c>
      <c r="P73" s="4">
        <f t="shared" si="1"/>
        <v>128</v>
      </c>
      <c r="Q73" s="1" t="s">
        <v>91</v>
      </c>
    </row>
    <row r="74" spans="1:17" x14ac:dyDescent="0.25">
      <c r="A74" s="2">
        <v>71</v>
      </c>
      <c r="C74" s="1" t="s">
        <v>14</v>
      </c>
      <c r="D74" s="22" t="s">
        <v>76</v>
      </c>
      <c r="E74" s="10"/>
      <c r="F74" s="10"/>
      <c r="G74" s="11"/>
      <c r="H74" s="24">
        <v>184</v>
      </c>
      <c r="I74" s="8" t="s">
        <v>2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4">
        <f t="shared" si="1"/>
        <v>184</v>
      </c>
      <c r="Q74" s="1" t="s">
        <v>14</v>
      </c>
    </row>
    <row r="75" spans="1:17" x14ac:dyDescent="0.25">
      <c r="A75" s="2">
        <v>72</v>
      </c>
      <c r="D75" s="25" t="s">
        <v>78</v>
      </c>
      <c r="H75" s="29">
        <v>76</v>
      </c>
      <c r="I75" s="30" t="s">
        <v>2</v>
      </c>
      <c r="J75" s="3">
        <v>0</v>
      </c>
      <c r="K75" s="3">
        <v>4</v>
      </c>
      <c r="L75" s="3">
        <v>0</v>
      </c>
      <c r="M75" s="3">
        <v>0</v>
      </c>
      <c r="N75" s="3">
        <v>0</v>
      </c>
      <c r="O75" s="3">
        <v>0</v>
      </c>
      <c r="P75" s="4">
        <f t="shared" si="1"/>
        <v>72</v>
      </c>
      <c r="Q75" s="1" t="s">
        <v>14</v>
      </c>
    </row>
    <row r="76" spans="1:17" x14ac:dyDescent="0.25">
      <c r="A76" s="2">
        <v>73</v>
      </c>
      <c r="D76" s="26" t="s">
        <v>80</v>
      </c>
      <c r="E76" s="27"/>
      <c r="F76" s="27"/>
      <c r="G76" s="28"/>
      <c r="H76" s="29">
        <v>38</v>
      </c>
      <c r="I76" s="8" t="s">
        <v>2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  <c r="P76" s="4">
        <f t="shared" si="1"/>
        <v>38</v>
      </c>
      <c r="Q76" s="1" t="s">
        <v>14</v>
      </c>
    </row>
    <row r="77" spans="1:17" x14ac:dyDescent="0.25">
      <c r="A77" s="2">
        <v>74</v>
      </c>
      <c r="D77" s="26" t="s">
        <v>84</v>
      </c>
      <c r="E77" s="27"/>
      <c r="F77" s="27"/>
      <c r="G77" s="28"/>
      <c r="H77" s="29">
        <v>100</v>
      </c>
      <c r="I77" s="8" t="s">
        <v>2</v>
      </c>
      <c r="J77" s="3">
        <v>0</v>
      </c>
      <c r="K77" s="3">
        <v>0</v>
      </c>
      <c r="L77" s="3">
        <v>50</v>
      </c>
      <c r="M77" s="3">
        <v>0</v>
      </c>
      <c r="N77" s="3">
        <v>0</v>
      </c>
      <c r="O77" s="3">
        <v>0</v>
      </c>
      <c r="P77" s="4">
        <f t="shared" si="1"/>
        <v>50</v>
      </c>
      <c r="Q77" s="1" t="s">
        <v>14</v>
      </c>
    </row>
    <row r="78" spans="1:17" x14ac:dyDescent="0.25">
      <c r="A78" s="2">
        <v>75</v>
      </c>
      <c r="D78" s="26" t="s">
        <v>85</v>
      </c>
      <c r="E78" s="27"/>
      <c r="F78" s="27"/>
      <c r="G78" s="28"/>
      <c r="H78" s="29">
        <v>2</v>
      </c>
      <c r="I78" s="8" t="s">
        <v>2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  <c r="P78" s="31">
        <f t="shared" si="1"/>
        <v>2</v>
      </c>
    </row>
    <row r="79" spans="1:17" x14ac:dyDescent="0.25">
      <c r="D79" s="37" t="s">
        <v>90</v>
      </c>
      <c r="E79" s="17"/>
      <c r="F79" s="33"/>
      <c r="G79" s="33"/>
      <c r="H79" s="4">
        <v>0</v>
      </c>
      <c r="I79" s="8" t="s">
        <v>14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  <c r="P79" s="31">
        <f t="shared" si="1"/>
        <v>0</v>
      </c>
      <c r="Q79" s="1" t="s">
        <v>14</v>
      </c>
    </row>
    <row r="80" spans="1:17" x14ac:dyDescent="0.25">
      <c r="D80" s="36"/>
      <c r="E80" s="27"/>
      <c r="F80" s="27"/>
      <c r="G80" s="28"/>
      <c r="H80" s="4"/>
      <c r="I80" s="8"/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  <c r="P80" s="31">
        <f t="shared" si="1"/>
        <v>0</v>
      </c>
    </row>
    <row r="81" spans="4:16" x14ac:dyDescent="0.25">
      <c r="D81" s="32"/>
      <c r="E81" s="33"/>
      <c r="F81" s="33"/>
      <c r="G81" s="33"/>
      <c r="H81" s="4"/>
      <c r="I81" s="8"/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  <c r="P81" s="31">
        <f t="shared" si="1"/>
        <v>0</v>
      </c>
    </row>
    <row r="82" spans="4:16" x14ac:dyDescent="0.25">
      <c r="D82" s="36"/>
      <c r="E82" s="27"/>
      <c r="F82" s="27"/>
      <c r="G82" s="28"/>
      <c r="H82" s="4"/>
      <c r="I82" s="8"/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  <c r="P82" s="31">
        <f t="shared" si="1"/>
        <v>0</v>
      </c>
    </row>
    <row r="83" spans="4:16" x14ac:dyDescent="0.25">
      <c r="D83" s="34"/>
      <c r="E83" s="35"/>
      <c r="F83" s="35"/>
      <c r="G83" s="35"/>
      <c r="H83" s="4"/>
      <c r="I83" s="8"/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1">
        <f t="shared" si="1"/>
        <v>0</v>
      </c>
    </row>
  </sheetData>
  <pageMargins left="0.75" right="0.75" top="1" bottom="1" header="0.5" footer="0.5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83"/>
  <sheetViews>
    <sheetView workbookViewId="0">
      <selection activeCell="P4" sqref="P4"/>
    </sheetView>
  </sheetViews>
  <sheetFormatPr defaultRowHeight="15" x14ac:dyDescent="0.25"/>
  <cols>
    <col min="1" max="1" width="5.5703125" customWidth="1"/>
    <col min="2" max="3" width="9.140625" hidden="1" customWidth="1"/>
    <col min="11" max="15" width="10.140625" bestFit="1" customWidth="1"/>
  </cols>
  <sheetData>
    <row r="1" spans="1:17" x14ac:dyDescent="0.25">
      <c r="G1" s="1"/>
      <c r="P1">
        <f>+H1+J1-K1-L1-M1-N1-O1</f>
        <v>0</v>
      </c>
    </row>
    <row r="2" spans="1:17" x14ac:dyDescent="0.25">
      <c r="A2" t="s">
        <v>14</v>
      </c>
      <c r="O2" s="38">
        <v>44837</v>
      </c>
    </row>
    <row r="3" spans="1:17" x14ac:dyDescent="0.25">
      <c r="A3" s="1" t="s">
        <v>15</v>
      </c>
      <c r="D3" s="9" t="s">
        <v>17</v>
      </c>
      <c r="E3" s="10"/>
      <c r="F3" s="10"/>
      <c r="G3" s="11"/>
      <c r="H3" s="12" t="s">
        <v>18</v>
      </c>
      <c r="I3" s="4" t="s">
        <v>19</v>
      </c>
      <c r="J3" s="3" t="s">
        <v>20</v>
      </c>
      <c r="K3" s="5">
        <v>44844</v>
      </c>
      <c r="L3" s="6">
        <v>44845</v>
      </c>
      <c r="M3" s="5">
        <v>44846</v>
      </c>
      <c r="N3" s="5">
        <v>44847</v>
      </c>
      <c r="O3" s="6">
        <v>44848</v>
      </c>
      <c r="P3" s="3" t="s">
        <v>21</v>
      </c>
    </row>
    <row r="4" spans="1:17" x14ac:dyDescent="0.25">
      <c r="A4" s="2">
        <v>1</v>
      </c>
      <c r="D4" s="13" t="s">
        <v>16</v>
      </c>
      <c r="E4" s="14"/>
      <c r="F4" s="14"/>
      <c r="G4" s="15"/>
      <c r="H4" s="12">
        <v>317</v>
      </c>
      <c r="I4" s="7" t="s">
        <v>1</v>
      </c>
      <c r="J4" s="3">
        <v>0</v>
      </c>
      <c r="K4" s="3">
        <v>34</v>
      </c>
      <c r="L4" s="3">
        <v>0</v>
      </c>
      <c r="M4" s="3">
        <v>0</v>
      </c>
      <c r="N4" s="3">
        <v>17</v>
      </c>
      <c r="O4" s="3">
        <v>0</v>
      </c>
      <c r="P4" s="4">
        <f t="shared" ref="P4:P67" si="0">+H4+J4-K4-L4-M4-N4-O4</f>
        <v>266</v>
      </c>
      <c r="Q4" t="s">
        <v>67</v>
      </c>
    </row>
    <row r="5" spans="1:17" x14ac:dyDescent="0.25">
      <c r="A5" s="2">
        <v>2</v>
      </c>
      <c r="D5" s="9" t="s">
        <v>22</v>
      </c>
      <c r="E5" s="10"/>
      <c r="F5" s="10"/>
      <c r="G5" s="11"/>
      <c r="H5" s="12">
        <v>30</v>
      </c>
      <c r="I5" s="7" t="s">
        <v>2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4">
        <f t="shared" si="0"/>
        <v>30</v>
      </c>
      <c r="Q5" s="1" t="s">
        <v>14</v>
      </c>
    </row>
    <row r="6" spans="1:17" x14ac:dyDescent="0.25">
      <c r="A6" s="2">
        <v>3</v>
      </c>
      <c r="D6" s="16" t="s">
        <v>23</v>
      </c>
      <c r="E6" s="17"/>
      <c r="F6" s="17"/>
      <c r="G6" s="18"/>
      <c r="H6" s="12">
        <v>40</v>
      </c>
      <c r="I6" s="7" t="s">
        <v>2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4">
        <f t="shared" si="0"/>
        <v>40</v>
      </c>
      <c r="Q6" s="1" t="s">
        <v>14</v>
      </c>
    </row>
    <row r="7" spans="1:17" x14ac:dyDescent="0.25">
      <c r="A7" s="2">
        <v>4</v>
      </c>
      <c r="D7" s="9" t="s">
        <v>3</v>
      </c>
      <c r="E7" s="10"/>
      <c r="F7" s="10"/>
      <c r="G7" s="11"/>
      <c r="H7" s="12">
        <v>58</v>
      </c>
      <c r="I7" s="7" t="s">
        <v>2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4">
        <f t="shared" si="0"/>
        <v>58</v>
      </c>
      <c r="Q7" s="1" t="s">
        <v>14</v>
      </c>
    </row>
    <row r="8" spans="1:17" x14ac:dyDescent="0.25">
      <c r="A8" s="2">
        <v>5</v>
      </c>
      <c r="D8" s="16" t="s">
        <v>4</v>
      </c>
      <c r="E8" s="17"/>
      <c r="F8" s="17"/>
      <c r="G8" s="18"/>
      <c r="H8" s="12">
        <v>232</v>
      </c>
      <c r="I8" s="7" t="s">
        <v>2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4">
        <f t="shared" si="0"/>
        <v>232</v>
      </c>
      <c r="Q8" s="1" t="s">
        <v>14</v>
      </c>
    </row>
    <row r="9" spans="1:17" x14ac:dyDescent="0.25">
      <c r="A9" s="2">
        <v>6</v>
      </c>
      <c r="D9" s="9" t="s">
        <v>24</v>
      </c>
      <c r="E9" s="10"/>
      <c r="F9" s="10"/>
      <c r="G9" s="11"/>
      <c r="H9" s="12">
        <v>0</v>
      </c>
      <c r="I9" s="7" t="s">
        <v>2</v>
      </c>
      <c r="J9" s="3">
        <v>100</v>
      </c>
      <c r="K9" s="3">
        <v>0</v>
      </c>
      <c r="L9" s="3">
        <v>0</v>
      </c>
      <c r="M9" s="3">
        <v>0</v>
      </c>
      <c r="N9" s="3">
        <v>40</v>
      </c>
      <c r="O9" s="3">
        <v>0</v>
      </c>
      <c r="P9" s="4">
        <f t="shared" si="0"/>
        <v>60</v>
      </c>
      <c r="Q9" s="1" t="s">
        <v>14</v>
      </c>
    </row>
    <row r="10" spans="1:17" x14ac:dyDescent="0.25">
      <c r="A10" s="2">
        <v>7</v>
      </c>
      <c r="D10" s="16" t="s">
        <v>95</v>
      </c>
      <c r="E10" s="17"/>
      <c r="F10" s="17"/>
      <c r="G10" s="18"/>
      <c r="H10" s="12">
        <v>2348</v>
      </c>
      <c r="I10" s="7" t="s">
        <v>2</v>
      </c>
      <c r="J10" s="3">
        <v>0</v>
      </c>
      <c r="K10" s="3">
        <v>0</v>
      </c>
      <c r="L10" s="3">
        <v>6</v>
      </c>
      <c r="M10" s="3">
        <v>2</v>
      </c>
      <c r="N10" s="3">
        <v>0</v>
      </c>
      <c r="O10" s="3">
        <v>0</v>
      </c>
      <c r="P10" s="4">
        <f t="shared" si="0"/>
        <v>2340</v>
      </c>
      <c r="Q10" s="1" t="s">
        <v>14</v>
      </c>
    </row>
    <row r="11" spans="1:17" x14ac:dyDescent="0.25">
      <c r="A11" s="2">
        <v>8</v>
      </c>
      <c r="D11" s="9" t="s">
        <v>25</v>
      </c>
      <c r="E11" s="10"/>
      <c r="F11" s="10"/>
      <c r="G11" s="11"/>
      <c r="H11" s="12">
        <v>496</v>
      </c>
      <c r="I11" s="7" t="s">
        <v>2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4">
        <f t="shared" si="0"/>
        <v>496</v>
      </c>
      <c r="Q11" s="1" t="s">
        <v>14</v>
      </c>
    </row>
    <row r="12" spans="1:17" x14ac:dyDescent="0.25">
      <c r="A12" s="2">
        <v>9</v>
      </c>
      <c r="D12" s="16" t="s">
        <v>26</v>
      </c>
      <c r="E12" s="17"/>
      <c r="F12" s="17"/>
      <c r="G12" s="18"/>
      <c r="H12" s="12">
        <v>60</v>
      </c>
      <c r="I12" s="7" t="s">
        <v>2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4">
        <f t="shared" si="0"/>
        <v>60</v>
      </c>
      <c r="Q12" s="1" t="s">
        <v>14</v>
      </c>
    </row>
    <row r="13" spans="1:17" x14ac:dyDescent="0.25">
      <c r="A13" s="2">
        <v>10</v>
      </c>
      <c r="D13" s="9" t="s">
        <v>6</v>
      </c>
      <c r="E13" s="10"/>
      <c r="F13" s="10"/>
      <c r="G13" s="11"/>
      <c r="H13" s="12">
        <v>42</v>
      </c>
      <c r="I13" s="7" t="s">
        <v>2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4">
        <f t="shared" si="0"/>
        <v>42</v>
      </c>
      <c r="Q13" s="1" t="s">
        <v>14</v>
      </c>
    </row>
    <row r="14" spans="1:17" x14ac:dyDescent="0.25">
      <c r="A14" s="2">
        <v>11</v>
      </c>
      <c r="D14" s="16" t="s">
        <v>7</v>
      </c>
      <c r="E14" s="17"/>
      <c r="F14" s="17"/>
      <c r="G14" s="18"/>
      <c r="H14" s="12">
        <v>24</v>
      </c>
      <c r="I14" s="7" t="s">
        <v>2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4">
        <f t="shared" si="0"/>
        <v>24</v>
      </c>
      <c r="Q14" s="1" t="s">
        <v>14</v>
      </c>
    </row>
    <row r="15" spans="1:17" x14ac:dyDescent="0.25">
      <c r="A15" s="2">
        <v>12</v>
      </c>
      <c r="D15" s="9" t="s">
        <v>69</v>
      </c>
      <c r="E15" s="10"/>
      <c r="F15" s="10"/>
      <c r="G15" s="11"/>
      <c r="H15" s="12">
        <v>26</v>
      </c>
      <c r="I15" s="7" t="s">
        <v>2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4">
        <f t="shared" si="0"/>
        <v>26</v>
      </c>
      <c r="Q15" s="1" t="s">
        <v>14</v>
      </c>
    </row>
    <row r="16" spans="1:17" x14ac:dyDescent="0.25">
      <c r="A16" s="2">
        <v>13</v>
      </c>
      <c r="D16" s="16" t="s">
        <v>27</v>
      </c>
      <c r="E16" s="17"/>
      <c r="F16" s="17"/>
      <c r="G16" s="18"/>
      <c r="H16" s="12">
        <v>90</v>
      </c>
      <c r="I16" s="7" t="s">
        <v>2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4">
        <f t="shared" si="0"/>
        <v>90</v>
      </c>
      <c r="Q16" s="1" t="s">
        <v>14</v>
      </c>
    </row>
    <row r="17" spans="1:17" x14ac:dyDescent="0.25">
      <c r="A17" s="2">
        <v>14</v>
      </c>
      <c r="D17" s="9" t="s">
        <v>73</v>
      </c>
      <c r="E17" s="10"/>
      <c r="F17" s="10"/>
      <c r="G17" s="11"/>
      <c r="H17" s="12">
        <v>800</v>
      </c>
      <c r="I17" s="7" t="s">
        <v>2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4">
        <f t="shared" si="0"/>
        <v>800</v>
      </c>
      <c r="Q17" s="1" t="s">
        <v>14</v>
      </c>
    </row>
    <row r="18" spans="1:17" x14ac:dyDescent="0.25">
      <c r="A18" s="2">
        <v>15</v>
      </c>
      <c r="D18" s="16" t="s">
        <v>28</v>
      </c>
      <c r="E18" s="17"/>
      <c r="F18" s="17"/>
      <c r="G18" s="18"/>
      <c r="H18" s="12">
        <v>41</v>
      </c>
      <c r="I18" s="7" t="s">
        <v>2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4">
        <f t="shared" si="0"/>
        <v>41</v>
      </c>
      <c r="Q18" s="1" t="s">
        <v>14</v>
      </c>
    </row>
    <row r="19" spans="1:17" x14ac:dyDescent="0.25">
      <c r="A19" s="2">
        <v>16</v>
      </c>
      <c r="D19" s="9" t="s">
        <v>29</v>
      </c>
      <c r="E19" s="10"/>
      <c r="F19" s="10"/>
      <c r="G19" s="11"/>
      <c r="H19" s="12">
        <v>42</v>
      </c>
      <c r="I19" s="7" t="s">
        <v>2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4">
        <f t="shared" si="0"/>
        <v>42</v>
      </c>
      <c r="Q19" s="1" t="s">
        <v>14</v>
      </c>
    </row>
    <row r="20" spans="1:17" x14ac:dyDescent="0.25">
      <c r="A20" s="2">
        <v>17</v>
      </c>
      <c r="D20" s="16" t="s">
        <v>30</v>
      </c>
      <c r="E20" s="17"/>
      <c r="F20" s="17"/>
      <c r="G20" s="18"/>
      <c r="H20" s="12">
        <v>52</v>
      </c>
      <c r="I20" s="7" t="s">
        <v>2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4">
        <f t="shared" si="0"/>
        <v>52</v>
      </c>
      <c r="Q20" s="1" t="s">
        <v>14</v>
      </c>
    </row>
    <row r="21" spans="1:17" x14ac:dyDescent="0.25">
      <c r="A21" s="2">
        <v>18</v>
      </c>
      <c r="D21" s="9" t="s">
        <v>31</v>
      </c>
      <c r="E21" s="10"/>
      <c r="F21" s="10"/>
      <c r="G21" s="11"/>
      <c r="H21" s="12">
        <v>33</v>
      </c>
      <c r="I21" s="7" t="s">
        <v>2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4">
        <f t="shared" si="0"/>
        <v>33</v>
      </c>
      <c r="Q21" s="1" t="s">
        <v>14</v>
      </c>
    </row>
    <row r="22" spans="1:17" x14ac:dyDescent="0.25">
      <c r="A22" s="2">
        <v>19</v>
      </c>
      <c r="D22" s="16" t="s">
        <v>8</v>
      </c>
      <c r="E22" s="17"/>
      <c r="F22" s="17"/>
      <c r="G22" s="18"/>
      <c r="H22" s="12">
        <v>70</v>
      </c>
      <c r="I22" s="7" t="s">
        <v>1</v>
      </c>
      <c r="J22" s="3">
        <v>200</v>
      </c>
      <c r="K22" s="3">
        <v>0</v>
      </c>
      <c r="L22" s="3">
        <v>0</v>
      </c>
      <c r="M22" s="3">
        <v>10</v>
      </c>
      <c r="N22" s="3">
        <v>20</v>
      </c>
      <c r="O22" s="3">
        <v>0</v>
      </c>
      <c r="P22" s="4">
        <f t="shared" si="0"/>
        <v>240</v>
      </c>
      <c r="Q22" s="1" t="s">
        <v>14</v>
      </c>
    </row>
    <row r="23" spans="1:17" x14ac:dyDescent="0.25">
      <c r="A23" s="2">
        <v>20</v>
      </c>
      <c r="D23" s="9" t="s">
        <v>32</v>
      </c>
      <c r="E23" s="10"/>
      <c r="F23" s="10"/>
      <c r="G23" s="11"/>
      <c r="H23" s="12">
        <v>2000</v>
      </c>
      <c r="I23" s="7" t="s">
        <v>2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4">
        <f t="shared" si="0"/>
        <v>2000</v>
      </c>
      <c r="Q23" s="1" t="s">
        <v>14</v>
      </c>
    </row>
    <row r="24" spans="1:17" x14ac:dyDescent="0.25">
      <c r="A24" s="2">
        <v>21</v>
      </c>
      <c r="D24" s="16" t="s">
        <v>33</v>
      </c>
      <c r="E24" s="17"/>
      <c r="F24" s="17"/>
      <c r="G24" s="18"/>
      <c r="H24" s="12">
        <v>279</v>
      </c>
      <c r="I24" s="7" t="s">
        <v>2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4">
        <f t="shared" si="0"/>
        <v>279</v>
      </c>
      <c r="Q24" s="1" t="s">
        <v>14</v>
      </c>
    </row>
    <row r="25" spans="1:17" x14ac:dyDescent="0.25">
      <c r="A25" s="2">
        <v>22</v>
      </c>
      <c r="D25" s="9" t="s">
        <v>34</v>
      </c>
      <c r="E25" s="10"/>
      <c r="F25" s="10"/>
      <c r="G25" s="11"/>
      <c r="H25" s="12">
        <v>48</v>
      </c>
      <c r="I25" s="7" t="s">
        <v>2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4">
        <f t="shared" si="0"/>
        <v>48</v>
      </c>
      <c r="Q25" s="1" t="s">
        <v>14</v>
      </c>
    </row>
    <row r="26" spans="1:17" x14ac:dyDescent="0.25">
      <c r="A26" s="2">
        <v>23</v>
      </c>
      <c r="D26" s="16" t="s">
        <v>82</v>
      </c>
      <c r="E26" s="17"/>
      <c r="F26" s="17"/>
      <c r="G26" s="18"/>
      <c r="H26" s="12">
        <v>168</v>
      </c>
      <c r="I26" s="7" t="s">
        <v>2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4">
        <f t="shared" si="0"/>
        <v>168</v>
      </c>
      <c r="Q26" s="1" t="s">
        <v>14</v>
      </c>
    </row>
    <row r="27" spans="1:17" x14ac:dyDescent="0.25">
      <c r="A27" s="2">
        <v>24</v>
      </c>
      <c r="D27" s="9" t="s">
        <v>81</v>
      </c>
      <c r="E27" s="10"/>
      <c r="F27" s="10"/>
      <c r="G27" s="11"/>
      <c r="H27" s="12">
        <v>50</v>
      </c>
      <c r="I27" s="7" t="s">
        <v>2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  <c r="P27" s="4">
        <f t="shared" si="0"/>
        <v>50</v>
      </c>
      <c r="Q27" s="1" t="s">
        <v>14</v>
      </c>
    </row>
    <row r="28" spans="1:17" x14ac:dyDescent="0.25">
      <c r="A28" s="2">
        <v>25</v>
      </c>
      <c r="D28" s="16" t="s">
        <v>35</v>
      </c>
      <c r="E28" s="17"/>
      <c r="F28" s="17"/>
      <c r="G28" s="18"/>
      <c r="H28" s="12">
        <v>50</v>
      </c>
      <c r="I28" s="7" t="s">
        <v>2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4">
        <f t="shared" si="0"/>
        <v>50</v>
      </c>
      <c r="Q28" s="1" t="s">
        <v>14</v>
      </c>
    </row>
    <row r="29" spans="1:17" x14ac:dyDescent="0.25">
      <c r="A29" s="2">
        <v>26</v>
      </c>
      <c r="D29" s="9" t="s">
        <v>36</v>
      </c>
      <c r="E29" s="10"/>
      <c r="F29" s="10"/>
      <c r="G29" s="11"/>
      <c r="H29" s="12">
        <v>65</v>
      </c>
      <c r="I29" s="7" t="s">
        <v>2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4">
        <f t="shared" si="0"/>
        <v>65</v>
      </c>
      <c r="Q29" s="1" t="s">
        <v>14</v>
      </c>
    </row>
    <row r="30" spans="1:17" x14ac:dyDescent="0.25">
      <c r="A30" s="2">
        <v>27</v>
      </c>
      <c r="D30" s="16" t="s">
        <v>37</v>
      </c>
      <c r="E30" s="17"/>
      <c r="F30" s="17"/>
      <c r="G30" s="18"/>
      <c r="H30" s="12">
        <v>240</v>
      </c>
      <c r="I30" s="7" t="s">
        <v>2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4">
        <f t="shared" si="0"/>
        <v>240</v>
      </c>
      <c r="Q30" s="1" t="s">
        <v>14</v>
      </c>
    </row>
    <row r="31" spans="1:17" x14ac:dyDescent="0.25">
      <c r="A31" s="2">
        <v>28</v>
      </c>
      <c r="D31" s="9" t="s">
        <v>38</v>
      </c>
      <c r="E31" s="10"/>
      <c r="F31" s="10"/>
      <c r="G31" s="11"/>
      <c r="H31" s="12">
        <v>721</v>
      </c>
      <c r="I31" s="7" t="s">
        <v>2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4">
        <f t="shared" si="0"/>
        <v>721</v>
      </c>
      <c r="Q31" s="1" t="s">
        <v>14</v>
      </c>
    </row>
    <row r="32" spans="1:17" x14ac:dyDescent="0.25">
      <c r="A32" s="2">
        <v>29</v>
      </c>
      <c r="D32" s="16" t="s">
        <v>39</v>
      </c>
      <c r="E32" s="17"/>
      <c r="F32" s="17"/>
      <c r="G32" s="18"/>
      <c r="H32" s="12">
        <v>50</v>
      </c>
      <c r="I32" s="7" t="s">
        <v>2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4">
        <f t="shared" si="0"/>
        <v>50</v>
      </c>
      <c r="Q32" s="1" t="s">
        <v>14</v>
      </c>
    </row>
    <row r="33" spans="1:17" x14ac:dyDescent="0.25">
      <c r="A33" s="2">
        <v>30</v>
      </c>
      <c r="D33" s="9" t="s">
        <v>40</v>
      </c>
      <c r="E33" s="10"/>
      <c r="F33" s="10"/>
      <c r="G33" s="11"/>
      <c r="H33" s="12">
        <v>1115</v>
      </c>
      <c r="I33" s="7" t="s">
        <v>2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4">
        <f t="shared" si="0"/>
        <v>1115</v>
      </c>
      <c r="Q33" s="1" t="s">
        <v>14</v>
      </c>
    </row>
    <row r="34" spans="1:17" x14ac:dyDescent="0.25">
      <c r="A34" s="2">
        <v>31</v>
      </c>
      <c r="D34" s="16" t="s">
        <v>9</v>
      </c>
      <c r="E34" s="17"/>
      <c r="F34" s="17"/>
      <c r="G34" s="18"/>
      <c r="H34" s="12">
        <v>546</v>
      </c>
      <c r="I34" s="7" t="s">
        <v>2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4">
        <f t="shared" si="0"/>
        <v>546</v>
      </c>
      <c r="Q34" s="1" t="s">
        <v>14</v>
      </c>
    </row>
    <row r="35" spans="1:17" x14ac:dyDescent="0.25">
      <c r="A35" s="2">
        <v>32</v>
      </c>
      <c r="D35" s="9" t="s">
        <v>83</v>
      </c>
      <c r="E35" s="10"/>
      <c r="F35" s="10"/>
      <c r="G35" s="11"/>
      <c r="H35" s="12">
        <v>100</v>
      </c>
      <c r="I35" s="7" t="s">
        <v>2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4">
        <f t="shared" si="0"/>
        <v>100</v>
      </c>
      <c r="Q35" s="1" t="s">
        <v>14</v>
      </c>
    </row>
    <row r="36" spans="1:17" x14ac:dyDescent="0.25">
      <c r="A36" s="2">
        <v>33</v>
      </c>
      <c r="D36" s="16" t="s">
        <v>70</v>
      </c>
      <c r="E36" s="17"/>
      <c r="F36" s="17"/>
      <c r="G36" s="18"/>
      <c r="H36" s="12">
        <v>960</v>
      </c>
      <c r="I36" s="7" t="s">
        <v>2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4">
        <f t="shared" si="0"/>
        <v>960</v>
      </c>
      <c r="Q36" s="1" t="s">
        <v>14</v>
      </c>
    </row>
    <row r="37" spans="1:17" x14ac:dyDescent="0.25">
      <c r="A37" s="2">
        <v>34</v>
      </c>
      <c r="D37" s="9" t="s">
        <v>41</v>
      </c>
      <c r="E37" s="10"/>
      <c r="F37" s="10"/>
      <c r="G37" s="11"/>
      <c r="H37" s="12">
        <v>283</v>
      </c>
      <c r="I37" s="7" t="s">
        <v>2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4">
        <f t="shared" si="0"/>
        <v>283</v>
      </c>
      <c r="Q37" s="1" t="s">
        <v>14</v>
      </c>
    </row>
    <row r="38" spans="1:17" x14ac:dyDescent="0.25">
      <c r="A38" s="2">
        <v>35</v>
      </c>
      <c r="D38" s="16" t="s">
        <v>42</v>
      </c>
      <c r="E38" s="17"/>
      <c r="F38" s="17"/>
      <c r="G38" s="18"/>
      <c r="H38" s="12">
        <v>287</v>
      </c>
      <c r="I38" s="7" t="s">
        <v>2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4">
        <f t="shared" si="0"/>
        <v>287</v>
      </c>
      <c r="Q38" s="1" t="s">
        <v>14</v>
      </c>
    </row>
    <row r="39" spans="1:17" x14ac:dyDescent="0.25">
      <c r="A39" s="2">
        <v>36</v>
      </c>
      <c r="D39" s="9" t="s">
        <v>43</v>
      </c>
      <c r="E39" s="10"/>
      <c r="F39" s="10"/>
      <c r="G39" s="11"/>
      <c r="H39" s="12">
        <v>27</v>
      </c>
      <c r="I39" s="7" t="s">
        <v>2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4">
        <f t="shared" si="0"/>
        <v>27</v>
      </c>
      <c r="Q39" s="1" t="s">
        <v>14</v>
      </c>
    </row>
    <row r="40" spans="1:17" x14ac:dyDescent="0.25">
      <c r="A40" s="2">
        <v>37</v>
      </c>
      <c r="D40" s="16" t="s">
        <v>44</v>
      </c>
      <c r="E40" s="17"/>
      <c r="F40" s="17"/>
      <c r="G40" s="18"/>
      <c r="H40" s="12">
        <v>99</v>
      </c>
      <c r="I40" s="7" t="s">
        <v>2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4">
        <f t="shared" si="0"/>
        <v>99</v>
      </c>
      <c r="Q40" s="1" t="s">
        <v>14</v>
      </c>
    </row>
    <row r="41" spans="1:17" x14ac:dyDescent="0.25">
      <c r="A41" s="2">
        <v>38</v>
      </c>
      <c r="D41" s="9" t="s">
        <v>71</v>
      </c>
      <c r="E41" s="10"/>
      <c r="F41" s="10"/>
      <c r="G41" s="11"/>
      <c r="H41" s="12">
        <v>20</v>
      </c>
      <c r="I41" s="7" t="s">
        <v>2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4">
        <f t="shared" si="0"/>
        <v>20</v>
      </c>
      <c r="Q41" s="1" t="s">
        <v>14</v>
      </c>
    </row>
    <row r="42" spans="1:17" x14ac:dyDescent="0.25">
      <c r="A42" s="2">
        <v>39</v>
      </c>
      <c r="D42" s="16" t="s">
        <v>10</v>
      </c>
      <c r="E42" s="17"/>
      <c r="F42" s="17"/>
      <c r="G42" s="18"/>
      <c r="H42" s="12">
        <v>155</v>
      </c>
      <c r="I42" s="7" t="s">
        <v>2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4">
        <f t="shared" si="0"/>
        <v>155</v>
      </c>
      <c r="Q42" s="1" t="s">
        <v>14</v>
      </c>
    </row>
    <row r="43" spans="1:17" x14ac:dyDescent="0.25">
      <c r="A43" s="2">
        <v>40</v>
      </c>
      <c r="D43" s="9" t="s">
        <v>45</v>
      </c>
      <c r="E43" s="10"/>
      <c r="F43" s="10"/>
      <c r="G43" s="11"/>
      <c r="H43" s="12">
        <v>151</v>
      </c>
      <c r="I43" s="7" t="s">
        <v>2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4">
        <f t="shared" si="0"/>
        <v>151</v>
      </c>
      <c r="Q43" s="1" t="s">
        <v>14</v>
      </c>
    </row>
    <row r="44" spans="1:17" x14ac:dyDescent="0.25">
      <c r="A44" s="2">
        <v>41</v>
      </c>
      <c r="D44" s="16" t="s">
        <v>46</v>
      </c>
      <c r="E44" s="17"/>
      <c r="F44" s="17"/>
      <c r="G44" s="18"/>
      <c r="H44" s="12">
        <v>25</v>
      </c>
      <c r="I44" s="7" t="s">
        <v>2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4">
        <f t="shared" si="0"/>
        <v>25</v>
      </c>
      <c r="Q44" s="1" t="s">
        <v>14</v>
      </c>
    </row>
    <row r="45" spans="1:17" x14ac:dyDescent="0.25">
      <c r="A45" s="2">
        <v>42</v>
      </c>
      <c r="D45" s="9" t="s">
        <v>47</v>
      </c>
      <c r="E45" s="10"/>
      <c r="F45" s="10"/>
      <c r="G45" s="11"/>
      <c r="H45" s="12">
        <v>20</v>
      </c>
      <c r="I45" s="7" t="s">
        <v>2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4">
        <f t="shared" si="0"/>
        <v>20</v>
      </c>
      <c r="Q45" s="1" t="s">
        <v>14</v>
      </c>
    </row>
    <row r="46" spans="1:17" x14ac:dyDescent="0.25">
      <c r="A46" s="2">
        <v>43</v>
      </c>
      <c r="D46" s="16" t="s">
        <v>79</v>
      </c>
      <c r="E46" s="17"/>
      <c r="F46" s="17"/>
      <c r="G46" s="18"/>
      <c r="H46" s="12">
        <v>55</v>
      </c>
      <c r="I46" s="7" t="s">
        <v>2</v>
      </c>
      <c r="J46" s="3">
        <v>0</v>
      </c>
      <c r="K46" s="3">
        <v>0</v>
      </c>
      <c r="L46" s="3">
        <v>1</v>
      </c>
      <c r="M46" s="3">
        <v>0</v>
      </c>
      <c r="N46" s="3">
        <v>0</v>
      </c>
      <c r="O46" s="3">
        <v>0</v>
      </c>
      <c r="P46" s="4">
        <f t="shared" si="0"/>
        <v>54</v>
      </c>
      <c r="Q46" s="1" t="s">
        <v>14</v>
      </c>
    </row>
    <row r="47" spans="1:17" x14ac:dyDescent="0.25">
      <c r="A47" s="2">
        <v>44</v>
      </c>
      <c r="D47" s="9" t="s">
        <v>48</v>
      </c>
      <c r="E47" s="10"/>
      <c r="F47" s="10"/>
      <c r="G47" s="11"/>
      <c r="H47" s="12">
        <v>43</v>
      </c>
      <c r="I47" s="7" t="s">
        <v>2</v>
      </c>
      <c r="J47" s="3">
        <v>0</v>
      </c>
      <c r="K47" s="3">
        <v>0</v>
      </c>
      <c r="L47" s="3">
        <v>1</v>
      </c>
      <c r="M47" s="3">
        <v>0</v>
      </c>
      <c r="N47" s="3">
        <v>0</v>
      </c>
      <c r="O47" s="3">
        <v>0</v>
      </c>
      <c r="P47" s="4">
        <f t="shared" si="0"/>
        <v>42</v>
      </c>
      <c r="Q47" s="1" t="s">
        <v>14</v>
      </c>
    </row>
    <row r="48" spans="1:17" x14ac:dyDescent="0.25">
      <c r="A48" s="2">
        <v>45</v>
      </c>
      <c r="D48" s="16" t="s">
        <v>49</v>
      </c>
      <c r="E48" s="17"/>
      <c r="F48" s="17"/>
      <c r="G48" s="18"/>
      <c r="H48" s="12">
        <v>12</v>
      </c>
      <c r="I48" s="7" t="s">
        <v>2</v>
      </c>
      <c r="J48" s="3">
        <v>0</v>
      </c>
      <c r="K48" s="3">
        <v>0</v>
      </c>
      <c r="L48" s="3">
        <v>1</v>
      </c>
      <c r="M48" s="3">
        <v>0</v>
      </c>
      <c r="N48" s="3">
        <v>0</v>
      </c>
      <c r="O48" s="3">
        <v>0</v>
      </c>
      <c r="P48" s="4">
        <f t="shared" si="0"/>
        <v>11</v>
      </c>
      <c r="Q48" s="1" t="s">
        <v>14</v>
      </c>
    </row>
    <row r="49" spans="1:17" x14ac:dyDescent="0.25">
      <c r="A49" s="2">
        <v>46</v>
      </c>
      <c r="D49" s="9" t="s">
        <v>11</v>
      </c>
      <c r="E49" s="10"/>
      <c r="F49" s="10"/>
      <c r="G49" s="11"/>
      <c r="H49" s="12">
        <v>290</v>
      </c>
      <c r="I49" s="7" t="s">
        <v>1</v>
      </c>
      <c r="J49" s="3">
        <v>0</v>
      </c>
      <c r="K49" s="3">
        <v>10</v>
      </c>
      <c r="L49" s="3">
        <v>10</v>
      </c>
      <c r="M49" s="3">
        <v>0</v>
      </c>
      <c r="N49" s="3">
        <v>0</v>
      </c>
      <c r="O49" s="3">
        <v>0</v>
      </c>
      <c r="P49" s="4">
        <f t="shared" si="0"/>
        <v>270</v>
      </c>
      <c r="Q49" s="1" t="s">
        <v>14</v>
      </c>
    </row>
    <row r="50" spans="1:17" x14ac:dyDescent="0.25">
      <c r="A50" s="2">
        <v>47</v>
      </c>
      <c r="D50" s="16" t="s">
        <v>50</v>
      </c>
      <c r="E50" s="17"/>
      <c r="F50" s="17"/>
      <c r="G50" s="18"/>
      <c r="H50" s="12">
        <v>187</v>
      </c>
      <c r="I50" s="7" t="s">
        <v>2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1</v>
      </c>
      <c r="P50" s="4">
        <f t="shared" si="0"/>
        <v>186</v>
      </c>
      <c r="Q50" s="1" t="s">
        <v>14</v>
      </c>
    </row>
    <row r="51" spans="1:17" x14ac:dyDescent="0.25">
      <c r="A51" s="2">
        <v>48</v>
      </c>
      <c r="D51" s="9" t="s">
        <v>51</v>
      </c>
      <c r="E51" s="10"/>
      <c r="F51" s="10"/>
      <c r="G51" s="11"/>
      <c r="H51" s="12">
        <v>124</v>
      </c>
      <c r="I51" s="7" t="s">
        <v>2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4">
        <f t="shared" si="0"/>
        <v>124</v>
      </c>
      <c r="Q51" s="1" t="s">
        <v>14</v>
      </c>
    </row>
    <row r="52" spans="1:17" x14ac:dyDescent="0.25">
      <c r="A52" s="2">
        <v>49</v>
      </c>
      <c r="D52" s="16" t="s">
        <v>52</v>
      </c>
      <c r="E52" s="17"/>
      <c r="F52" s="17"/>
      <c r="G52" s="18"/>
      <c r="H52" s="12">
        <v>60</v>
      </c>
      <c r="I52" s="7" t="s">
        <v>2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4">
        <f t="shared" si="0"/>
        <v>60</v>
      </c>
      <c r="Q52" s="1" t="s">
        <v>14</v>
      </c>
    </row>
    <row r="53" spans="1:17" x14ac:dyDescent="0.25">
      <c r="A53" s="2">
        <v>50</v>
      </c>
      <c r="D53" s="9" t="s">
        <v>53</v>
      </c>
      <c r="E53" s="10"/>
      <c r="F53" s="10"/>
      <c r="G53" s="11"/>
      <c r="H53" s="12">
        <v>60</v>
      </c>
      <c r="I53" s="7" t="s">
        <v>2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4">
        <f t="shared" si="0"/>
        <v>60</v>
      </c>
      <c r="Q53" s="1" t="s">
        <v>14</v>
      </c>
    </row>
    <row r="54" spans="1:17" x14ac:dyDescent="0.25">
      <c r="A54" s="2">
        <v>51</v>
      </c>
      <c r="D54" s="16" t="s">
        <v>54</v>
      </c>
      <c r="E54" s="17"/>
      <c r="F54" s="17"/>
      <c r="G54" s="18"/>
      <c r="H54" s="12">
        <v>975</v>
      </c>
      <c r="I54" s="7" t="s">
        <v>1</v>
      </c>
      <c r="J54" s="3">
        <v>150</v>
      </c>
      <c r="K54" s="3">
        <v>0</v>
      </c>
      <c r="L54" s="3">
        <v>30</v>
      </c>
      <c r="M54" s="3">
        <v>45</v>
      </c>
      <c r="N54" s="3">
        <v>15</v>
      </c>
      <c r="O54" s="3">
        <v>30</v>
      </c>
      <c r="P54" s="4">
        <f t="shared" si="0"/>
        <v>1005</v>
      </c>
      <c r="Q54" s="1" t="s">
        <v>68</v>
      </c>
    </row>
    <row r="55" spans="1:17" x14ac:dyDescent="0.25">
      <c r="A55" s="2">
        <v>52</v>
      </c>
      <c r="D55" s="9" t="s">
        <v>55</v>
      </c>
      <c r="E55" s="10"/>
      <c r="F55" s="10"/>
      <c r="G55" s="11"/>
      <c r="H55" s="12">
        <v>10000</v>
      </c>
      <c r="I55" s="7" t="s">
        <v>2</v>
      </c>
      <c r="J55" s="3">
        <v>0</v>
      </c>
      <c r="K55" s="3">
        <v>0</v>
      </c>
      <c r="L55" s="3">
        <v>2000</v>
      </c>
      <c r="M55" s="3">
        <v>0</v>
      </c>
      <c r="N55" s="3">
        <v>0</v>
      </c>
      <c r="O55" s="3">
        <v>0</v>
      </c>
      <c r="P55" s="4">
        <f t="shared" si="0"/>
        <v>8000</v>
      </c>
      <c r="Q55" s="1" t="s">
        <v>14</v>
      </c>
    </row>
    <row r="56" spans="1:17" x14ac:dyDescent="0.25">
      <c r="A56" s="2">
        <v>53</v>
      </c>
      <c r="D56" s="16" t="s">
        <v>56</v>
      </c>
      <c r="E56" s="17"/>
      <c r="F56" s="17"/>
      <c r="G56" s="18"/>
      <c r="H56" s="12">
        <v>2000</v>
      </c>
      <c r="I56" s="7" t="s">
        <v>2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  <c r="P56" s="4">
        <f t="shared" si="0"/>
        <v>2000</v>
      </c>
      <c r="Q56" s="1" t="s">
        <v>14</v>
      </c>
    </row>
    <row r="57" spans="1:17" x14ac:dyDescent="0.25">
      <c r="A57" s="2">
        <v>54</v>
      </c>
      <c r="D57" s="9" t="s">
        <v>12</v>
      </c>
      <c r="E57" s="10"/>
      <c r="F57" s="10"/>
      <c r="G57" s="11"/>
      <c r="H57" s="12">
        <v>2800</v>
      </c>
      <c r="I57" s="7" t="s">
        <v>2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  <c r="P57" s="4">
        <f t="shared" si="0"/>
        <v>2800</v>
      </c>
      <c r="Q57" s="1" t="s">
        <v>14</v>
      </c>
    </row>
    <row r="58" spans="1:17" x14ac:dyDescent="0.25">
      <c r="A58" s="2">
        <v>55</v>
      </c>
      <c r="D58" s="16" t="s">
        <v>57</v>
      </c>
      <c r="E58" s="17"/>
      <c r="F58" s="17"/>
      <c r="G58" s="18"/>
      <c r="H58" s="12">
        <v>3000</v>
      </c>
      <c r="I58" s="7" t="s">
        <v>2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4">
        <f t="shared" si="0"/>
        <v>3000</v>
      </c>
      <c r="Q58" s="1" t="s">
        <v>14</v>
      </c>
    </row>
    <row r="59" spans="1:17" x14ac:dyDescent="0.25">
      <c r="A59" s="2">
        <v>56</v>
      </c>
      <c r="D59" s="9" t="s">
        <v>58</v>
      </c>
      <c r="E59" s="10"/>
      <c r="F59" s="10"/>
      <c r="G59" s="11"/>
      <c r="H59" s="12">
        <v>5000</v>
      </c>
      <c r="I59" s="7" t="s">
        <v>2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  <c r="P59" s="4">
        <f t="shared" si="0"/>
        <v>5000</v>
      </c>
      <c r="Q59" s="1" t="s">
        <v>14</v>
      </c>
    </row>
    <row r="60" spans="1:17" x14ac:dyDescent="0.25">
      <c r="A60" s="2">
        <v>57</v>
      </c>
      <c r="D60" s="16" t="s">
        <v>59</v>
      </c>
      <c r="E60" s="17"/>
      <c r="F60" s="17"/>
      <c r="G60" s="18"/>
      <c r="H60" s="12">
        <v>3000</v>
      </c>
      <c r="I60" s="7" t="s">
        <v>2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4">
        <f t="shared" si="0"/>
        <v>3000</v>
      </c>
      <c r="Q60" s="1" t="s">
        <v>14</v>
      </c>
    </row>
    <row r="61" spans="1:17" x14ac:dyDescent="0.25">
      <c r="A61" s="2">
        <v>58</v>
      </c>
      <c r="D61" s="9" t="s">
        <v>60</v>
      </c>
      <c r="E61" s="10"/>
      <c r="F61" s="10"/>
      <c r="G61" s="11"/>
      <c r="H61" s="12">
        <v>5000</v>
      </c>
      <c r="I61" s="7" t="s">
        <v>2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4">
        <f t="shared" si="0"/>
        <v>5000</v>
      </c>
      <c r="Q61" s="1" t="s">
        <v>14</v>
      </c>
    </row>
    <row r="62" spans="1:17" x14ac:dyDescent="0.25">
      <c r="A62" s="2">
        <v>59</v>
      </c>
      <c r="D62" s="16" t="s">
        <v>61</v>
      </c>
      <c r="E62" s="17"/>
      <c r="F62" s="17"/>
      <c r="G62" s="18"/>
      <c r="H62" s="12">
        <v>494</v>
      </c>
      <c r="I62" s="7" t="s">
        <v>2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4">
        <f t="shared" si="0"/>
        <v>494</v>
      </c>
      <c r="Q62" s="1" t="s">
        <v>14</v>
      </c>
    </row>
    <row r="63" spans="1:17" x14ac:dyDescent="0.25">
      <c r="A63" s="2">
        <v>60</v>
      </c>
      <c r="D63" s="9" t="s">
        <v>62</v>
      </c>
      <c r="E63" s="10"/>
      <c r="F63" s="10"/>
      <c r="G63" s="11"/>
      <c r="H63" s="12">
        <v>100</v>
      </c>
      <c r="I63" s="7" t="s">
        <v>2</v>
      </c>
      <c r="J63" s="3">
        <v>200</v>
      </c>
      <c r="K63" s="3">
        <v>0</v>
      </c>
      <c r="L63" s="3">
        <v>10</v>
      </c>
      <c r="M63" s="3">
        <v>0</v>
      </c>
      <c r="N63" s="3">
        <v>0</v>
      </c>
      <c r="O63" s="3">
        <v>6</v>
      </c>
      <c r="P63" s="4">
        <f t="shared" si="0"/>
        <v>284</v>
      </c>
      <c r="Q63" s="1" t="s">
        <v>14</v>
      </c>
    </row>
    <row r="64" spans="1:17" x14ac:dyDescent="0.25">
      <c r="A64" s="2">
        <v>61</v>
      </c>
      <c r="D64" s="16" t="s">
        <v>13</v>
      </c>
      <c r="E64" s="17"/>
      <c r="F64" s="17"/>
      <c r="G64" s="18"/>
      <c r="H64" s="12">
        <v>297</v>
      </c>
      <c r="I64" s="7" t="s">
        <v>2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4">
        <f t="shared" si="0"/>
        <v>297</v>
      </c>
      <c r="Q64" s="1" t="s">
        <v>14</v>
      </c>
    </row>
    <row r="65" spans="1:17" x14ac:dyDescent="0.25">
      <c r="A65" s="2">
        <v>62</v>
      </c>
      <c r="D65" s="9" t="s">
        <v>72</v>
      </c>
      <c r="E65" s="10"/>
      <c r="F65" s="10"/>
      <c r="G65" s="11"/>
      <c r="H65" s="12">
        <v>315</v>
      </c>
      <c r="I65" s="7" t="s">
        <v>2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4">
        <f t="shared" si="0"/>
        <v>315</v>
      </c>
      <c r="Q65" s="1" t="s">
        <v>14</v>
      </c>
    </row>
    <row r="66" spans="1:17" x14ac:dyDescent="0.25">
      <c r="A66" s="2">
        <v>63</v>
      </c>
      <c r="D66" s="16" t="s">
        <v>63</v>
      </c>
      <c r="E66" s="17"/>
      <c r="F66" s="17"/>
      <c r="G66" s="18"/>
      <c r="H66" s="12">
        <v>350</v>
      </c>
      <c r="I66" s="7" t="s">
        <v>2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  <c r="P66" s="4">
        <f t="shared" si="0"/>
        <v>350</v>
      </c>
      <c r="Q66" s="1" t="s">
        <v>14</v>
      </c>
    </row>
    <row r="67" spans="1:17" x14ac:dyDescent="0.25">
      <c r="A67" s="2">
        <v>64</v>
      </c>
      <c r="D67" s="9" t="s">
        <v>77</v>
      </c>
      <c r="E67" s="10"/>
      <c r="F67" s="10"/>
      <c r="G67" s="11"/>
      <c r="H67" s="12">
        <v>1394</v>
      </c>
      <c r="I67" s="7" t="s">
        <v>2</v>
      </c>
      <c r="J67" s="3">
        <v>0</v>
      </c>
      <c r="K67" s="3">
        <v>0</v>
      </c>
      <c r="L67" s="3">
        <v>0</v>
      </c>
      <c r="M67" s="3">
        <v>12</v>
      </c>
      <c r="N67" s="3">
        <v>0</v>
      </c>
      <c r="O67" s="3">
        <v>0</v>
      </c>
      <c r="P67" s="4">
        <f t="shared" si="0"/>
        <v>1382</v>
      </c>
      <c r="Q67" s="1" t="s">
        <v>14</v>
      </c>
    </row>
    <row r="68" spans="1:17" x14ac:dyDescent="0.25">
      <c r="A68" s="2">
        <v>65</v>
      </c>
      <c r="D68" s="16" t="s">
        <v>87</v>
      </c>
      <c r="E68" s="17"/>
      <c r="F68" s="17"/>
      <c r="G68" s="18"/>
      <c r="H68" s="12">
        <v>532</v>
      </c>
      <c r="I68" s="7" t="s">
        <v>2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4">
        <f t="shared" ref="P68:P83" si="1">+H68+J68-K68-L68-M68-N68-O68</f>
        <v>532</v>
      </c>
      <c r="Q68" s="1" t="s">
        <v>14</v>
      </c>
    </row>
    <row r="69" spans="1:17" x14ac:dyDescent="0.25">
      <c r="A69" s="2">
        <v>66</v>
      </c>
      <c r="D69" s="9" t="s">
        <v>64</v>
      </c>
      <c r="E69" s="10"/>
      <c r="F69" s="10"/>
      <c r="G69" s="11"/>
      <c r="H69" s="12">
        <v>328</v>
      </c>
      <c r="I69" s="7" t="s">
        <v>2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4">
        <f t="shared" si="1"/>
        <v>328</v>
      </c>
      <c r="Q69" s="1" t="s">
        <v>14</v>
      </c>
    </row>
    <row r="70" spans="1:17" x14ac:dyDescent="0.25">
      <c r="A70" s="2">
        <v>67</v>
      </c>
      <c r="D70" s="16" t="s">
        <v>65</v>
      </c>
      <c r="E70" s="17"/>
      <c r="F70" s="17"/>
      <c r="G70" s="18"/>
      <c r="H70" s="12">
        <v>95</v>
      </c>
      <c r="I70" s="7" t="s">
        <v>2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4">
        <f t="shared" si="1"/>
        <v>95</v>
      </c>
      <c r="Q70" s="1" t="s">
        <v>14</v>
      </c>
    </row>
    <row r="71" spans="1:17" x14ac:dyDescent="0.25">
      <c r="A71" s="2">
        <v>68</v>
      </c>
      <c r="D71" s="9" t="s">
        <v>66</v>
      </c>
      <c r="E71" s="10"/>
      <c r="F71" s="10"/>
      <c r="G71" s="11"/>
      <c r="H71" s="12">
        <v>500</v>
      </c>
      <c r="I71" s="7" t="s">
        <v>2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4">
        <f t="shared" si="1"/>
        <v>500</v>
      </c>
      <c r="Q71" s="1" t="s">
        <v>14</v>
      </c>
    </row>
    <row r="72" spans="1:17" x14ac:dyDescent="0.25">
      <c r="A72" s="2">
        <v>69</v>
      </c>
      <c r="D72" s="19" t="s">
        <v>86</v>
      </c>
      <c r="E72" s="20"/>
      <c r="F72" s="20"/>
      <c r="G72" s="21"/>
      <c r="H72" s="12">
        <v>0</v>
      </c>
      <c r="I72" s="7" t="s">
        <v>2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  <c r="P72" s="4">
        <f t="shared" si="1"/>
        <v>0</v>
      </c>
      <c r="Q72" s="1" t="s">
        <v>14</v>
      </c>
    </row>
    <row r="73" spans="1:17" x14ac:dyDescent="0.25">
      <c r="A73" s="2">
        <v>70</v>
      </c>
      <c r="D73" s="22" t="s">
        <v>74</v>
      </c>
      <c r="E73" s="10"/>
      <c r="F73" s="10"/>
      <c r="G73" s="11"/>
      <c r="H73" s="23">
        <v>128</v>
      </c>
      <c r="I73" s="8" t="s">
        <v>75</v>
      </c>
      <c r="J73" s="3">
        <v>0</v>
      </c>
      <c r="K73" s="3">
        <v>0</v>
      </c>
      <c r="L73" s="3">
        <v>0</v>
      </c>
      <c r="M73" s="3">
        <v>64</v>
      </c>
      <c r="N73" s="3">
        <v>0</v>
      </c>
      <c r="O73" s="3">
        <v>0</v>
      </c>
      <c r="P73" s="4">
        <f t="shared" si="1"/>
        <v>64</v>
      </c>
      <c r="Q73" s="1" t="s">
        <v>91</v>
      </c>
    </row>
    <row r="74" spans="1:17" x14ac:dyDescent="0.25">
      <c r="A74" s="2">
        <v>71</v>
      </c>
      <c r="C74" s="1" t="s">
        <v>14</v>
      </c>
      <c r="D74" s="22" t="s">
        <v>76</v>
      </c>
      <c r="E74" s="10"/>
      <c r="F74" s="10"/>
      <c r="G74" s="11"/>
      <c r="H74" s="24">
        <v>184</v>
      </c>
      <c r="I74" s="8" t="s">
        <v>2</v>
      </c>
      <c r="J74" s="3">
        <v>0</v>
      </c>
      <c r="K74" s="3">
        <v>0</v>
      </c>
      <c r="L74" s="3">
        <v>30</v>
      </c>
      <c r="M74" s="3">
        <v>0</v>
      </c>
      <c r="N74" s="3">
        <v>0</v>
      </c>
      <c r="O74" s="3">
        <v>0</v>
      </c>
      <c r="P74" s="4">
        <f t="shared" si="1"/>
        <v>154</v>
      </c>
      <c r="Q74" s="1" t="s">
        <v>14</v>
      </c>
    </row>
    <row r="75" spans="1:17" x14ac:dyDescent="0.25">
      <c r="A75" s="2">
        <v>72</v>
      </c>
      <c r="D75" s="25" t="s">
        <v>78</v>
      </c>
      <c r="H75" s="29">
        <v>72</v>
      </c>
      <c r="I75" s="30" t="s">
        <v>2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4">
        <f t="shared" si="1"/>
        <v>72</v>
      </c>
      <c r="Q75" s="1" t="s">
        <v>14</v>
      </c>
    </row>
    <row r="76" spans="1:17" x14ac:dyDescent="0.25">
      <c r="A76" s="2">
        <v>73</v>
      </c>
      <c r="D76" s="26" t="s">
        <v>80</v>
      </c>
      <c r="E76" s="27"/>
      <c r="F76" s="27"/>
      <c r="G76" s="28"/>
      <c r="H76" s="29">
        <v>38</v>
      </c>
      <c r="I76" s="8" t="s">
        <v>2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  <c r="P76" s="4">
        <f t="shared" si="1"/>
        <v>38</v>
      </c>
      <c r="Q76" s="1" t="s">
        <v>14</v>
      </c>
    </row>
    <row r="77" spans="1:17" x14ac:dyDescent="0.25">
      <c r="A77" s="2">
        <v>74</v>
      </c>
      <c r="D77" s="26" t="s">
        <v>84</v>
      </c>
      <c r="E77" s="27"/>
      <c r="F77" s="27"/>
      <c r="G77" s="28"/>
      <c r="H77" s="29">
        <v>50</v>
      </c>
      <c r="I77" s="8" t="s">
        <v>2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4">
        <f t="shared" si="1"/>
        <v>50</v>
      </c>
      <c r="Q77" s="1" t="s">
        <v>14</v>
      </c>
    </row>
    <row r="78" spans="1:17" x14ac:dyDescent="0.25">
      <c r="A78" s="2">
        <v>75</v>
      </c>
      <c r="D78" s="26" t="s">
        <v>85</v>
      </c>
      <c r="E78" s="27"/>
      <c r="F78" s="27"/>
      <c r="G78" s="28"/>
      <c r="H78" s="29">
        <v>2</v>
      </c>
      <c r="I78" s="8" t="s">
        <v>2</v>
      </c>
      <c r="J78" s="3">
        <v>0</v>
      </c>
      <c r="K78" s="3">
        <v>0</v>
      </c>
      <c r="L78" s="3">
        <v>2</v>
      </c>
      <c r="M78" s="3">
        <v>0</v>
      </c>
      <c r="N78" s="3">
        <v>0</v>
      </c>
      <c r="O78" s="3">
        <v>0</v>
      </c>
      <c r="P78" s="31">
        <f t="shared" si="1"/>
        <v>0</v>
      </c>
    </row>
    <row r="79" spans="1:17" x14ac:dyDescent="0.25">
      <c r="D79" s="37" t="s">
        <v>96</v>
      </c>
      <c r="E79" s="17"/>
      <c r="F79" s="33"/>
      <c r="G79" s="33"/>
      <c r="H79" s="4">
        <v>75</v>
      </c>
      <c r="I79" s="8" t="s">
        <v>97</v>
      </c>
      <c r="J79" s="3">
        <v>446</v>
      </c>
      <c r="K79" s="3">
        <v>0</v>
      </c>
      <c r="L79" s="3">
        <v>0</v>
      </c>
      <c r="M79" s="3">
        <v>0</v>
      </c>
      <c r="N79" s="3">
        <v>0</v>
      </c>
      <c r="O79" s="3">
        <v>75</v>
      </c>
      <c r="P79" s="31">
        <f t="shared" si="1"/>
        <v>446</v>
      </c>
      <c r="Q79" s="1" t="s">
        <v>98</v>
      </c>
    </row>
    <row r="80" spans="1:17" x14ac:dyDescent="0.25">
      <c r="D80" s="36"/>
      <c r="E80" s="27"/>
      <c r="F80" s="27"/>
      <c r="G80" s="28"/>
      <c r="H80" s="4">
        <v>0</v>
      </c>
      <c r="I80" s="8"/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  <c r="P80" s="31">
        <f t="shared" si="1"/>
        <v>0</v>
      </c>
    </row>
    <row r="81" spans="4:16" x14ac:dyDescent="0.25">
      <c r="D81" s="32"/>
      <c r="E81" s="33"/>
      <c r="F81" s="33"/>
      <c r="G81" s="33"/>
      <c r="H81" s="4">
        <v>0</v>
      </c>
      <c r="I81" s="8"/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  <c r="P81" s="31">
        <f t="shared" si="1"/>
        <v>0</v>
      </c>
    </row>
    <row r="82" spans="4:16" x14ac:dyDescent="0.25">
      <c r="D82" s="36"/>
      <c r="E82" s="27"/>
      <c r="F82" s="27"/>
      <c r="G82" s="28"/>
      <c r="H82" s="4">
        <v>0</v>
      </c>
      <c r="I82" s="8"/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  <c r="P82" s="31">
        <f t="shared" si="1"/>
        <v>0</v>
      </c>
    </row>
    <row r="83" spans="4:16" x14ac:dyDescent="0.25">
      <c r="D83" s="34"/>
      <c r="E83" s="35"/>
      <c r="F83" s="35"/>
      <c r="G83" s="35"/>
      <c r="H83" s="4">
        <v>0</v>
      </c>
      <c r="I83" s="8"/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1">
        <f t="shared" si="1"/>
        <v>0</v>
      </c>
    </row>
  </sheetData>
  <pageMargins left="0.75" right="0.75" top="1" bottom="1" header="0.5" footer="0.5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83"/>
  <sheetViews>
    <sheetView topLeftCell="A58" workbookViewId="0">
      <selection activeCell="K79" sqref="K79"/>
    </sheetView>
  </sheetViews>
  <sheetFormatPr defaultRowHeight="15" x14ac:dyDescent="0.25"/>
  <cols>
    <col min="1" max="1" width="5.5703125" customWidth="1"/>
    <col min="2" max="3" width="9.140625" hidden="1" customWidth="1"/>
    <col min="11" max="15" width="10.140625" bestFit="1" customWidth="1"/>
  </cols>
  <sheetData>
    <row r="1" spans="1:17" x14ac:dyDescent="0.25">
      <c r="G1" s="1"/>
      <c r="P1">
        <f>+H1+J1-K1-L1-M1-N1-O1</f>
        <v>0</v>
      </c>
    </row>
    <row r="2" spans="1:17" x14ac:dyDescent="0.25">
      <c r="A2" t="s">
        <v>14</v>
      </c>
      <c r="O2" s="38">
        <v>44837</v>
      </c>
    </row>
    <row r="3" spans="1:17" x14ac:dyDescent="0.25">
      <c r="A3" s="1" t="s">
        <v>15</v>
      </c>
      <c r="D3" s="9" t="s">
        <v>17</v>
      </c>
      <c r="E3" s="10"/>
      <c r="F3" s="10"/>
      <c r="G3" s="11"/>
      <c r="H3" s="12" t="s">
        <v>18</v>
      </c>
      <c r="I3" s="4" t="s">
        <v>19</v>
      </c>
      <c r="J3" s="3" t="s">
        <v>20</v>
      </c>
      <c r="K3" s="5">
        <v>44851</v>
      </c>
      <c r="L3" s="6">
        <v>44852</v>
      </c>
      <c r="M3" s="5">
        <v>44853</v>
      </c>
      <c r="N3" s="5">
        <v>44854</v>
      </c>
      <c r="O3" s="6">
        <v>44855</v>
      </c>
      <c r="P3" s="3" t="s">
        <v>21</v>
      </c>
    </row>
    <row r="4" spans="1:17" x14ac:dyDescent="0.25">
      <c r="A4" s="2">
        <v>1</v>
      </c>
      <c r="D4" s="13" t="s">
        <v>16</v>
      </c>
      <c r="E4" s="14"/>
      <c r="F4" s="14"/>
      <c r="G4" s="15"/>
      <c r="H4" s="12">
        <v>266</v>
      </c>
      <c r="I4" s="7" t="s">
        <v>1</v>
      </c>
      <c r="J4" s="3">
        <v>0</v>
      </c>
      <c r="K4" s="3">
        <v>0</v>
      </c>
      <c r="L4" s="3">
        <v>0</v>
      </c>
      <c r="M4" s="3">
        <v>17</v>
      </c>
      <c r="N4" s="3">
        <v>0</v>
      </c>
      <c r="O4" s="3">
        <v>0</v>
      </c>
      <c r="P4" s="4">
        <f t="shared" ref="P4:P67" si="0">+H4+J4-K4-L4-M4-N4-O4</f>
        <v>249</v>
      </c>
      <c r="Q4" t="s">
        <v>67</v>
      </c>
    </row>
    <row r="5" spans="1:17" x14ac:dyDescent="0.25">
      <c r="A5" s="2">
        <v>2</v>
      </c>
      <c r="D5" s="9" t="s">
        <v>22</v>
      </c>
      <c r="E5" s="10"/>
      <c r="F5" s="10"/>
      <c r="G5" s="11"/>
      <c r="H5" s="12">
        <v>30</v>
      </c>
      <c r="I5" s="7" t="s">
        <v>2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4">
        <f t="shared" si="0"/>
        <v>30</v>
      </c>
      <c r="Q5" s="1" t="s">
        <v>14</v>
      </c>
    </row>
    <row r="6" spans="1:17" x14ac:dyDescent="0.25">
      <c r="A6" s="2">
        <v>3</v>
      </c>
      <c r="D6" s="16" t="s">
        <v>23</v>
      </c>
      <c r="E6" s="17"/>
      <c r="F6" s="17"/>
      <c r="G6" s="18"/>
      <c r="H6" s="12">
        <v>40</v>
      </c>
      <c r="I6" s="7" t="s">
        <v>2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4">
        <f t="shared" si="0"/>
        <v>40</v>
      </c>
      <c r="Q6" s="1" t="s">
        <v>14</v>
      </c>
    </row>
    <row r="7" spans="1:17" x14ac:dyDescent="0.25">
      <c r="A7" s="2">
        <v>4</v>
      </c>
      <c r="D7" s="9" t="s">
        <v>3</v>
      </c>
      <c r="E7" s="10"/>
      <c r="F7" s="10"/>
      <c r="G7" s="11"/>
      <c r="H7" s="12">
        <v>58</v>
      </c>
      <c r="I7" s="7" t="s">
        <v>2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4">
        <f t="shared" si="0"/>
        <v>58</v>
      </c>
      <c r="Q7" s="1" t="s">
        <v>14</v>
      </c>
    </row>
    <row r="8" spans="1:17" x14ac:dyDescent="0.25">
      <c r="A8" s="2">
        <v>5</v>
      </c>
      <c r="D8" s="16" t="s">
        <v>4</v>
      </c>
      <c r="E8" s="17"/>
      <c r="F8" s="17"/>
      <c r="G8" s="18"/>
      <c r="H8" s="12">
        <v>232</v>
      </c>
      <c r="I8" s="7" t="s">
        <v>2</v>
      </c>
      <c r="J8" s="3">
        <v>0</v>
      </c>
      <c r="K8" s="3">
        <v>18</v>
      </c>
      <c r="L8" s="3">
        <v>0</v>
      </c>
      <c r="M8" s="3">
        <v>0</v>
      </c>
      <c r="N8" s="3">
        <v>0</v>
      </c>
      <c r="O8" s="3">
        <v>0</v>
      </c>
      <c r="P8" s="4">
        <f t="shared" si="0"/>
        <v>214</v>
      </c>
      <c r="Q8" s="1" t="s">
        <v>14</v>
      </c>
    </row>
    <row r="9" spans="1:17" x14ac:dyDescent="0.25">
      <c r="A9" s="2">
        <v>6</v>
      </c>
      <c r="D9" s="9" t="s">
        <v>24</v>
      </c>
      <c r="E9" s="10"/>
      <c r="F9" s="10"/>
      <c r="G9" s="11"/>
      <c r="H9" s="12">
        <v>60</v>
      </c>
      <c r="I9" s="7" t="s">
        <v>2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4">
        <f t="shared" si="0"/>
        <v>60</v>
      </c>
      <c r="Q9" s="1" t="s">
        <v>14</v>
      </c>
    </row>
    <row r="10" spans="1:17" x14ac:dyDescent="0.25">
      <c r="A10" s="2">
        <v>7</v>
      </c>
      <c r="D10" s="16" t="s">
        <v>5</v>
      </c>
      <c r="E10" s="17"/>
      <c r="F10" s="17"/>
      <c r="G10" s="18"/>
      <c r="H10" s="12">
        <v>2340</v>
      </c>
      <c r="I10" s="7" t="s">
        <v>2</v>
      </c>
      <c r="J10" s="3">
        <v>0</v>
      </c>
      <c r="K10" s="3">
        <v>86</v>
      </c>
      <c r="L10" s="3">
        <v>0</v>
      </c>
      <c r="M10" s="3">
        <v>0</v>
      </c>
      <c r="N10" s="3">
        <v>0</v>
      </c>
      <c r="O10" s="3">
        <v>0</v>
      </c>
      <c r="P10" s="4">
        <f t="shared" si="0"/>
        <v>2254</v>
      </c>
      <c r="Q10" s="1" t="s">
        <v>14</v>
      </c>
    </row>
    <row r="11" spans="1:17" x14ac:dyDescent="0.25">
      <c r="A11" s="2">
        <v>8</v>
      </c>
      <c r="D11" s="9" t="s">
        <v>25</v>
      </c>
      <c r="E11" s="10"/>
      <c r="F11" s="10"/>
      <c r="G11" s="11"/>
      <c r="H11" s="12">
        <v>496</v>
      </c>
      <c r="I11" s="7" t="s">
        <v>2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4">
        <f t="shared" si="0"/>
        <v>496</v>
      </c>
      <c r="Q11" s="1" t="s">
        <v>14</v>
      </c>
    </row>
    <row r="12" spans="1:17" x14ac:dyDescent="0.25">
      <c r="A12" s="2">
        <v>9</v>
      </c>
      <c r="D12" s="16" t="s">
        <v>26</v>
      </c>
      <c r="E12" s="17"/>
      <c r="F12" s="17"/>
      <c r="G12" s="18"/>
      <c r="H12" s="12">
        <v>60</v>
      </c>
      <c r="I12" s="7" t="s">
        <v>2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4">
        <f t="shared" si="0"/>
        <v>60</v>
      </c>
      <c r="Q12" s="1" t="s">
        <v>14</v>
      </c>
    </row>
    <row r="13" spans="1:17" x14ac:dyDescent="0.25">
      <c r="A13" s="2">
        <v>10</v>
      </c>
      <c r="D13" s="9" t="s">
        <v>6</v>
      </c>
      <c r="E13" s="10"/>
      <c r="F13" s="10"/>
      <c r="G13" s="11"/>
      <c r="H13" s="12">
        <v>42</v>
      </c>
      <c r="I13" s="7" t="s">
        <v>2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4">
        <f t="shared" si="0"/>
        <v>42</v>
      </c>
      <c r="Q13" s="1" t="s">
        <v>14</v>
      </c>
    </row>
    <row r="14" spans="1:17" x14ac:dyDescent="0.25">
      <c r="A14" s="2">
        <v>11</v>
      </c>
      <c r="D14" s="16" t="s">
        <v>7</v>
      </c>
      <c r="E14" s="17"/>
      <c r="F14" s="17"/>
      <c r="G14" s="18"/>
      <c r="H14" s="12">
        <v>24</v>
      </c>
      <c r="I14" s="7" t="s">
        <v>2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4">
        <f t="shared" si="0"/>
        <v>24</v>
      </c>
      <c r="Q14" s="1" t="s">
        <v>14</v>
      </c>
    </row>
    <row r="15" spans="1:17" x14ac:dyDescent="0.25">
      <c r="A15" s="2">
        <v>12</v>
      </c>
      <c r="D15" s="9" t="s">
        <v>69</v>
      </c>
      <c r="E15" s="10"/>
      <c r="F15" s="10"/>
      <c r="G15" s="11"/>
      <c r="H15" s="12">
        <v>26</v>
      </c>
      <c r="I15" s="7" t="s">
        <v>2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4">
        <f t="shared" si="0"/>
        <v>26</v>
      </c>
      <c r="Q15" s="1" t="s">
        <v>14</v>
      </c>
    </row>
    <row r="16" spans="1:17" x14ac:dyDescent="0.25">
      <c r="A16" s="2">
        <v>13</v>
      </c>
      <c r="D16" s="16" t="s">
        <v>27</v>
      </c>
      <c r="E16" s="17"/>
      <c r="F16" s="17"/>
      <c r="G16" s="18"/>
      <c r="H16" s="12">
        <v>90</v>
      </c>
      <c r="I16" s="7" t="s">
        <v>2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4">
        <f t="shared" si="0"/>
        <v>90</v>
      </c>
      <c r="Q16" s="1" t="s">
        <v>14</v>
      </c>
    </row>
    <row r="17" spans="1:17" x14ac:dyDescent="0.25">
      <c r="A17" s="2">
        <v>14</v>
      </c>
      <c r="D17" s="9" t="s">
        <v>73</v>
      </c>
      <c r="E17" s="10"/>
      <c r="F17" s="10"/>
      <c r="G17" s="11"/>
      <c r="H17" s="12">
        <v>800</v>
      </c>
      <c r="I17" s="7" t="s">
        <v>2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4">
        <f t="shared" si="0"/>
        <v>800</v>
      </c>
      <c r="Q17" s="1" t="s">
        <v>14</v>
      </c>
    </row>
    <row r="18" spans="1:17" x14ac:dyDescent="0.25">
      <c r="A18" s="2">
        <v>15</v>
      </c>
      <c r="D18" s="16" t="s">
        <v>28</v>
      </c>
      <c r="E18" s="17"/>
      <c r="F18" s="17"/>
      <c r="G18" s="18"/>
      <c r="H18" s="12">
        <v>41</v>
      </c>
      <c r="I18" s="7" t="s">
        <v>2</v>
      </c>
      <c r="J18" s="3">
        <v>0</v>
      </c>
      <c r="K18" s="3">
        <v>0</v>
      </c>
      <c r="L18" s="3">
        <v>0</v>
      </c>
      <c r="M18" s="3">
        <v>0</v>
      </c>
      <c r="N18" s="3">
        <v>2</v>
      </c>
      <c r="O18" s="3">
        <v>0</v>
      </c>
      <c r="P18" s="4">
        <f t="shared" si="0"/>
        <v>39</v>
      </c>
      <c r="Q18" s="1" t="s">
        <v>14</v>
      </c>
    </row>
    <row r="19" spans="1:17" x14ac:dyDescent="0.25">
      <c r="A19" s="2">
        <v>16</v>
      </c>
      <c r="D19" s="9" t="s">
        <v>29</v>
      </c>
      <c r="E19" s="10"/>
      <c r="F19" s="10"/>
      <c r="G19" s="11"/>
      <c r="H19" s="12">
        <v>42</v>
      </c>
      <c r="I19" s="7" t="s">
        <v>2</v>
      </c>
      <c r="J19" s="3">
        <v>0</v>
      </c>
      <c r="K19" s="3">
        <v>0</v>
      </c>
      <c r="L19" s="3">
        <v>0</v>
      </c>
      <c r="M19" s="3">
        <v>0</v>
      </c>
      <c r="N19" s="3">
        <v>2</v>
      </c>
      <c r="O19" s="3">
        <v>0</v>
      </c>
      <c r="P19" s="4">
        <f t="shared" si="0"/>
        <v>40</v>
      </c>
      <c r="Q19" s="1" t="s">
        <v>14</v>
      </c>
    </row>
    <row r="20" spans="1:17" x14ac:dyDescent="0.25">
      <c r="A20" s="2">
        <v>17</v>
      </c>
      <c r="D20" s="16" t="s">
        <v>30</v>
      </c>
      <c r="E20" s="17"/>
      <c r="F20" s="17"/>
      <c r="G20" s="18"/>
      <c r="H20" s="12">
        <v>52</v>
      </c>
      <c r="I20" s="7" t="s">
        <v>2</v>
      </c>
      <c r="J20" s="3">
        <v>0</v>
      </c>
      <c r="K20" s="3">
        <v>0</v>
      </c>
      <c r="L20" s="3">
        <v>0</v>
      </c>
      <c r="M20" s="3">
        <v>0</v>
      </c>
      <c r="N20" s="3">
        <v>2</v>
      </c>
      <c r="O20" s="3">
        <v>0</v>
      </c>
      <c r="P20" s="4">
        <f t="shared" si="0"/>
        <v>50</v>
      </c>
      <c r="Q20" s="1" t="s">
        <v>14</v>
      </c>
    </row>
    <row r="21" spans="1:17" x14ac:dyDescent="0.25">
      <c r="A21" s="2">
        <v>18</v>
      </c>
      <c r="D21" s="9" t="s">
        <v>31</v>
      </c>
      <c r="E21" s="10"/>
      <c r="F21" s="10"/>
      <c r="G21" s="11"/>
      <c r="H21" s="12">
        <v>33</v>
      </c>
      <c r="I21" s="7" t="s">
        <v>2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4">
        <f t="shared" si="0"/>
        <v>33</v>
      </c>
      <c r="Q21" s="1" t="s">
        <v>14</v>
      </c>
    </row>
    <row r="22" spans="1:17" x14ac:dyDescent="0.25">
      <c r="A22" s="2">
        <v>19</v>
      </c>
      <c r="D22" s="16" t="s">
        <v>8</v>
      </c>
      <c r="E22" s="17"/>
      <c r="F22" s="17"/>
      <c r="G22" s="18"/>
      <c r="H22" s="12">
        <v>240</v>
      </c>
      <c r="I22" s="7" t="s">
        <v>1</v>
      </c>
      <c r="J22" s="3">
        <v>0</v>
      </c>
      <c r="K22" s="3">
        <v>20</v>
      </c>
      <c r="L22" s="3">
        <v>40</v>
      </c>
      <c r="M22" s="3">
        <v>0</v>
      </c>
      <c r="N22" s="3">
        <v>40</v>
      </c>
      <c r="O22" s="3">
        <v>0</v>
      </c>
      <c r="P22" s="4">
        <f t="shared" si="0"/>
        <v>140</v>
      </c>
      <c r="Q22" s="1" t="s">
        <v>14</v>
      </c>
    </row>
    <row r="23" spans="1:17" x14ac:dyDescent="0.25">
      <c r="A23" s="2">
        <v>20</v>
      </c>
      <c r="D23" s="9" t="s">
        <v>32</v>
      </c>
      <c r="E23" s="10"/>
      <c r="F23" s="10"/>
      <c r="G23" s="11"/>
      <c r="H23" s="12">
        <v>2000</v>
      </c>
      <c r="I23" s="7" t="s">
        <v>2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4">
        <f t="shared" si="0"/>
        <v>2000</v>
      </c>
      <c r="Q23" s="1" t="s">
        <v>14</v>
      </c>
    </row>
    <row r="24" spans="1:17" x14ac:dyDescent="0.25">
      <c r="A24" s="2">
        <v>21</v>
      </c>
      <c r="D24" s="16" t="s">
        <v>33</v>
      </c>
      <c r="E24" s="17"/>
      <c r="F24" s="17"/>
      <c r="G24" s="18"/>
      <c r="H24" s="12">
        <v>279</v>
      </c>
      <c r="I24" s="7" t="s">
        <v>2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4">
        <f t="shared" si="0"/>
        <v>279</v>
      </c>
      <c r="Q24" s="1" t="s">
        <v>14</v>
      </c>
    </row>
    <row r="25" spans="1:17" x14ac:dyDescent="0.25">
      <c r="A25" s="2">
        <v>22</v>
      </c>
      <c r="D25" s="9" t="s">
        <v>34</v>
      </c>
      <c r="E25" s="10"/>
      <c r="F25" s="10"/>
      <c r="G25" s="11"/>
      <c r="H25" s="12">
        <v>48</v>
      </c>
      <c r="I25" s="7" t="s">
        <v>2</v>
      </c>
      <c r="J25" s="3">
        <v>0</v>
      </c>
      <c r="K25" s="3">
        <v>8</v>
      </c>
      <c r="L25" s="3">
        <v>0</v>
      </c>
      <c r="M25" s="3">
        <v>0</v>
      </c>
      <c r="N25" s="3">
        <v>0</v>
      </c>
      <c r="O25" s="3">
        <v>0</v>
      </c>
      <c r="P25" s="4">
        <f t="shared" si="0"/>
        <v>40</v>
      </c>
      <c r="Q25" s="1" t="s">
        <v>14</v>
      </c>
    </row>
    <row r="26" spans="1:17" x14ac:dyDescent="0.25">
      <c r="A26" s="2">
        <v>23</v>
      </c>
      <c r="D26" s="16" t="s">
        <v>82</v>
      </c>
      <c r="E26" s="17"/>
      <c r="F26" s="17"/>
      <c r="G26" s="18"/>
      <c r="H26" s="12">
        <v>168</v>
      </c>
      <c r="I26" s="7" t="s">
        <v>2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4">
        <f t="shared" si="0"/>
        <v>168</v>
      </c>
      <c r="Q26" s="1" t="s">
        <v>14</v>
      </c>
    </row>
    <row r="27" spans="1:17" x14ac:dyDescent="0.25">
      <c r="A27" s="2">
        <v>24</v>
      </c>
      <c r="D27" s="9" t="s">
        <v>81</v>
      </c>
      <c r="E27" s="10"/>
      <c r="F27" s="10"/>
      <c r="G27" s="11"/>
      <c r="H27" s="12">
        <v>50</v>
      </c>
      <c r="I27" s="7" t="s">
        <v>2</v>
      </c>
      <c r="J27" s="3">
        <v>0</v>
      </c>
      <c r="K27" s="3">
        <v>8</v>
      </c>
      <c r="L27" s="3">
        <v>0</v>
      </c>
      <c r="M27" s="3">
        <v>0</v>
      </c>
      <c r="N27" s="3">
        <v>0</v>
      </c>
      <c r="O27" s="3">
        <v>0</v>
      </c>
      <c r="P27" s="4">
        <f t="shared" si="0"/>
        <v>42</v>
      </c>
      <c r="Q27" s="1" t="s">
        <v>14</v>
      </c>
    </row>
    <row r="28" spans="1:17" x14ac:dyDescent="0.25">
      <c r="A28" s="2">
        <v>25</v>
      </c>
      <c r="D28" s="16" t="s">
        <v>35</v>
      </c>
      <c r="E28" s="17"/>
      <c r="F28" s="17"/>
      <c r="G28" s="18"/>
      <c r="H28" s="12">
        <v>50</v>
      </c>
      <c r="I28" s="7" t="s">
        <v>2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4">
        <f t="shared" si="0"/>
        <v>50</v>
      </c>
      <c r="Q28" s="1" t="s">
        <v>14</v>
      </c>
    </row>
    <row r="29" spans="1:17" x14ac:dyDescent="0.25">
      <c r="A29" s="2">
        <v>26</v>
      </c>
      <c r="D29" s="9" t="s">
        <v>36</v>
      </c>
      <c r="E29" s="10"/>
      <c r="F29" s="10"/>
      <c r="G29" s="11"/>
      <c r="H29" s="12">
        <v>65</v>
      </c>
      <c r="I29" s="7" t="s">
        <v>2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4">
        <f t="shared" si="0"/>
        <v>65</v>
      </c>
      <c r="Q29" s="1" t="s">
        <v>14</v>
      </c>
    </row>
    <row r="30" spans="1:17" x14ac:dyDescent="0.25">
      <c r="A30" s="2">
        <v>27</v>
      </c>
      <c r="D30" s="16" t="s">
        <v>37</v>
      </c>
      <c r="E30" s="17"/>
      <c r="F30" s="17"/>
      <c r="G30" s="18"/>
      <c r="H30" s="12">
        <v>240</v>
      </c>
      <c r="I30" s="7" t="s">
        <v>2</v>
      </c>
      <c r="J30" s="3">
        <v>0</v>
      </c>
      <c r="K30" s="3">
        <v>8</v>
      </c>
      <c r="L30" s="3">
        <v>0</v>
      </c>
      <c r="M30" s="3">
        <v>0</v>
      </c>
      <c r="N30" s="3">
        <v>0</v>
      </c>
      <c r="O30" s="3">
        <v>0</v>
      </c>
      <c r="P30" s="4">
        <f t="shared" si="0"/>
        <v>232</v>
      </c>
      <c r="Q30" s="1" t="s">
        <v>14</v>
      </c>
    </row>
    <row r="31" spans="1:17" x14ac:dyDescent="0.25">
      <c r="A31" s="2">
        <v>28</v>
      </c>
      <c r="D31" s="9" t="s">
        <v>38</v>
      </c>
      <c r="E31" s="10"/>
      <c r="F31" s="10"/>
      <c r="G31" s="11"/>
      <c r="H31" s="12">
        <v>721</v>
      </c>
      <c r="I31" s="7" t="s">
        <v>2</v>
      </c>
      <c r="J31" s="3">
        <v>0</v>
      </c>
      <c r="K31" s="3">
        <v>16</v>
      </c>
      <c r="L31" s="3">
        <v>1</v>
      </c>
      <c r="M31" s="3">
        <v>0</v>
      </c>
      <c r="N31" s="3">
        <v>0</v>
      </c>
      <c r="O31" s="3">
        <v>0</v>
      </c>
      <c r="P31" s="4">
        <f t="shared" si="0"/>
        <v>704</v>
      </c>
      <c r="Q31" s="1" t="s">
        <v>14</v>
      </c>
    </row>
    <row r="32" spans="1:17" x14ac:dyDescent="0.25">
      <c r="A32" s="2">
        <v>29</v>
      </c>
      <c r="D32" s="16" t="s">
        <v>39</v>
      </c>
      <c r="E32" s="17"/>
      <c r="F32" s="17"/>
      <c r="G32" s="18"/>
      <c r="H32" s="12">
        <v>50</v>
      </c>
      <c r="I32" s="7" t="s">
        <v>2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4">
        <f t="shared" si="0"/>
        <v>50</v>
      </c>
      <c r="Q32" s="1" t="s">
        <v>14</v>
      </c>
    </row>
    <row r="33" spans="1:17" x14ac:dyDescent="0.25">
      <c r="A33" s="2">
        <v>30</v>
      </c>
      <c r="D33" s="9" t="s">
        <v>40</v>
      </c>
      <c r="E33" s="10"/>
      <c r="F33" s="10"/>
      <c r="G33" s="11"/>
      <c r="H33" s="12">
        <v>1115</v>
      </c>
      <c r="I33" s="7" t="s">
        <v>2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4">
        <f t="shared" si="0"/>
        <v>1115</v>
      </c>
      <c r="Q33" s="1" t="s">
        <v>14</v>
      </c>
    </row>
    <row r="34" spans="1:17" x14ac:dyDescent="0.25">
      <c r="A34" s="2">
        <v>31</v>
      </c>
      <c r="D34" s="16" t="s">
        <v>9</v>
      </c>
      <c r="E34" s="17"/>
      <c r="F34" s="17"/>
      <c r="G34" s="18"/>
      <c r="H34" s="12">
        <v>546</v>
      </c>
      <c r="I34" s="7" t="s">
        <v>2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4">
        <f t="shared" si="0"/>
        <v>546</v>
      </c>
      <c r="Q34" s="1" t="s">
        <v>14</v>
      </c>
    </row>
    <row r="35" spans="1:17" x14ac:dyDescent="0.25">
      <c r="A35" s="2">
        <v>32</v>
      </c>
      <c r="D35" s="9" t="s">
        <v>83</v>
      </c>
      <c r="E35" s="10"/>
      <c r="F35" s="10"/>
      <c r="G35" s="11"/>
      <c r="H35" s="12">
        <v>100</v>
      </c>
      <c r="I35" s="7" t="s">
        <v>2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4">
        <f t="shared" si="0"/>
        <v>100</v>
      </c>
      <c r="Q35" s="1" t="s">
        <v>14</v>
      </c>
    </row>
    <row r="36" spans="1:17" x14ac:dyDescent="0.25">
      <c r="A36" s="2">
        <v>33</v>
      </c>
      <c r="D36" s="16" t="s">
        <v>70</v>
      </c>
      <c r="E36" s="17"/>
      <c r="F36" s="17"/>
      <c r="G36" s="18"/>
      <c r="H36" s="12">
        <v>960</v>
      </c>
      <c r="I36" s="7" t="s">
        <v>2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4">
        <f t="shared" si="0"/>
        <v>960</v>
      </c>
      <c r="Q36" s="1" t="s">
        <v>14</v>
      </c>
    </row>
    <row r="37" spans="1:17" x14ac:dyDescent="0.25">
      <c r="A37" s="2">
        <v>34</v>
      </c>
      <c r="D37" s="9" t="s">
        <v>41</v>
      </c>
      <c r="E37" s="10"/>
      <c r="F37" s="10"/>
      <c r="G37" s="11"/>
      <c r="H37" s="12">
        <v>283</v>
      </c>
      <c r="I37" s="7" t="s">
        <v>2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4">
        <f t="shared" si="0"/>
        <v>283</v>
      </c>
      <c r="Q37" s="1" t="s">
        <v>14</v>
      </c>
    </row>
    <row r="38" spans="1:17" x14ac:dyDescent="0.25">
      <c r="A38" s="2">
        <v>35</v>
      </c>
      <c r="D38" s="16" t="s">
        <v>42</v>
      </c>
      <c r="E38" s="17"/>
      <c r="F38" s="17"/>
      <c r="G38" s="18"/>
      <c r="H38" s="12">
        <v>287</v>
      </c>
      <c r="I38" s="7" t="s">
        <v>2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4">
        <f t="shared" si="0"/>
        <v>287</v>
      </c>
      <c r="Q38" s="1" t="s">
        <v>14</v>
      </c>
    </row>
    <row r="39" spans="1:17" x14ac:dyDescent="0.25">
      <c r="A39" s="2">
        <v>36</v>
      </c>
      <c r="D39" s="9" t="s">
        <v>43</v>
      </c>
      <c r="E39" s="10"/>
      <c r="F39" s="10"/>
      <c r="G39" s="11"/>
      <c r="H39" s="12">
        <v>27</v>
      </c>
      <c r="I39" s="7" t="s">
        <v>2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4">
        <f t="shared" si="0"/>
        <v>27</v>
      </c>
      <c r="Q39" s="1" t="s">
        <v>14</v>
      </c>
    </row>
    <row r="40" spans="1:17" x14ac:dyDescent="0.25">
      <c r="A40" s="2">
        <v>37</v>
      </c>
      <c r="D40" s="16" t="s">
        <v>44</v>
      </c>
      <c r="E40" s="17"/>
      <c r="F40" s="17"/>
      <c r="G40" s="18"/>
      <c r="H40" s="12">
        <v>99</v>
      </c>
      <c r="I40" s="7" t="s">
        <v>2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4">
        <f t="shared" si="0"/>
        <v>99</v>
      </c>
      <c r="Q40" s="1" t="s">
        <v>14</v>
      </c>
    </row>
    <row r="41" spans="1:17" x14ac:dyDescent="0.25">
      <c r="A41" s="2">
        <v>38</v>
      </c>
      <c r="D41" s="9" t="s">
        <v>71</v>
      </c>
      <c r="E41" s="10"/>
      <c r="F41" s="10"/>
      <c r="G41" s="11"/>
      <c r="H41" s="12">
        <v>20</v>
      </c>
      <c r="I41" s="7" t="s">
        <v>2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4">
        <f t="shared" si="0"/>
        <v>20</v>
      </c>
      <c r="Q41" s="1" t="s">
        <v>14</v>
      </c>
    </row>
    <row r="42" spans="1:17" x14ac:dyDescent="0.25">
      <c r="A42" s="2">
        <v>39</v>
      </c>
      <c r="D42" s="16" t="s">
        <v>10</v>
      </c>
      <c r="E42" s="17"/>
      <c r="F42" s="17"/>
      <c r="G42" s="18"/>
      <c r="H42" s="12">
        <v>155</v>
      </c>
      <c r="I42" s="7" t="s">
        <v>2</v>
      </c>
      <c r="J42" s="3">
        <v>0</v>
      </c>
      <c r="K42" s="3">
        <v>16</v>
      </c>
      <c r="L42" s="3">
        <v>0</v>
      </c>
      <c r="M42" s="3">
        <v>0</v>
      </c>
      <c r="N42" s="3">
        <v>0</v>
      </c>
      <c r="O42" s="3">
        <v>0</v>
      </c>
      <c r="P42" s="4">
        <f t="shared" si="0"/>
        <v>139</v>
      </c>
      <c r="Q42" s="1" t="s">
        <v>14</v>
      </c>
    </row>
    <row r="43" spans="1:17" x14ac:dyDescent="0.25">
      <c r="A43" s="2">
        <v>40</v>
      </c>
      <c r="D43" s="9" t="s">
        <v>45</v>
      </c>
      <c r="E43" s="10"/>
      <c r="F43" s="10"/>
      <c r="G43" s="11"/>
      <c r="H43" s="12">
        <v>151</v>
      </c>
      <c r="I43" s="7" t="s">
        <v>2</v>
      </c>
      <c r="J43" s="3">
        <v>0</v>
      </c>
      <c r="K43" s="3">
        <v>8</v>
      </c>
      <c r="L43" s="3">
        <v>0</v>
      </c>
      <c r="M43" s="3">
        <v>0</v>
      </c>
      <c r="N43" s="3">
        <v>0</v>
      </c>
      <c r="O43" s="3"/>
      <c r="P43" s="4">
        <f t="shared" si="0"/>
        <v>143</v>
      </c>
      <c r="Q43" s="1" t="s">
        <v>14</v>
      </c>
    </row>
    <row r="44" spans="1:17" x14ac:dyDescent="0.25">
      <c r="A44" s="2">
        <v>41</v>
      </c>
      <c r="D44" s="16" t="s">
        <v>46</v>
      </c>
      <c r="E44" s="17"/>
      <c r="F44" s="17"/>
      <c r="G44" s="18"/>
      <c r="H44" s="12">
        <v>25</v>
      </c>
      <c r="I44" s="7" t="s">
        <v>2</v>
      </c>
      <c r="J44" s="3">
        <v>10</v>
      </c>
      <c r="K44" s="3">
        <v>8</v>
      </c>
      <c r="L44" s="3">
        <v>0</v>
      </c>
      <c r="M44" s="3">
        <v>0</v>
      </c>
      <c r="N44" s="3">
        <v>0</v>
      </c>
      <c r="O44" s="3">
        <v>16</v>
      </c>
      <c r="P44" s="4">
        <f t="shared" si="0"/>
        <v>11</v>
      </c>
      <c r="Q44" s="1" t="s">
        <v>14</v>
      </c>
    </row>
    <row r="45" spans="1:17" x14ac:dyDescent="0.25">
      <c r="A45" s="2">
        <v>42</v>
      </c>
      <c r="D45" s="9" t="s">
        <v>47</v>
      </c>
      <c r="E45" s="10"/>
      <c r="F45" s="10"/>
      <c r="G45" s="11"/>
      <c r="H45" s="12">
        <v>20</v>
      </c>
      <c r="I45" s="7" t="s">
        <v>2</v>
      </c>
      <c r="J45" s="3">
        <v>60</v>
      </c>
      <c r="K45" s="3">
        <v>8</v>
      </c>
      <c r="L45" s="3">
        <v>0</v>
      </c>
      <c r="M45" s="3">
        <v>0</v>
      </c>
      <c r="N45" s="3">
        <v>0</v>
      </c>
      <c r="O45" s="3">
        <v>16</v>
      </c>
      <c r="P45" s="4">
        <f t="shared" si="0"/>
        <v>56</v>
      </c>
      <c r="Q45" s="1" t="s">
        <v>14</v>
      </c>
    </row>
    <row r="46" spans="1:17" x14ac:dyDescent="0.25">
      <c r="A46" s="2">
        <v>43</v>
      </c>
      <c r="D46" s="16" t="s">
        <v>79</v>
      </c>
      <c r="E46" s="17"/>
      <c r="F46" s="17"/>
      <c r="G46" s="18"/>
      <c r="H46" s="12">
        <v>54</v>
      </c>
      <c r="I46" s="7" t="s">
        <v>2</v>
      </c>
      <c r="J46" s="3">
        <v>0</v>
      </c>
      <c r="K46" s="3">
        <v>10</v>
      </c>
      <c r="L46" s="3">
        <v>0</v>
      </c>
      <c r="M46" s="3">
        <v>0</v>
      </c>
      <c r="N46" s="3">
        <v>0</v>
      </c>
      <c r="O46" s="3">
        <v>0</v>
      </c>
      <c r="P46" s="4">
        <f t="shared" si="0"/>
        <v>44</v>
      </c>
      <c r="Q46" s="1" t="s">
        <v>14</v>
      </c>
    </row>
    <row r="47" spans="1:17" x14ac:dyDescent="0.25">
      <c r="A47" s="2">
        <v>44</v>
      </c>
      <c r="D47" s="9" t="s">
        <v>48</v>
      </c>
      <c r="E47" s="10"/>
      <c r="F47" s="10"/>
      <c r="G47" s="11"/>
      <c r="H47" s="12">
        <v>42</v>
      </c>
      <c r="I47" s="7" t="s">
        <v>2</v>
      </c>
      <c r="J47" s="3">
        <v>7</v>
      </c>
      <c r="K47" s="3">
        <v>10</v>
      </c>
      <c r="L47" s="3">
        <v>0</v>
      </c>
      <c r="M47" s="3">
        <v>0</v>
      </c>
      <c r="N47" s="3">
        <v>0</v>
      </c>
      <c r="O47" s="3">
        <v>0</v>
      </c>
      <c r="P47" s="4">
        <f t="shared" si="0"/>
        <v>39</v>
      </c>
      <c r="Q47" s="1" t="s">
        <v>14</v>
      </c>
    </row>
    <row r="48" spans="1:17" x14ac:dyDescent="0.25">
      <c r="A48" s="2">
        <v>45</v>
      </c>
      <c r="D48" s="16" t="s">
        <v>49</v>
      </c>
      <c r="E48" s="17"/>
      <c r="F48" s="17"/>
      <c r="G48" s="18"/>
      <c r="H48" s="12">
        <v>11</v>
      </c>
      <c r="I48" s="7" t="s">
        <v>2</v>
      </c>
      <c r="J48" s="3">
        <v>0</v>
      </c>
      <c r="K48" s="3">
        <v>10</v>
      </c>
      <c r="L48" s="3">
        <v>0</v>
      </c>
      <c r="M48" s="3">
        <v>0</v>
      </c>
      <c r="N48" s="3">
        <v>0</v>
      </c>
      <c r="O48" s="3">
        <v>0</v>
      </c>
      <c r="P48" s="4">
        <f t="shared" si="0"/>
        <v>1</v>
      </c>
      <c r="Q48" s="1" t="s">
        <v>14</v>
      </c>
    </row>
    <row r="49" spans="1:17" x14ac:dyDescent="0.25">
      <c r="A49" s="2">
        <v>46</v>
      </c>
      <c r="D49" s="9" t="s">
        <v>11</v>
      </c>
      <c r="E49" s="10"/>
      <c r="F49" s="10"/>
      <c r="G49" s="11"/>
      <c r="H49" s="12">
        <v>270</v>
      </c>
      <c r="I49" s="7" t="s">
        <v>1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4">
        <f t="shared" si="0"/>
        <v>270</v>
      </c>
      <c r="Q49" s="1" t="s">
        <v>14</v>
      </c>
    </row>
    <row r="50" spans="1:17" x14ac:dyDescent="0.25">
      <c r="A50" s="2">
        <v>47</v>
      </c>
      <c r="D50" s="16" t="s">
        <v>50</v>
      </c>
      <c r="E50" s="17"/>
      <c r="F50" s="17"/>
      <c r="G50" s="18"/>
      <c r="H50" s="12">
        <v>186</v>
      </c>
      <c r="I50" s="7" t="s">
        <v>2</v>
      </c>
      <c r="J50" s="3">
        <v>0</v>
      </c>
      <c r="K50" s="3">
        <v>0</v>
      </c>
      <c r="L50" s="3">
        <v>3</v>
      </c>
      <c r="M50" s="3">
        <v>0</v>
      </c>
      <c r="N50" s="3">
        <v>0</v>
      </c>
      <c r="O50" s="3">
        <v>0</v>
      </c>
      <c r="P50" s="4">
        <f t="shared" si="0"/>
        <v>183</v>
      </c>
      <c r="Q50" s="1" t="s">
        <v>14</v>
      </c>
    </row>
    <row r="51" spans="1:17" x14ac:dyDescent="0.25">
      <c r="A51" s="2">
        <v>48</v>
      </c>
      <c r="D51" s="9" t="s">
        <v>51</v>
      </c>
      <c r="E51" s="10"/>
      <c r="F51" s="10"/>
      <c r="G51" s="11"/>
      <c r="H51" s="12">
        <v>124</v>
      </c>
      <c r="I51" s="7" t="s">
        <v>2</v>
      </c>
      <c r="J51" s="3">
        <v>0</v>
      </c>
      <c r="K51" s="3">
        <v>5</v>
      </c>
      <c r="L51" s="3">
        <v>0</v>
      </c>
      <c r="M51" s="3">
        <v>0</v>
      </c>
      <c r="N51" s="3">
        <v>0</v>
      </c>
      <c r="O51" s="3">
        <v>0</v>
      </c>
      <c r="P51" s="4">
        <f t="shared" si="0"/>
        <v>119</v>
      </c>
      <c r="Q51" s="1" t="s">
        <v>14</v>
      </c>
    </row>
    <row r="52" spans="1:17" x14ac:dyDescent="0.25">
      <c r="A52" s="2">
        <v>49</v>
      </c>
      <c r="D52" s="16" t="s">
        <v>52</v>
      </c>
      <c r="E52" s="17"/>
      <c r="F52" s="17"/>
      <c r="G52" s="18"/>
      <c r="H52" s="12">
        <v>60</v>
      </c>
      <c r="I52" s="7" t="s">
        <v>2</v>
      </c>
      <c r="J52" s="3">
        <v>0</v>
      </c>
      <c r="K52" s="3">
        <v>5</v>
      </c>
      <c r="L52" s="3">
        <v>0</v>
      </c>
      <c r="M52" s="3">
        <v>0</v>
      </c>
      <c r="N52" s="3">
        <v>0</v>
      </c>
      <c r="O52" s="3">
        <v>0</v>
      </c>
      <c r="P52" s="4">
        <f t="shared" si="0"/>
        <v>55</v>
      </c>
      <c r="Q52" s="1" t="s">
        <v>14</v>
      </c>
    </row>
    <row r="53" spans="1:17" x14ac:dyDescent="0.25">
      <c r="A53" s="2">
        <v>50</v>
      </c>
      <c r="D53" s="9" t="s">
        <v>53</v>
      </c>
      <c r="E53" s="10"/>
      <c r="F53" s="10"/>
      <c r="G53" s="11"/>
      <c r="H53" s="12">
        <v>60</v>
      </c>
      <c r="I53" s="7" t="s">
        <v>2</v>
      </c>
      <c r="J53" s="3">
        <v>0</v>
      </c>
      <c r="K53" s="3">
        <v>5</v>
      </c>
      <c r="L53" s="3">
        <v>0</v>
      </c>
      <c r="M53" s="3">
        <v>0</v>
      </c>
      <c r="N53" s="3">
        <v>0</v>
      </c>
      <c r="O53" s="3">
        <v>0</v>
      </c>
      <c r="P53" s="4">
        <f t="shared" si="0"/>
        <v>55</v>
      </c>
      <c r="Q53" s="1" t="s">
        <v>14</v>
      </c>
    </row>
    <row r="54" spans="1:17" x14ac:dyDescent="0.25">
      <c r="A54" s="2">
        <v>51</v>
      </c>
      <c r="D54" s="16" t="s">
        <v>54</v>
      </c>
      <c r="E54" s="17"/>
      <c r="F54" s="17"/>
      <c r="G54" s="18"/>
      <c r="H54" s="12">
        <v>1005</v>
      </c>
      <c r="I54" s="7" t="s">
        <v>1</v>
      </c>
      <c r="J54" s="3">
        <v>150</v>
      </c>
      <c r="K54" s="3">
        <v>30</v>
      </c>
      <c r="L54" s="3">
        <v>15</v>
      </c>
      <c r="M54" s="3">
        <v>30</v>
      </c>
      <c r="N54" s="3">
        <v>30</v>
      </c>
      <c r="O54" s="3">
        <v>45</v>
      </c>
      <c r="P54" s="4">
        <f t="shared" si="0"/>
        <v>1005</v>
      </c>
      <c r="Q54" s="1" t="s">
        <v>68</v>
      </c>
    </row>
    <row r="55" spans="1:17" x14ac:dyDescent="0.25">
      <c r="A55" s="2">
        <v>52</v>
      </c>
      <c r="D55" s="9" t="s">
        <v>55</v>
      </c>
      <c r="E55" s="10"/>
      <c r="F55" s="10"/>
      <c r="G55" s="11"/>
      <c r="H55" s="12">
        <v>8000</v>
      </c>
      <c r="I55" s="7" t="s">
        <v>2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  <c r="P55" s="4">
        <f t="shared" si="0"/>
        <v>8000</v>
      </c>
      <c r="Q55" s="1" t="s">
        <v>14</v>
      </c>
    </row>
    <row r="56" spans="1:17" x14ac:dyDescent="0.25">
      <c r="A56" s="2">
        <v>53</v>
      </c>
      <c r="D56" s="16" t="s">
        <v>56</v>
      </c>
      <c r="E56" s="17"/>
      <c r="F56" s="17"/>
      <c r="G56" s="18"/>
      <c r="H56" s="12">
        <v>2000</v>
      </c>
      <c r="I56" s="7" t="s">
        <v>2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  <c r="P56" s="4">
        <f t="shared" si="0"/>
        <v>2000</v>
      </c>
      <c r="Q56" s="1" t="s">
        <v>14</v>
      </c>
    </row>
    <row r="57" spans="1:17" x14ac:dyDescent="0.25">
      <c r="A57" s="2">
        <v>54</v>
      </c>
      <c r="D57" s="9" t="s">
        <v>12</v>
      </c>
      <c r="E57" s="10"/>
      <c r="F57" s="10"/>
      <c r="G57" s="11"/>
      <c r="H57" s="12">
        <v>2800</v>
      </c>
      <c r="I57" s="7" t="s">
        <v>2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  <c r="P57" s="4">
        <f t="shared" si="0"/>
        <v>2800</v>
      </c>
      <c r="Q57" s="1" t="s">
        <v>14</v>
      </c>
    </row>
    <row r="58" spans="1:17" x14ac:dyDescent="0.25">
      <c r="A58" s="2">
        <v>55</v>
      </c>
      <c r="D58" s="16" t="s">
        <v>57</v>
      </c>
      <c r="E58" s="17"/>
      <c r="F58" s="17"/>
      <c r="G58" s="18"/>
      <c r="H58" s="12">
        <v>3000</v>
      </c>
      <c r="I58" s="7" t="s">
        <v>2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4">
        <f t="shared" si="0"/>
        <v>3000</v>
      </c>
      <c r="Q58" s="1" t="s">
        <v>14</v>
      </c>
    </row>
    <row r="59" spans="1:17" x14ac:dyDescent="0.25">
      <c r="A59" s="2">
        <v>56</v>
      </c>
      <c r="D59" s="9" t="s">
        <v>58</v>
      </c>
      <c r="E59" s="10"/>
      <c r="F59" s="10"/>
      <c r="G59" s="11"/>
      <c r="H59" s="12">
        <v>5000</v>
      </c>
      <c r="I59" s="7" t="s">
        <v>2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  <c r="P59" s="4">
        <f t="shared" si="0"/>
        <v>5000</v>
      </c>
      <c r="Q59" s="1" t="s">
        <v>14</v>
      </c>
    </row>
    <row r="60" spans="1:17" x14ac:dyDescent="0.25">
      <c r="A60" s="2">
        <v>57</v>
      </c>
      <c r="D60" s="16" t="s">
        <v>59</v>
      </c>
      <c r="E60" s="17"/>
      <c r="F60" s="17"/>
      <c r="G60" s="18"/>
      <c r="H60" s="12">
        <v>3000</v>
      </c>
      <c r="I60" s="7" t="s">
        <v>2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4">
        <f t="shared" si="0"/>
        <v>3000</v>
      </c>
      <c r="Q60" s="1" t="s">
        <v>14</v>
      </c>
    </row>
    <row r="61" spans="1:17" x14ac:dyDescent="0.25">
      <c r="A61" s="2">
        <v>58</v>
      </c>
      <c r="D61" s="9" t="s">
        <v>60</v>
      </c>
      <c r="E61" s="10"/>
      <c r="F61" s="10"/>
      <c r="G61" s="11"/>
      <c r="H61" s="12">
        <v>5000</v>
      </c>
      <c r="I61" s="7" t="s">
        <v>2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4">
        <f t="shared" si="0"/>
        <v>5000</v>
      </c>
      <c r="Q61" s="1" t="s">
        <v>14</v>
      </c>
    </row>
    <row r="62" spans="1:17" x14ac:dyDescent="0.25">
      <c r="A62" s="2">
        <v>59</v>
      </c>
      <c r="D62" s="16" t="s">
        <v>61</v>
      </c>
      <c r="E62" s="17"/>
      <c r="F62" s="17"/>
      <c r="G62" s="18"/>
      <c r="H62" s="12">
        <v>494</v>
      </c>
      <c r="I62" s="7" t="s">
        <v>2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4">
        <f t="shared" si="0"/>
        <v>494</v>
      </c>
      <c r="Q62" s="1" t="s">
        <v>14</v>
      </c>
    </row>
    <row r="63" spans="1:17" x14ac:dyDescent="0.25">
      <c r="A63" s="2">
        <v>60</v>
      </c>
      <c r="D63" s="9" t="s">
        <v>62</v>
      </c>
      <c r="E63" s="10"/>
      <c r="F63" s="10"/>
      <c r="G63" s="11"/>
      <c r="H63" s="12">
        <v>284</v>
      </c>
      <c r="I63" s="7" t="s">
        <v>2</v>
      </c>
      <c r="J63" s="3">
        <v>100</v>
      </c>
      <c r="K63" s="3">
        <v>100</v>
      </c>
      <c r="L63" s="3">
        <v>0</v>
      </c>
      <c r="M63" s="3">
        <v>0</v>
      </c>
      <c r="N63" s="3">
        <v>0</v>
      </c>
      <c r="O63" s="3">
        <v>0</v>
      </c>
      <c r="P63" s="4">
        <f t="shared" si="0"/>
        <v>284</v>
      </c>
      <c r="Q63" s="1" t="s">
        <v>14</v>
      </c>
    </row>
    <row r="64" spans="1:17" x14ac:dyDescent="0.25">
      <c r="A64" s="2">
        <v>61</v>
      </c>
      <c r="D64" s="16" t="s">
        <v>13</v>
      </c>
      <c r="E64" s="17"/>
      <c r="F64" s="17"/>
      <c r="G64" s="18"/>
      <c r="H64" s="12">
        <v>297</v>
      </c>
      <c r="I64" s="7" t="s">
        <v>2</v>
      </c>
      <c r="J64" s="3">
        <v>150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4">
        <f t="shared" si="0"/>
        <v>447</v>
      </c>
      <c r="Q64" s="1" t="s">
        <v>14</v>
      </c>
    </row>
    <row r="65" spans="1:17" x14ac:dyDescent="0.25">
      <c r="A65" s="2">
        <v>62</v>
      </c>
      <c r="D65" s="9" t="s">
        <v>72</v>
      </c>
      <c r="E65" s="10"/>
      <c r="F65" s="10"/>
      <c r="G65" s="11"/>
      <c r="H65" s="12">
        <v>315</v>
      </c>
      <c r="I65" s="7" t="s">
        <v>2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4">
        <f t="shared" si="0"/>
        <v>315</v>
      </c>
      <c r="Q65" s="1" t="s">
        <v>14</v>
      </c>
    </row>
    <row r="66" spans="1:17" x14ac:dyDescent="0.25">
      <c r="A66" s="2">
        <v>63</v>
      </c>
      <c r="D66" s="16" t="s">
        <v>63</v>
      </c>
      <c r="E66" s="17"/>
      <c r="F66" s="17"/>
      <c r="G66" s="18"/>
      <c r="H66" s="12">
        <v>350</v>
      </c>
      <c r="I66" s="7" t="s">
        <v>2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  <c r="P66" s="4">
        <f t="shared" si="0"/>
        <v>350</v>
      </c>
      <c r="Q66" s="1" t="s">
        <v>14</v>
      </c>
    </row>
    <row r="67" spans="1:17" x14ac:dyDescent="0.25">
      <c r="A67" s="2">
        <v>64</v>
      </c>
      <c r="D67" s="9" t="s">
        <v>77</v>
      </c>
      <c r="E67" s="10"/>
      <c r="F67" s="10"/>
      <c r="G67" s="11"/>
      <c r="H67" s="12">
        <v>1382</v>
      </c>
      <c r="I67" s="7" t="s">
        <v>2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  <c r="P67" s="4">
        <f t="shared" si="0"/>
        <v>1382</v>
      </c>
      <c r="Q67" s="1" t="s">
        <v>14</v>
      </c>
    </row>
    <row r="68" spans="1:17" x14ac:dyDescent="0.25">
      <c r="A68" s="2">
        <v>65</v>
      </c>
      <c r="D68" s="16" t="s">
        <v>87</v>
      </c>
      <c r="E68" s="17"/>
      <c r="F68" s="17"/>
      <c r="G68" s="18"/>
      <c r="H68" s="12">
        <v>532</v>
      </c>
      <c r="I68" s="7" t="s">
        <v>2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1</v>
      </c>
      <c r="P68" s="4">
        <f t="shared" ref="P68:P83" si="1">+H68+J68-K68-L68-M68-N68-O68</f>
        <v>531</v>
      </c>
      <c r="Q68" s="1" t="s">
        <v>14</v>
      </c>
    </row>
    <row r="69" spans="1:17" x14ac:dyDescent="0.25">
      <c r="A69" s="2">
        <v>66</v>
      </c>
      <c r="D69" s="9" t="s">
        <v>64</v>
      </c>
      <c r="E69" s="10"/>
      <c r="F69" s="10"/>
      <c r="G69" s="11"/>
      <c r="H69" s="12">
        <v>328</v>
      </c>
      <c r="I69" s="7" t="s">
        <v>2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4">
        <f t="shared" si="1"/>
        <v>328</v>
      </c>
      <c r="Q69" s="1" t="s">
        <v>14</v>
      </c>
    </row>
    <row r="70" spans="1:17" x14ac:dyDescent="0.25">
      <c r="A70" s="2">
        <v>67</v>
      </c>
      <c r="D70" s="16" t="s">
        <v>65</v>
      </c>
      <c r="E70" s="17"/>
      <c r="F70" s="17"/>
      <c r="G70" s="18"/>
      <c r="H70" s="12">
        <v>95</v>
      </c>
      <c r="I70" s="7" t="s">
        <v>2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4">
        <f t="shared" si="1"/>
        <v>95</v>
      </c>
      <c r="Q70" s="1" t="s">
        <v>14</v>
      </c>
    </row>
    <row r="71" spans="1:17" x14ac:dyDescent="0.25">
      <c r="A71" s="2">
        <v>68</v>
      </c>
      <c r="D71" s="9" t="s">
        <v>66</v>
      </c>
      <c r="E71" s="10"/>
      <c r="F71" s="10"/>
      <c r="G71" s="11"/>
      <c r="H71" s="12">
        <v>500</v>
      </c>
      <c r="I71" s="7" t="s">
        <v>2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4">
        <f t="shared" si="1"/>
        <v>500</v>
      </c>
      <c r="Q71" s="1" t="s">
        <v>14</v>
      </c>
    </row>
    <row r="72" spans="1:17" x14ac:dyDescent="0.25">
      <c r="A72" s="2">
        <v>69</v>
      </c>
      <c r="D72" s="19" t="s">
        <v>86</v>
      </c>
      <c r="E72" s="20"/>
      <c r="F72" s="20"/>
      <c r="G72" s="21"/>
      <c r="H72" s="12">
        <v>0</v>
      </c>
      <c r="I72" s="7" t="s">
        <v>2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  <c r="P72" s="4">
        <f t="shared" si="1"/>
        <v>0</v>
      </c>
      <c r="Q72" s="1" t="s">
        <v>14</v>
      </c>
    </row>
    <row r="73" spans="1:17" x14ac:dyDescent="0.25">
      <c r="A73" s="2">
        <v>70</v>
      </c>
      <c r="D73" s="22" t="s">
        <v>74</v>
      </c>
      <c r="E73" s="10"/>
      <c r="F73" s="10"/>
      <c r="G73" s="11"/>
      <c r="H73" s="23">
        <v>64</v>
      </c>
      <c r="I73" s="8" t="s">
        <v>75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4">
        <f t="shared" si="1"/>
        <v>64</v>
      </c>
      <c r="Q73" s="1" t="s">
        <v>91</v>
      </c>
    </row>
    <row r="74" spans="1:17" x14ac:dyDescent="0.25">
      <c r="A74" s="2">
        <v>71</v>
      </c>
      <c r="C74" s="1" t="s">
        <v>14</v>
      </c>
      <c r="D74" s="22" t="s">
        <v>76</v>
      </c>
      <c r="E74" s="10"/>
      <c r="F74" s="10"/>
      <c r="G74" s="11"/>
      <c r="H74" s="24">
        <v>154</v>
      </c>
      <c r="I74" s="8" t="s">
        <v>2</v>
      </c>
      <c r="J74" s="3">
        <v>0</v>
      </c>
      <c r="K74" s="3">
        <v>0</v>
      </c>
      <c r="L74" s="3">
        <v>0</v>
      </c>
      <c r="M74" s="3">
        <v>2</v>
      </c>
      <c r="N74" s="3">
        <v>0</v>
      </c>
      <c r="O74" s="3">
        <v>0</v>
      </c>
      <c r="P74" s="4">
        <f t="shared" si="1"/>
        <v>152</v>
      </c>
      <c r="Q74" s="1" t="s">
        <v>14</v>
      </c>
    </row>
    <row r="75" spans="1:17" x14ac:dyDescent="0.25">
      <c r="A75" s="2">
        <v>72</v>
      </c>
      <c r="D75" s="25" t="s">
        <v>78</v>
      </c>
      <c r="H75" s="29">
        <v>72</v>
      </c>
      <c r="I75" s="30" t="s">
        <v>2</v>
      </c>
      <c r="J75" s="3">
        <v>0</v>
      </c>
      <c r="K75" s="3">
        <v>4</v>
      </c>
      <c r="L75" s="3">
        <v>1</v>
      </c>
      <c r="M75" s="3">
        <v>0</v>
      </c>
      <c r="N75" s="3">
        <v>0</v>
      </c>
      <c r="O75" s="3">
        <v>0</v>
      </c>
      <c r="P75" s="4">
        <f t="shared" si="1"/>
        <v>67</v>
      </c>
      <c r="Q75" s="1" t="s">
        <v>14</v>
      </c>
    </row>
    <row r="76" spans="1:17" x14ac:dyDescent="0.25">
      <c r="A76" s="2">
        <v>73</v>
      </c>
      <c r="D76" s="26" t="s">
        <v>80</v>
      </c>
      <c r="E76" s="27"/>
      <c r="F76" s="27"/>
      <c r="G76" s="28"/>
      <c r="H76" s="29">
        <v>38</v>
      </c>
      <c r="I76" s="8" t="s">
        <v>2</v>
      </c>
      <c r="J76" s="3">
        <v>0</v>
      </c>
      <c r="K76" s="3">
        <v>1</v>
      </c>
      <c r="L76" s="3">
        <v>0</v>
      </c>
      <c r="M76" s="3">
        <v>0</v>
      </c>
      <c r="N76" s="3">
        <v>0</v>
      </c>
      <c r="O76" s="3">
        <v>0</v>
      </c>
      <c r="P76" s="4">
        <f t="shared" si="1"/>
        <v>37</v>
      </c>
      <c r="Q76" s="1" t="s">
        <v>14</v>
      </c>
    </row>
    <row r="77" spans="1:17" x14ac:dyDescent="0.25">
      <c r="A77" s="2">
        <v>74</v>
      </c>
      <c r="D77" s="26" t="s">
        <v>84</v>
      </c>
      <c r="E77" s="27"/>
      <c r="F77" s="27"/>
      <c r="G77" s="28"/>
      <c r="H77" s="29">
        <v>50</v>
      </c>
      <c r="I77" s="8" t="s">
        <v>2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4">
        <f t="shared" si="1"/>
        <v>50</v>
      </c>
      <c r="Q77" s="1" t="s">
        <v>14</v>
      </c>
    </row>
    <row r="78" spans="1:17" x14ac:dyDescent="0.25">
      <c r="A78" s="2">
        <v>75</v>
      </c>
      <c r="D78" s="26" t="s">
        <v>85</v>
      </c>
      <c r="E78" s="27"/>
      <c r="F78" s="27"/>
      <c r="G78" s="28"/>
      <c r="H78" s="29">
        <v>2</v>
      </c>
      <c r="I78" s="8" t="s">
        <v>2</v>
      </c>
      <c r="J78" s="3">
        <v>0</v>
      </c>
      <c r="K78" s="3">
        <v>0</v>
      </c>
      <c r="L78" s="3">
        <v>0</v>
      </c>
      <c r="M78" s="3">
        <v>0</v>
      </c>
      <c r="N78" s="3">
        <v>2</v>
      </c>
      <c r="O78" s="3">
        <v>0</v>
      </c>
      <c r="P78" s="31">
        <f t="shared" si="1"/>
        <v>0</v>
      </c>
    </row>
    <row r="79" spans="1:17" x14ac:dyDescent="0.25">
      <c r="D79" s="37" t="s">
        <v>99</v>
      </c>
      <c r="E79" s="17"/>
      <c r="F79" s="33"/>
      <c r="G79" s="33"/>
      <c r="H79" s="4">
        <v>446</v>
      </c>
      <c r="I79" s="8" t="s">
        <v>97</v>
      </c>
      <c r="J79" s="3">
        <v>0</v>
      </c>
      <c r="K79" s="3">
        <v>0</v>
      </c>
      <c r="L79" s="3">
        <v>0</v>
      </c>
      <c r="M79" s="3">
        <v>25</v>
      </c>
      <c r="N79" s="3">
        <v>0</v>
      </c>
      <c r="O79" s="3">
        <v>0</v>
      </c>
      <c r="P79" s="31">
        <f t="shared" si="1"/>
        <v>421</v>
      </c>
      <c r="Q79" s="1" t="s">
        <v>14</v>
      </c>
    </row>
    <row r="80" spans="1:17" x14ac:dyDescent="0.25">
      <c r="D80" s="22" t="s">
        <v>100</v>
      </c>
      <c r="E80" s="10"/>
      <c r="F80" s="10"/>
      <c r="G80" s="28"/>
      <c r="H80" s="4">
        <v>0</v>
      </c>
      <c r="I80" s="8" t="s">
        <v>2</v>
      </c>
      <c r="J80" s="3">
        <v>40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  <c r="P80" s="31">
        <f t="shared" si="1"/>
        <v>40</v>
      </c>
    </row>
    <row r="81" spans="4:16" x14ac:dyDescent="0.25">
      <c r="D81" s="32"/>
      <c r="E81" s="33"/>
      <c r="F81" s="33"/>
      <c r="G81" s="33"/>
      <c r="H81" s="4">
        <v>0</v>
      </c>
      <c r="I81" s="8"/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  <c r="P81" s="31">
        <f t="shared" si="1"/>
        <v>0</v>
      </c>
    </row>
    <row r="82" spans="4:16" x14ac:dyDescent="0.25">
      <c r="D82" s="36"/>
      <c r="E82" s="27"/>
      <c r="F82" s="27"/>
      <c r="G82" s="28"/>
      <c r="H82" s="4">
        <v>0</v>
      </c>
      <c r="I82" s="8"/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  <c r="P82" s="31">
        <f t="shared" si="1"/>
        <v>0</v>
      </c>
    </row>
    <row r="83" spans="4:16" x14ac:dyDescent="0.25">
      <c r="D83" s="34"/>
      <c r="E83" s="35"/>
      <c r="F83" s="35"/>
      <c r="G83" s="35"/>
      <c r="H83" s="4">
        <v>0</v>
      </c>
      <c r="I83" s="8"/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1">
        <f t="shared" si="1"/>
        <v>0</v>
      </c>
    </row>
  </sheetData>
  <pageMargins left="0.75" right="0.75" top="1" bottom="1" header="0.5" footer="0.5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Q83"/>
  <sheetViews>
    <sheetView topLeftCell="A64" workbookViewId="0">
      <selection activeCell="P72" sqref="P72"/>
    </sheetView>
  </sheetViews>
  <sheetFormatPr defaultRowHeight="15" x14ac:dyDescent="0.25"/>
  <cols>
    <col min="1" max="1" width="5.5703125" customWidth="1"/>
    <col min="2" max="3" width="9.140625" hidden="1" customWidth="1"/>
    <col min="11" max="15" width="10.140625" bestFit="1" customWidth="1"/>
  </cols>
  <sheetData>
    <row r="1" spans="1:17" x14ac:dyDescent="0.25">
      <c r="G1" s="1"/>
      <c r="P1">
        <f>+H1+J1-K1-L1-M1-N1-O1</f>
        <v>0</v>
      </c>
    </row>
    <row r="2" spans="1:17" x14ac:dyDescent="0.25">
      <c r="A2" t="s">
        <v>14</v>
      </c>
      <c r="O2" s="38">
        <v>44837</v>
      </c>
    </row>
    <row r="3" spans="1:17" x14ac:dyDescent="0.25">
      <c r="A3" s="1" t="s">
        <v>15</v>
      </c>
      <c r="D3" s="9" t="s">
        <v>17</v>
      </c>
      <c r="E3" s="10"/>
      <c r="F3" s="10"/>
      <c r="G3" s="11"/>
      <c r="H3" s="12" t="s">
        <v>18</v>
      </c>
      <c r="I3" s="4" t="s">
        <v>19</v>
      </c>
      <c r="J3" s="3" t="s">
        <v>20</v>
      </c>
      <c r="K3" s="5">
        <v>44858</v>
      </c>
      <c r="L3" s="6">
        <v>44859</v>
      </c>
      <c r="M3" s="5">
        <v>44860</v>
      </c>
      <c r="N3" s="5">
        <v>44861</v>
      </c>
      <c r="O3" s="6">
        <v>44862</v>
      </c>
      <c r="P3" s="3" t="s">
        <v>21</v>
      </c>
    </row>
    <row r="4" spans="1:17" x14ac:dyDescent="0.25">
      <c r="A4" s="2">
        <v>1</v>
      </c>
      <c r="D4" s="13" t="s">
        <v>16</v>
      </c>
      <c r="E4" s="14"/>
      <c r="F4" s="14"/>
      <c r="G4" s="15"/>
      <c r="H4" s="12">
        <f>'ekim 3 hafta'!P4</f>
        <v>249</v>
      </c>
      <c r="I4" s="7" t="s">
        <v>1</v>
      </c>
      <c r="J4" s="3">
        <v>0</v>
      </c>
      <c r="K4" s="3">
        <v>34</v>
      </c>
      <c r="L4" s="3">
        <v>0</v>
      </c>
      <c r="M4" s="3">
        <v>0</v>
      </c>
      <c r="N4" s="3">
        <v>17</v>
      </c>
      <c r="O4" s="3">
        <v>0</v>
      </c>
      <c r="P4" s="4">
        <f t="shared" ref="P4:P67" si="0">+H4+J4-K4-L4-M4-N4-O4</f>
        <v>198</v>
      </c>
      <c r="Q4" t="s">
        <v>67</v>
      </c>
    </row>
    <row r="5" spans="1:17" x14ac:dyDescent="0.25">
      <c r="A5" s="2">
        <v>2</v>
      </c>
      <c r="D5" s="9" t="s">
        <v>22</v>
      </c>
      <c r="E5" s="10"/>
      <c r="F5" s="10"/>
      <c r="G5" s="11"/>
      <c r="H5" s="12">
        <f>'ekim 3 hafta'!P5</f>
        <v>30</v>
      </c>
      <c r="I5" s="7" t="s">
        <v>2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4">
        <f t="shared" si="0"/>
        <v>30</v>
      </c>
      <c r="Q5" s="1" t="s">
        <v>14</v>
      </c>
    </row>
    <row r="6" spans="1:17" x14ac:dyDescent="0.25">
      <c r="A6" s="2">
        <v>3</v>
      </c>
      <c r="D6" s="16" t="s">
        <v>23</v>
      </c>
      <c r="E6" s="17"/>
      <c r="F6" s="17"/>
      <c r="G6" s="18"/>
      <c r="H6" s="12">
        <f>'ekim 3 hafta'!P6</f>
        <v>40</v>
      </c>
      <c r="I6" s="7" t="s">
        <v>2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4">
        <f t="shared" si="0"/>
        <v>40</v>
      </c>
      <c r="Q6" s="1" t="s">
        <v>14</v>
      </c>
    </row>
    <row r="7" spans="1:17" x14ac:dyDescent="0.25">
      <c r="A7" s="2">
        <v>4</v>
      </c>
      <c r="D7" s="9" t="s">
        <v>3</v>
      </c>
      <c r="E7" s="10"/>
      <c r="F7" s="10"/>
      <c r="G7" s="11"/>
      <c r="H7" s="12">
        <f>'ekim 3 hafta'!P7</f>
        <v>58</v>
      </c>
      <c r="I7" s="7" t="s">
        <v>2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4">
        <f t="shared" si="0"/>
        <v>58</v>
      </c>
      <c r="Q7" s="1" t="s">
        <v>14</v>
      </c>
    </row>
    <row r="8" spans="1:17" x14ac:dyDescent="0.25">
      <c r="A8" s="2">
        <v>5</v>
      </c>
      <c r="D8" s="16" t="s">
        <v>4</v>
      </c>
      <c r="E8" s="17"/>
      <c r="F8" s="17"/>
      <c r="G8" s="18"/>
      <c r="H8" s="12">
        <f>'ekim 3 hafta'!P8</f>
        <v>214</v>
      </c>
      <c r="I8" s="7" t="s">
        <v>2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4">
        <f t="shared" si="0"/>
        <v>214</v>
      </c>
      <c r="Q8" s="1" t="s">
        <v>14</v>
      </c>
    </row>
    <row r="9" spans="1:17" x14ac:dyDescent="0.25">
      <c r="A9" s="2">
        <v>6</v>
      </c>
      <c r="D9" s="9" t="s">
        <v>24</v>
      </c>
      <c r="E9" s="10"/>
      <c r="F9" s="10"/>
      <c r="G9" s="11"/>
      <c r="H9" s="12">
        <f>'ekim 3 hafta'!P9</f>
        <v>60</v>
      </c>
      <c r="I9" s="7" t="s">
        <v>2</v>
      </c>
      <c r="J9" s="3">
        <v>10</v>
      </c>
      <c r="K9" s="3">
        <v>20</v>
      </c>
      <c r="L9" s="3">
        <v>0</v>
      </c>
      <c r="M9" s="3">
        <v>0</v>
      </c>
      <c r="N9" s="3">
        <v>40</v>
      </c>
      <c r="O9" s="3">
        <v>0</v>
      </c>
      <c r="P9" s="4">
        <f t="shared" si="0"/>
        <v>10</v>
      </c>
      <c r="Q9" s="1" t="s">
        <v>14</v>
      </c>
    </row>
    <row r="10" spans="1:17" x14ac:dyDescent="0.25">
      <c r="A10" s="2">
        <v>7</v>
      </c>
      <c r="D10" s="16" t="s">
        <v>101</v>
      </c>
      <c r="E10" s="17"/>
      <c r="F10" s="17"/>
      <c r="G10" s="18"/>
      <c r="H10" s="12">
        <f>'ekim 3 hafta'!P10</f>
        <v>2254</v>
      </c>
      <c r="I10" s="7" t="s">
        <v>2</v>
      </c>
      <c r="J10" s="3">
        <v>0</v>
      </c>
      <c r="K10" s="3">
        <v>15</v>
      </c>
      <c r="L10" s="3">
        <v>0</v>
      </c>
      <c r="M10" s="3">
        <v>32</v>
      </c>
      <c r="N10" s="3">
        <v>0</v>
      </c>
      <c r="O10" s="3">
        <v>6</v>
      </c>
      <c r="P10" s="4">
        <f t="shared" si="0"/>
        <v>2201</v>
      </c>
      <c r="Q10" s="1" t="s">
        <v>14</v>
      </c>
    </row>
    <row r="11" spans="1:17" x14ac:dyDescent="0.25">
      <c r="A11" s="2">
        <v>8</v>
      </c>
      <c r="D11" s="9" t="s">
        <v>25</v>
      </c>
      <c r="E11" s="10"/>
      <c r="F11" s="10"/>
      <c r="G11" s="11"/>
      <c r="H11" s="12">
        <f>'ekim 3 hafta'!P11</f>
        <v>496</v>
      </c>
      <c r="I11" s="7" t="s">
        <v>2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4">
        <f t="shared" si="0"/>
        <v>496</v>
      </c>
      <c r="Q11" s="1" t="s">
        <v>14</v>
      </c>
    </row>
    <row r="12" spans="1:17" x14ac:dyDescent="0.25">
      <c r="A12" s="2">
        <v>9</v>
      </c>
      <c r="D12" s="16" t="s">
        <v>26</v>
      </c>
      <c r="E12" s="17"/>
      <c r="F12" s="17"/>
      <c r="G12" s="18"/>
      <c r="H12" s="12">
        <f>'ekim 3 hafta'!P12</f>
        <v>60</v>
      </c>
      <c r="I12" s="7" t="s">
        <v>2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4">
        <f t="shared" si="0"/>
        <v>60</v>
      </c>
      <c r="Q12" s="1" t="s">
        <v>14</v>
      </c>
    </row>
    <row r="13" spans="1:17" x14ac:dyDescent="0.25">
      <c r="A13" s="2">
        <v>10</v>
      </c>
      <c r="D13" s="9" t="s">
        <v>6</v>
      </c>
      <c r="E13" s="10"/>
      <c r="F13" s="10"/>
      <c r="G13" s="11"/>
      <c r="H13" s="12">
        <f>'ekim 3 hafta'!P13</f>
        <v>42</v>
      </c>
      <c r="I13" s="7" t="s">
        <v>2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4">
        <f t="shared" si="0"/>
        <v>42</v>
      </c>
      <c r="Q13" s="1" t="s">
        <v>14</v>
      </c>
    </row>
    <row r="14" spans="1:17" x14ac:dyDescent="0.25">
      <c r="A14" s="2">
        <v>11</v>
      </c>
      <c r="D14" s="16" t="s">
        <v>7</v>
      </c>
      <c r="E14" s="17"/>
      <c r="F14" s="17"/>
      <c r="G14" s="18"/>
      <c r="H14" s="12">
        <f>'ekim 3 hafta'!P14</f>
        <v>24</v>
      </c>
      <c r="I14" s="7" t="s">
        <v>2</v>
      </c>
      <c r="J14" s="3">
        <v>0</v>
      </c>
      <c r="K14" s="3">
        <v>10</v>
      </c>
      <c r="L14" s="3">
        <v>0</v>
      </c>
      <c r="M14" s="3">
        <v>0</v>
      </c>
      <c r="N14" s="3">
        <v>0</v>
      </c>
      <c r="O14" s="3">
        <v>0</v>
      </c>
      <c r="P14" s="4">
        <f t="shared" si="0"/>
        <v>14</v>
      </c>
      <c r="Q14" s="1" t="s">
        <v>14</v>
      </c>
    </row>
    <row r="15" spans="1:17" x14ac:dyDescent="0.25">
      <c r="A15" s="2">
        <v>12</v>
      </c>
      <c r="D15" s="9" t="s">
        <v>69</v>
      </c>
      <c r="E15" s="10"/>
      <c r="F15" s="10"/>
      <c r="G15" s="11"/>
      <c r="H15" s="12">
        <f>'ekim 3 hafta'!P15</f>
        <v>26</v>
      </c>
      <c r="I15" s="7" t="s">
        <v>2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4">
        <f t="shared" si="0"/>
        <v>26</v>
      </c>
      <c r="Q15" s="1" t="s">
        <v>14</v>
      </c>
    </row>
    <row r="16" spans="1:17" x14ac:dyDescent="0.25">
      <c r="A16" s="2">
        <v>13</v>
      </c>
      <c r="D16" s="16" t="s">
        <v>27</v>
      </c>
      <c r="E16" s="17"/>
      <c r="F16" s="17"/>
      <c r="G16" s="18"/>
      <c r="H16" s="12">
        <f>'ekim 3 hafta'!P16</f>
        <v>90</v>
      </c>
      <c r="I16" s="7" t="s">
        <v>2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4">
        <f t="shared" si="0"/>
        <v>90</v>
      </c>
      <c r="Q16" s="1" t="s">
        <v>14</v>
      </c>
    </row>
    <row r="17" spans="1:17" x14ac:dyDescent="0.25">
      <c r="A17" s="2">
        <v>14</v>
      </c>
      <c r="D17" s="9" t="s">
        <v>73</v>
      </c>
      <c r="E17" s="10"/>
      <c r="F17" s="10"/>
      <c r="G17" s="11"/>
      <c r="H17" s="12">
        <f>'ekim 3 hafta'!P17</f>
        <v>800</v>
      </c>
      <c r="I17" s="7" t="s">
        <v>2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4">
        <f t="shared" si="0"/>
        <v>800</v>
      </c>
      <c r="Q17" s="1" t="s">
        <v>14</v>
      </c>
    </row>
    <row r="18" spans="1:17" x14ac:dyDescent="0.25">
      <c r="A18" s="2">
        <v>15</v>
      </c>
      <c r="D18" s="16" t="s">
        <v>28</v>
      </c>
      <c r="E18" s="17"/>
      <c r="F18" s="17"/>
      <c r="G18" s="18"/>
      <c r="H18" s="12">
        <f>'ekim 3 hafta'!P18</f>
        <v>39</v>
      </c>
      <c r="I18" s="7" t="s">
        <v>2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4">
        <f t="shared" si="0"/>
        <v>39</v>
      </c>
      <c r="Q18" s="1" t="s">
        <v>14</v>
      </c>
    </row>
    <row r="19" spans="1:17" x14ac:dyDescent="0.25">
      <c r="A19" s="2">
        <v>16</v>
      </c>
      <c r="D19" s="9" t="s">
        <v>29</v>
      </c>
      <c r="E19" s="10"/>
      <c r="F19" s="10"/>
      <c r="G19" s="11"/>
      <c r="H19" s="12">
        <f>'ekim 3 hafta'!P19</f>
        <v>40</v>
      </c>
      <c r="I19" s="7" t="s">
        <v>2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4">
        <f t="shared" si="0"/>
        <v>40</v>
      </c>
      <c r="Q19" s="1" t="s">
        <v>14</v>
      </c>
    </row>
    <row r="20" spans="1:17" x14ac:dyDescent="0.25">
      <c r="A20" s="2">
        <v>17</v>
      </c>
      <c r="D20" s="16" t="s">
        <v>30</v>
      </c>
      <c r="E20" s="17"/>
      <c r="F20" s="17"/>
      <c r="G20" s="18"/>
      <c r="H20" s="12">
        <f>'ekim 3 hafta'!P20</f>
        <v>50</v>
      </c>
      <c r="I20" s="7" t="s">
        <v>2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4">
        <f t="shared" si="0"/>
        <v>50</v>
      </c>
      <c r="Q20" s="1" t="s">
        <v>14</v>
      </c>
    </row>
    <row r="21" spans="1:17" x14ac:dyDescent="0.25">
      <c r="A21" s="2">
        <v>18</v>
      </c>
      <c r="D21" s="9" t="s">
        <v>31</v>
      </c>
      <c r="E21" s="10"/>
      <c r="F21" s="10"/>
      <c r="G21" s="11"/>
      <c r="H21" s="12">
        <f>'ekim 3 hafta'!P21</f>
        <v>33</v>
      </c>
      <c r="I21" s="7" t="s">
        <v>2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4">
        <f t="shared" si="0"/>
        <v>33</v>
      </c>
      <c r="Q21" s="1" t="s">
        <v>14</v>
      </c>
    </row>
    <row r="22" spans="1:17" x14ac:dyDescent="0.25">
      <c r="A22" s="2">
        <v>19</v>
      </c>
      <c r="D22" s="16" t="s">
        <v>8</v>
      </c>
      <c r="E22" s="17"/>
      <c r="F22" s="17"/>
      <c r="G22" s="18"/>
      <c r="H22" s="12">
        <f>'ekim 3 hafta'!P22</f>
        <v>140</v>
      </c>
      <c r="I22" s="7" t="s">
        <v>1</v>
      </c>
      <c r="J22" s="3">
        <v>0</v>
      </c>
      <c r="K22" s="3">
        <v>10</v>
      </c>
      <c r="L22" s="3">
        <v>0</v>
      </c>
      <c r="M22" s="3">
        <v>0</v>
      </c>
      <c r="N22" s="3">
        <v>30</v>
      </c>
      <c r="O22" s="3">
        <v>0</v>
      </c>
      <c r="P22" s="4">
        <f t="shared" si="0"/>
        <v>100</v>
      </c>
      <c r="Q22" s="1" t="s">
        <v>14</v>
      </c>
    </row>
    <row r="23" spans="1:17" x14ac:dyDescent="0.25">
      <c r="A23" s="2">
        <v>20</v>
      </c>
      <c r="D23" s="9" t="s">
        <v>32</v>
      </c>
      <c r="E23" s="10"/>
      <c r="F23" s="10"/>
      <c r="G23" s="11"/>
      <c r="H23" s="12">
        <f>'ekim 3 hafta'!P23</f>
        <v>2000</v>
      </c>
      <c r="I23" s="7" t="s">
        <v>2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4">
        <f t="shared" si="0"/>
        <v>2000</v>
      </c>
      <c r="Q23" s="1" t="s">
        <v>14</v>
      </c>
    </row>
    <row r="24" spans="1:17" x14ac:dyDescent="0.25">
      <c r="A24" s="2">
        <v>21</v>
      </c>
      <c r="D24" s="16" t="s">
        <v>33</v>
      </c>
      <c r="E24" s="17"/>
      <c r="F24" s="17"/>
      <c r="G24" s="18"/>
      <c r="H24" s="12">
        <f>'ekim 3 hafta'!P24</f>
        <v>279</v>
      </c>
      <c r="I24" s="7" t="s">
        <v>2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4">
        <f t="shared" si="0"/>
        <v>279</v>
      </c>
      <c r="Q24" s="1" t="s">
        <v>14</v>
      </c>
    </row>
    <row r="25" spans="1:17" x14ac:dyDescent="0.25">
      <c r="A25" s="2">
        <v>22</v>
      </c>
      <c r="D25" s="9" t="s">
        <v>34</v>
      </c>
      <c r="E25" s="10"/>
      <c r="F25" s="10"/>
      <c r="G25" s="11"/>
      <c r="H25" s="12">
        <f>'ekim 3 hafta'!P25</f>
        <v>40</v>
      </c>
      <c r="I25" s="7" t="s">
        <v>2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4">
        <f t="shared" si="0"/>
        <v>40</v>
      </c>
      <c r="Q25" s="1" t="s">
        <v>14</v>
      </c>
    </row>
    <row r="26" spans="1:17" x14ac:dyDescent="0.25">
      <c r="A26" s="2">
        <v>23</v>
      </c>
      <c r="D26" s="16" t="s">
        <v>82</v>
      </c>
      <c r="E26" s="17"/>
      <c r="F26" s="17"/>
      <c r="G26" s="18"/>
      <c r="H26" s="12">
        <f>'ekim 3 hafta'!P26</f>
        <v>168</v>
      </c>
      <c r="I26" s="7" t="s">
        <v>2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4">
        <f t="shared" si="0"/>
        <v>168</v>
      </c>
      <c r="Q26" s="1" t="s">
        <v>14</v>
      </c>
    </row>
    <row r="27" spans="1:17" x14ac:dyDescent="0.25">
      <c r="A27" s="2">
        <v>24</v>
      </c>
      <c r="D27" s="9" t="s">
        <v>81</v>
      </c>
      <c r="E27" s="10"/>
      <c r="F27" s="10"/>
      <c r="G27" s="11"/>
      <c r="H27" s="12">
        <f>'ekim 3 hafta'!P27</f>
        <v>42</v>
      </c>
      <c r="I27" s="7" t="s">
        <v>2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  <c r="P27" s="4">
        <f t="shared" si="0"/>
        <v>42</v>
      </c>
      <c r="Q27" s="1" t="s">
        <v>14</v>
      </c>
    </row>
    <row r="28" spans="1:17" x14ac:dyDescent="0.25">
      <c r="A28" s="2">
        <v>25</v>
      </c>
      <c r="D28" s="16" t="s">
        <v>35</v>
      </c>
      <c r="E28" s="17"/>
      <c r="F28" s="17"/>
      <c r="G28" s="18"/>
      <c r="H28" s="12">
        <f>'ekim 3 hafta'!P28</f>
        <v>50</v>
      </c>
      <c r="I28" s="7" t="s">
        <v>2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4">
        <f t="shared" si="0"/>
        <v>50</v>
      </c>
      <c r="Q28" s="1" t="s">
        <v>14</v>
      </c>
    </row>
    <row r="29" spans="1:17" x14ac:dyDescent="0.25">
      <c r="A29" s="2">
        <v>26</v>
      </c>
      <c r="D29" s="9" t="s">
        <v>36</v>
      </c>
      <c r="E29" s="10"/>
      <c r="F29" s="10"/>
      <c r="G29" s="11"/>
      <c r="H29" s="12">
        <f>'ekim 3 hafta'!P29</f>
        <v>65</v>
      </c>
      <c r="I29" s="7" t="s">
        <v>2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4">
        <f t="shared" si="0"/>
        <v>65</v>
      </c>
      <c r="Q29" s="1" t="s">
        <v>14</v>
      </c>
    </row>
    <row r="30" spans="1:17" x14ac:dyDescent="0.25">
      <c r="A30" s="2">
        <v>27</v>
      </c>
      <c r="D30" s="16" t="s">
        <v>37</v>
      </c>
      <c r="E30" s="17"/>
      <c r="F30" s="17"/>
      <c r="G30" s="18"/>
      <c r="H30" s="12">
        <f>'ekim 3 hafta'!P30</f>
        <v>232</v>
      </c>
      <c r="I30" s="7" t="s">
        <v>2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4">
        <f t="shared" si="0"/>
        <v>232</v>
      </c>
      <c r="Q30" s="1" t="s">
        <v>14</v>
      </c>
    </row>
    <row r="31" spans="1:17" x14ac:dyDescent="0.25">
      <c r="A31" s="2">
        <v>28</v>
      </c>
      <c r="D31" s="9" t="s">
        <v>38</v>
      </c>
      <c r="E31" s="10"/>
      <c r="F31" s="10"/>
      <c r="G31" s="11"/>
      <c r="H31" s="12">
        <f>'ekim 3 hafta'!P31</f>
        <v>704</v>
      </c>
      <c r="I31" s="7" t="s">
        <v>2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4">
        <f t="shared" si="0"/>
        <v>704</v>
      </c>
      <c r="Q31" s="1" t="s">
        <v>14</v>
      </c>
    </row>
    <row r="32" spans="1:17" x14ac:dyDescent="0.25">
      <c r="A32" s="2">
        <v>29</v>
      </c>
      <c r="D32" s="16" t="s">
        <v>39</v>
      </c>
      <c r="E32" s="17"/>
      <c r="F32" s="17"/>
      <c r="G32" s="18"/>
      <c r="H32" s="12">
        <f>'ekim 3 hafta'!P32</f>
        <v>50</v>
      </c>
      <c r="I32" s="7" t="s">
        <v>2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4">
        <f t="shared" si="0"/>
        <v>50</v>
      </c>
      <c r="Q32" s="1" t="s">
        <v>14</v>
      </c>
    </row>
    <row r="33" spans="1:17" x14ac:dyDescent="0.25">
      <c r="A33" s="2">
        <v>30</v>
      </c>
      <c r="D33" s="9" t="s">
        <v>40</v>
      </c>
      <c r="E33" s="10"/>
      <c r="F33" s="10"/>
      <c r="G33" s="11"/>
      <c r="H33" s="12">
        <f>'ekim 3 hafta'!P33</f>
        <v>1115</v>
      </c>
      <c r="I33" s="7" t="s">
        <v>2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4">
        <f t="shared" si="0"/>
        <v>1115</v>
      </c>
      <c r="Q33" s="1" t="s">
        <v>14</v>
      </c>
    </row>
    <row r="34" spans="1:17" x14ac:dyDescent="0.25">
      <c r="A34" s="2">
        <v>31</v>
      </c>
      <c r="D34" s="16" t="s">
        <v>9</v>
      </c>
      <c r="E34" s="17"/>
      <c r="F34" s="17"/>
      <c r="G34" s="18"/>
      <c r="H34" s="12">
        <f>'ekim 3 hafta'!P34</f>
        <v>546</v>
      </c>
      <c r="I34" s="7" t="s">
        <v>2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4">
        <f t="shared" si="0"/>
        <v>546</v>
      </c>
      <c r="Q34" s="1" t="s">
        <v>14</v>
      </c>
    </row>
    <row r="35" spans="1:17" x14ac:dyDescent="0.25">
      <c r="A35" s="2">
        <v>32</v>
      </c>
      <c r="D35" s="9" t="s">
        <v>83</v>
      </c>
      <c r="E35" s="10"/>
      <c r="F35" s="10"/>
      <c r="G35" s="11"/>
      <c r="H35" s="12">
        <f>'ekim 3 hafta'!P35</f>
        <v>100</v>
      </c>
      <c r="I35" s="7" t="s">
        <v>2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4">
        <f t="shared" si="0"/>
        <v>100</v>
      </c>
      <c r="Q35" s="1" t="s">
        <v>14</v>
      </c>
    </row>
    <row r="36" spans="1:17" x14ac:dyDescent="0.25">
      <c r="A36" s="2">
        <v>33</v>
      </c>
      <c r="D36" s="16" t="s">
        <v>70</v>
      </c>
      <c r="E36" s="17"/>
      <c r="F36" s="17"/>
      <c r="G36" s="18"/>
      <c r="H36" s="12">
        <f>'ekim 3 hafta'!P36</f>
        <v>960</v>
      </c>
      <c r="I36" s="7" t="s">
        <v>2</v>
      </c>
      <c r="J36" s="3">
        <v>0</v>
      </c>
      <c r="K36" s="3">
        <v>0</v>
      </c>
      <c r="L36" s="3">
        <v>0</v>
      </c>
      <c r="M36" s="3">
        <v>26</v>
      </c>
      <c r="N36" s="3">
        <v>0</v>
      </c>
      <c r="O36" s="3">
        <v>0</v>
      </c>
      <c r="P36" s="4">
        <f t="shared" si="0"/>
        <v>934</v>
      </c>
      <c r="Q36" s="1" t="s">
        <v>14</v>
      </c>
    </row>
    <row r="37" spans="1:17" x14ac:dyDescent="0.25">
      <c r="A37" s="2">
        <v>34</v>
      </c>
      <c r="D37" s="9" t="s">
        <v>41</v>
      </c>
      <c r="E37" s="10"/>
      <c r="F37" s="10"/>
      <c r="G37" s="11"/>
      <c r="H37" s="12">
        <f>'ekim 3 hafta'!P37</f>
        <v>283</v>
      </c>
      <c r="I37" s="7" t="s">
        <v>2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4">
        <f t="shared" si="0"/>
        <v>283</v>
      </c>
      <c r="Q37" s="1" t="s">
        <v>14</v>
      </c>
    </row>
    <row r="38" spans="1:17" x14ac:dyDescent="0.25">
      <c r="A38" s="2">
        <v>35</v>
      </c>
      <c r="D38" s="16" t="s">
        <v>42</v>
      </c>
      <c r="E38" s="17"/>
      <c r="F38" s="17"/>
      <c r="G38" s="18"/>
      <c r="H38" s="12">
        <f>'ekim 3 hafta'!P38</f>
        <v>287</v>
      </c>
      <c r="I38" s="7" t="s">
        <v>2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4">
        <f t="shared" si="0"/>
        <v>287</v>
      </c>
      <c r="Q38" s="1" t="s">
        <v>14</v>
      </c>
    </row>
    <row r="39" spans="1:17" x14ac:dyDescent="0.25">
      <c r="A39" s="2">
        <v>36</v>
      </c>
      <c r="D39" s="9" t="s">
        <v>43</v>
      </c>
      <c r="E39" s="10"/>
      <c r="F39" s="10"/>
      <c r="G39" s="11"/>
      <c r="H39" s="12">
        <f>'ekim 3 hafta'!P39</f>
        <v>27</v>
      </c>
      <c r="I39" s="7" t="s">
        <v>2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4">
        <f t="shared" si="0"/>
        <v>27</v>
      </c>
      <c r="Q39" s="1" t="s">
        <v>14</v>
      </c>
    </row>
    <row r="40" spans="1:17" x14ac:dyDescent="0.25">
      <c r="A40" s="2">
        <v>37</v>
      </c>
      <c r="D40" s="16" t="s">
        <v>44</v>
      </c>
      <c r="E40" s="17"/>
      <c r="F40" s="17"/>
      <c r="G40" s="18"/>
      <c r="H40" s="12">
        <f>'ekim 3 hafta'!P40</f>
        <v>99</v>
      </c>
      <c r="I40" s="7" t="s">
        <v>2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4">
        <f t="shared" si="0"/>
        <v>99</v>
      </c>
      <c r="Q40" s="1" t="s">
        <v>14</v>
      </c>
    </row>
    <row r="41" spans="1:17" x14ac:dyDescent="0.25">
      <c r="A41" s="2">
        <v>38</v>
      </c>
      <c r="D41" s="9" t="s">
        <v>71</v>
      </c>
      <c r="E41" s="10"/>
      <c r="F41" s="10"/>
      <c r="G41" s="11"/>
      <c r="H41" s="12">
        <f>'ekim 3 hafta'!P41</f>
        <v>20</v>
      </c>
      <c r="I41" s="7" t="s">
        <v>2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4">
        <f t="shared" si="0"/>
        <v>20</v>
      </c>
      <c r="Q41" s="1" t="s">
        <v>14</v>
      </c>
    </row>
    <row r="42" spans="1:17" x14ac:dyDescent="0.25">
      <c r="A42" s="2">
        <v>39</v>
      </c>
      <c r="D42" s="16" t="s">
        <v>10</v>
      </c>
      <c r="E42" s="17"/>
      <c r="F42" s="17"/>
      <c r="G42" s="18"/>
      <c r="H42" s="12">
        <f>'ekim 3 hafta'!P42</f>
        <v>139</v>
      </c>
      <c r="I42" s="7" t="s">
        <v>2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4">
        <f t="shared" si="0"/>
        <v>139</v>
      </c>
      <c r="Q42" s="1" t="s">
        <v>14</v>
      </c>
    </row>
    <row r="43" spans="1:17" x14ac:dyDescent="0.25">
      <c r="A43" s="2">
        <v>40</v>
      </c>
      <c r="D43" s="9" t="s">
        <v>45</v>
      </c>
      <c r="E43" s="10"/>
      <c r="F43" s="10"/>
      <c r="G43" s="11"/>
      <c r="H43" s="12">
        <f>'ekim 3 hafta'!P43</f>
        <v>143</v>
      </c>
      <c r="I43" s="7" t="s">
        <v>2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4">
        <f t="shared" si="0"/>
        <v>143</v>
      </c>
      <c r="Q43" s="1" t="s">
        <v>14</v>
      </c>
    </row>
    <row r="44" spans="1:17" x14ac:dyDescent="0.25">
      <c r="A44" s="2">
        <v>41</v>
      </c>
      <c r="D44" s="16" t="s">
        <v>46</v>
      </c>
      <c r="E44" s="17"/>
      <c r="F44" s="17"/>
      <c r="G44" s="18"/>
      <c r="H44" s="12">
        <f>'ekim 3 hafta'!P44</f>
        <v>11</v>
      </c>
      <c r="I44" s="7" t="s">
        <v>2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4">
        <f t="shared" si="0"/>
        <v>11</v>
      </c>
      <c r="Q44" s="1" t="s">
        <v>14</v>
      </c>
    </row>
    <row r="45" spans="1:17" x14ac:dyDescent="0.25">
      <c r="A45" s="2">
        <v>42</v>
      </c>
      <c r="D45" s="9" t="s">
        <v>47</v>
      </c>
      <c r="E45" s="10"/>
      <c r="F45" s="10"/>
      <c r="G45" s="11"/>
      <c r="H45" s="12">
        <f>'ekim 3 hafta'!P45</f>
        <v>56</v>
      </c>
      <c r="I45" s="7" t="s">
        <v>2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4">
        <f t="shared" si="0"/>
        <v>56</v>
      </c>
      <c r="Q45" s="1" t="s">
        <v>14</v>
      </c>
    </row>
    <row r="46" spans="1:17" x14ac:dyDescent="0.25">
      <c r="A46" s="2">
        <v>43</v>
      </c>
      <c r="D46" s="16" t="s">
        <v>79</v>
      </c>
      <c r="E46" s="17"/>
      <c r="F46" s="17"/>
      <c r="G46" s="18"/>
      <c r="H46" s="12">
        <f>'ekim 3 hafta'!P46</f>
        <v>44</v>
      </c>
      <c r="I46" s="7" t="s">
        <v>2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4">
        <f t="shared" si="0"/>
        <v>44</v>
      </c>
      <c r="Q46" s="1" t="s">
        <v>14</v>
      </c>
    </row>
    <row r="47" spans="1:17" x14ac:dyDescent="0.25">
      <c r="A47" s="2">
        <v>44</v>
      </c>
      <c r="D47" s="9" t="s">
        <v>48</v>
      </c>
      <c r="E47" s="10"/>
      <c r="F47" s="10"/>
      <c r="G47" s="11"/>
      <c r="H47" s="12">
        <f>'ekim 3 hafta'!P47</f>
        <v>39</v>
      </c>
      <c r="I47" s="7" t="s">
        <v>2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4">
        <f t="shared" si="0"/>
        <v>39</v>
      </c>
      <c r="Q47" s="1" t="s">
        <v>14</v>
      </c>
    </row>
    <row r="48" spans="1:17" x14ac:dyDescent="0.25">
      <c r="A48" s="2">
        <v>45</v>
      </c>
      <c r="D48" s="16" t="s">
        <v>49</v>
      </c>
      <c r="E48" s="17"/>
      <c r="F48" s="17"/>
      <c r="G48" s="18"/>
      <c r="H48" s="12">
        <f>'ekim 3 hafta'!P48</f>
        <v>1</v>
      </c>
      <c r="I48" s="7" t="s">
        <v>2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4">
        <f t="shared" si="0"/>
        <v>1</v>
      </c>
      <c r="Q48" s="1" t="s">
        <v>14</v>
      </c>
    </row>
    <row r="49" spans="1:17" x14ac:dyDescent="0.25">
      <c r="A49" s="2">
        <v>46</v>
      </c>
      <c r="D49" s="9" t="s">
        <v>11</v>
      </c>
      <c r="E49" s="10"/>
      <c r="F49" s="10"/>
      <c r="G49" s="11"/>
      <c r="H49" s="12">
        <f>'ekim 3 hafta'!P49</f>
        <v>270</v>
      </c>
      <c r="I49" s="7" t="s">
        <v>1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4">
        <f t="shared" si="0"/>
        <v>270</v>
      </c>
      <c r="Q49" s="1" t="s">
        <v>14</v>
      </c>
    </row>
    <row r="50" spans="1:17" x14ac:dyDescent="0.25">
      <c r="A50" s="2">
        <v>47</v>
      </c>
      <c r="D50" s="16" t="s">
        <v>50</v>
      </c>
      <c r="E50" s="17"/>
      <c r="F50" s="17"/>
      <c r="G50" s="18"/>
      <c r="H50" s="12">
        <f>'ekim 3 hafta'!P50</f>
        <v>183</v>
      </c>
      <c r="I50" s="7" t="s">
        <v>2</v>
      </c>
      <c r="J50" s="3">
        <v>0</v>
      </c>
      <c r="K50" s="3">
        <v>0</v>
      </c>
      <c r="L50" s="3">
        <v>1</v>
      </c>
      <c r="M50" s="3">
        <v>0</v>
      </c>
      <c r="N50" s="3">
        <v>0</v>
      </c>
      <c r="O50" s="3">
        <v>0</v>
      </c>
      <c r="P50" s="4">
        <f t="shared" si="0"/>
        <v>182</v>
      </c>
      <c r="Q50" s="1" t="s">
        <v>14</v>
      </c>
    </row>
    <row r="51" spans="1:17" x14ac:dyDescent="0.25">
      <c r="A51" s="2">
        <v>48</v>
      </c>
      <c r="D51" s="9" t="s">
        <v>51</v>
      </c>
      <c r="E51" s="10"/>
      <c r="F51" s="10"/>
      <c r="G51" s="11"/>
      <c r="H51" s="12">
        <f>'ekim 3 hafta'!P51</f>
        <v>119</v>
      </c>
      <c r="I51" s="7" t="s">
        <v>2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4">
        <f t="shared" si="0"/>
        <v>119</v>
      </c>
      <c r="Q51" s="1" t="s">
        <v>14</v>
      </c>
    </row>
    <row r="52" spans="1:17" x14ac:dyDescent="0.25">
      <c r="A52" s="2">
        <v>49</v>
      </c>
      <c r="D52" s="16" t="s">
        <v>52</v>
      </c>
      <c r="E52" s="17"/>
      <c r="F52" s="17"/>
      <c r="G52" s="18"/>
      <c r="H52" s="12">
        <f>'ekim 3 hafta'!P52</f>
        <v>55</v>
      </c>
      <c r="I52" s="7" t="s">
        <v>2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4">
        <f t="shared" si="0"/>
        <v>55</v>
      </c>
      <c r="Q52" s="1" t="s">
        <v>14</v>
      </c>
    </row>
    <row r="53" spans="1:17" x14ac:dyDescent="0.25">
      <c r="A53" s="2">
        <v>50</v>
      </c>
      <c r="D53" s="9" t="s">
        <v>53</v>
      </c>
      <c r="E53" s="10"/>
      <c r="F53" s="10"/>
      <c r="G53" s="11"/>
      <c r="H53" s="12">
        <f>'ekim 3 hafta'!P53</f>
        <v>55</v>
      </c>
      <c r="I53" s="7" t="s">
        <v>2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4">
        <f t="shared" si="0"/>
        <v>55</v>
      </c>
      <c r="Q53" s="1" t="s">
        <v>14</v>
      </c>
    </row>
    <row r="54" spans="1:17" x14ac:dyDescent="0.25">
      <c r="A54" s="2">
        <v>51</v>
      </c>
      <c r="D54" s="16" t="s">
        <v>54</v>
      </c>
      <c r="E54" s="17"/>
      <c r="F54" s="17"/>
      <c r="G54" s="18"/>
      <c r="H54" s="12">
        <f>'ekim 3 hafta'!P54</f>
        <v>1005</v>
      </c>
      <c r="I54" s="7" t="s">
        <v>1</v>
      </c>
      <c r="J54" s="3">
        <v>15</v>
      </c>
      <c r="K54" s="3">
        <v>0</v>
      </c>
      <c r="L54" s="3">
        <v>45</v>
      </c>
      <c r="M54" s="3">
        <v>30</v>
      </c>
      <c r="N54" s="3">
        <v>0</v>
      </c>
      <c r="O54" s="3">
        <v>15</v>
      </c>
      <c r="P54" s="4">
        <f t="shared" si="0"/>
        <v>930</v>
      </c>
      <c r="Q54" s="1" t="s">
        <v>68</v>
      </c>
    </row>
    <row r="55" spans="1:17" x14ac:dyDescent="0.25">
      <c r="A55" s="2">
        <v>52</v>
      </c>
      <c r="D55" s="9" t="s">
        <v>55</v>
      </c>
      <c r="E55" s="10"/>
      <c r="F55" s="10"/>
      <c r="G55" s="11"/>
      <c r="H55" s="12">
        <f>'ekim 3 hafta'!P55</f>
        <v>8000</v>
      </c>
      <c r="I55" s="7" t="s">
        <v>2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  <c r="P55" s="4">
        <f t="shared" si="0"/>
        <v>8000</v>
      </c>
      <c r="Q55" s="1" t="s">
        <v>14</v>
      </c>
    </row>
    <row r="56" spans="1:17" x14ac:dyDescent="0.25">
      <c r="A56" s="2">
        <v>53</v>
      </c>
      <c r="D56" s="16" t="s">
        <v>56</v>
      </c>
      <c r="E56" s="17"/>
      <c r="F56" s="17"/>
      <c r="G56" s="18"/>
      <c r="H56" s="12">
        <f>'ekim 3 hafta'!P56</f>
        <v>2000</v>
      </c>
      <c r="I56" s="7" t="s">
        <v>2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  <c r="P56" s="4">
        <f t="shared" si="0"/>
        <v>2000</v>
      </c>
      <c r="Q56" s="1" t="s">
        <v>14</v>
      </c>
    </row>
    <row r="57" spans="1:17" x14ac:dyDescent="0.25">
      <c r="A57" s="2">
        <v>54</v>
      </c>
      <c r="D57" s="9" t="s">
        <v>12</v>
      </c>
      <c r="E57" s="10"/>
      <c r="F57" s="10"/>
      <c r="G57" s="11"/>
      <c r="H57" s="12">
        <f>'ekim 3 hafta'!P57</f>
        <v>2800</v>
      </c>
      <c r="I57" s="7" t="s">
        <v>2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  <c r="P57" s="4">
        <f t="shared" si="0"/>
        <v>2800</v>
      </c>
      <c r="Q57" s="1" t="s">
        <v>14</v>
      </c>
    </row>
    <row r="58" spans="1:17" x14ac:dyDescent="0.25">
      <c r="A58" s="2">
        <v>55</v>
      </c>
      <c r="D58" s="16" t="s">
        <v>57</v>
      </c>
      <c r="E58" s="17"/>
      <c r="F58" s="17"/>
      <c r="G58" s="18"/>
      <c r="H58" s="12">
        <f>'ekim 3 hafta'!P58</f>
        <v>3000</v>
      </c>
      <c r="I58" s="7" t="s">
        <v>2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4">
        <f t="shared" si="0"/>
        <v>3000</v>
      </c>
      <c r="Q58" s="1" t="s">
        <v>14</v>
      </c>
    </row>
    <row r="59" spans="1:17" x14ac:dyDescent="0.25">
      <c r="A59" s="2">
        <v>56</v>
      </c>
      <c r="D59" s="9" t="s">
        <v>58</v>
      </c>
      <c r="E59" s="10"/>
      <c r="F59" s="10"/>
      <c r="G59" s="11"/>
      <c r="H59" s="12">
        <f>'ekim 3 hafta'!P59</f>
        <v>5000</v>
      </c>
      <c r="I59" s="7" t="s">
        <v>2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  <c r="P59" s="4">
        <f t="shared" si="0"/>
        <v>5000</v>
      </c>
      <c r="Q59" s="1" t="s">
        <v>14</v>
      </c>
    </row>
    <row r="60" spans="1:17" x14ac:dyDescent="0.25">
      <c r="A60" s="2">
        <v>57</v>
      </c>
      <c r="D60" s="16" t="s">
        <v>59</v>
      </c>
      <c r="E60" s="17"/>
      <c r="F60" s="17"/>
      <c r="G60" s="18"/>
      <c r="H60" s="12">
        <f>'ekim 3 hafta'!P60</f>
        <v>3000</v>
      </c>
      <c r="I60" s="7" t="s">
        <v>2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4">
        <f t="shared" si="0"/>
        <v>3000</v>
      </c>
      <c r="Q60" s="1" t="s">
        <v>14</v>
      </c>
    </row>
    <row r="61" spans="1:17" x14ac:dyDescent="0.25">
      <c r="A61" s="2">
        <v>58</v>
      </c>
      <c r="D61" s="9" t="s">
        <v>60</v>
      </c>
      <c r="E61" s="10"/>
      <c r="F61" s="10"/>
      <c r="G61" s="11"/>
      <c r="H61" s="12">
        <f>'ekim 3 hafta'!P61</f>
        <v>5000</v>
      </c>
      <c r="I61" s="7" t="s">
        <v>2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4">
        <f t="shared" si="0"/>
        <v>5000</v>
      </c>
      <c r="Q61" s="1" t="s">
        <v>14</v>
      </c>
    </row>
    <row r="62" spans="1:17" x14ac:dyDescent="0.25">
      <c r="A62" s="2">
        <v>59</v>
      </c>
      <c r="D62" s="16" t="s">
        <v>61</v>
      </c>
      <c r="E62" s="17"/>
      <c r="F62" s="17"/>
      <c r="G62" s="18"/>
      <c r="H62" s="12">
        <f>'ekim 3 hafta'!P62</f>
        <v>494</v>
      </c>
      <c r="I62" s="7" t="s">
        <v>2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4">
        <f t="shared" si="0"/>
        <v>494</v>
      </c>
      <c r="Q62" s="1" t="s">
        <v>14</v>
      </c>
    </row>
    <row r="63" spans="1:17" x14ac:dyDescent="0.25">
      <c r="A63" s="2">
        <v>60</v>
      </c>
      <c r="D63" s="9" t="s">
        <v>62</v>
      </c>
      <c r="E63" s="10"/>
      <c r="F63" s="10"/>
      <c r="G63" s="11"/>
      <c r="H63" s="12">
        <f>'ekim 3 hafta'!P63</f>
        <v>284</v>
      </c>
      <c r="I63" s="7" t="s">
        <v>2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4">
        <f t="shared" si="0"/>
        <v>284</v>
      </c>
      <c r="Q63" s="1" t="s">
        <v>14</v>
      </c>
    </row>
    <row r="64" spans="1:17" x14ac:dyDescent="0.25">
      <c r="A64" s="2">
        <v>61</v>
      </c>
      <c r="D64" s="16" t="s">
        <v>13</v>
      </c>
      <c r="E64" s="17"/>
      <c r="F64" s="17"/>
      <c r="G64" s="18"/>
      <c r="H64" s="12">
        <f>'ekim 3 hafta'!P64</f>
        <v>447</v>
      </c>
      <c r="I64" s="7" t="s">
        <v>2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4">
        <f t="shared" si="0"/>
        <v>447</v>
      </c>
      <c r="Q64" s="1" t="s">
        <v>14</v>
      </c>
    </row>
    <row r="65" spans="1:17" x14ac:dyDescent="0.25">
      <c r="A65" s="2">
        <v>62</v>
      </c>
      <c r="D65" s="9" t="s">
        <v>72</v>
      </c>
      <c r="E65" s="10"/>
      <c r="F65" s="10"/>
      <c r="G65" s="11"/>
      <c r="H65" s="12">
        <f>'ekim 3 hafta'!P65</f>
        <v>315</v>
      </c>
      <c r="I65" s="7" t="s">
        <v>2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4">
        <f t="shared" si="0"/>
        <v>315</v>
      </c>
      <c r="Q65" s="1" t="s">
        <v>14</v>
      </c>
    </row>
    <row r="66" spans="1:17" x14ac:dyDescent="0.25">
      <c r="A66" s="2">
        <v>63</v>
      </c>
      <c r="D66" s="16" t="s">
        <v>63</v>
      </c>
      <c r="E66" s="17"/>
      <c r="F66" s="17"/>
      <c r="G66" s="18"/>
      <c r="H66" s="12">
        <f>'ekim 3 hafta'!P66</f>
        <v>350</v>
      </c>
      <c r="I66" s="7" t="s">
        <v>2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  <c r="P66" s="4">
        <f t="shared" si="0"/>
        <v>350</v>
      </c>
      <c r="Q66" s="1" t="s">
        <v>14</v>
      </c>
    </row>
    <row r="67" spans="1:17" x14ac:dyDescent="0.25">
      <c r="A67" s="2">
        <v>64</v>
      </c>
      <c r="D67" s="9" t="s">
        <v>77</v>
      </c>
      <c r="E67" s="10"/>
      <c r="F67" s="10"/>
      <c r="G67" s="11"/>
      <c r="H67" s="12">
        <f>'ekim 3 hafta'!P67</f>
        <v>1382</v>
      </c>
      <c r="I67" s="7" t="s">
        <v>2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  <c r="P67" s="4">
        <f t="shared" si="0"/>
        <v>1382</v>
      </c>
      <c r="Q67" s="1" t="s">
        <v>14</v>
      </c>
    </row>
    <row r="68" spans="1:17" x14ac:dyDescent="0.25">
      <c r="A68" s="2">
        <v>65</v>
      </c>
      <c r="D68" s="16" t="s">
        <v>87</v>
      </c>
      <c r="E68" s="17"/>
      <c r="F68" s="17"/>
      <c r="G68" s="18"/>
      <c r="H68" s="12">
        <f>'ekim 3 hafta'!P68</f>
        <v>531</v>
      </c>
      <c r="I68" s="7" t="s">
        <v>2</v>
      </c>
      <c r="J68" s="3">
        <v>0</v>
      </c>
      <c r="K68" s="3">
        <v>0</v>
      </c>
      <c r="L68" s="3">
        <v>0</v>
      </c>
      <c r="M68" s="3">
        <v>16</v>
      </c>
      <c r="N68" s="3">
        <v>0</v>
      </c>
      <c r="O68" s="3">
        <v>0</v>
      </c>
      <c r="P68" s="4">
        <f t="shared" ref="P68:P83" si="1">+H68+J68-K68-L68-M68-N68-O68</f>
        <v>515</v>
      </c>
      <c r="Q68" s="1" t="s">
        <v>14</v>
      </c>
    </row>
    <row r="69" spans="1:17" x14ac:dyDescent="0.25">
      <c r="A69" s="2">
        <v>66</v>
      </c>
      <c r="D69" s="9" t="s">
        <v>64</v>
      </c>
      <c r="E69" s="10"/>
      <c r="F69" s="10"/>
      <c r="G69" s="11"/>
      <c r="H69" s="12">
        <f>'ekim 3 hafta'!P69</f>
        <v>328</v>
      </c>
      <c r="I69" s="7" t="s">
        <v>2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4">
        <f t="shared" si="1"/>
        <v>328</v>
      </c>
      <c r="Q69" s="1" t="s">
        <v>14</v>
      </c>
    </row>
    <row r="70" spans="1:17" x14ac:dyDescent="0.25">
      <c r="A70" s="2">
        <v>67</v>
      </c>
      <c r="D70" s="16" t="s">
        <v>65</v>
      </c>
      <c r="E70" s="17"/>
      <c r="F70" s="17"/>
      <c r="G70" s="18"/>
      <c r="H70" s="12">
        <f>'ekim 3 hafta'!P70</f>
        <v>95</v>
      </c>
      <c r="I70" s="7" t="s">
        <v>2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4">
        <f t="shared" si="1"/>
        <v>95</v>
      </c>
      <c r="Q70" s="1" t="s">
        <v>14</v>
      </c>
    </row>
    <row r="71" spans="1:17" x14ac:dyDescent="0.25">
      <c r="A71" s="2">
        <v>68</v>
      </c>
      <c r="D71" s="9" t="s">
        <v>66</v>
      </c>
      <c r="E71" s="10"/>
      <c r="F71" s="10"/>
      <c r="G71" s="11"/>
      <c r="H71" s="12">
        <f>'ekim 3 hafta'!P71</f>
        <v>500</v>
      </c>
      <c r="I71" s="7" t="s">
        <v>2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4">
        <f t="shared" si="1"/>
        <v>500</v>
      </c>
      <c r="Q71" s="1" t="s">
        <v>14</v>
      </c>
    </row>
    <row r="72" spans="1:17" x14ac:dyDescent="0.25">
      <c r="A72" s="2">
        <v>69</v>
      </c>
      <c r="D72" s="19" t="s">
        <v>86</v>
      </c>
      <c r="E72" s="20"/>
      <c r="F72" s="20"/>
      <c r="G72" s="21"/>
      <c r="H72" s="12">
        <f>'ekim 3 hafta'!P72</f>
        <v>0</v>
      </c>
      <c r="I72" s="7" t="s">
        <v>2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  <c r="P72" s="4">
        <f t="shared" si="1"/>
        <v>0</v>
      </c>
      <c r="Q72" s="1" t="s">
        <v>14</v>
      </c>
    </row>
    <row r="73" spans="1:17" x14ac:dyDescent="0.25">
      <c r="A73" s="2">
        <v>70</v>
      </c>
      <c r="D73" s="22" t="s">
        <v>74</v>
      </c>
      <c r="E73" s="10"/>
      <c r="F73" s="10"/>
      <c r="G73" s="11"/>
      <c r="H73" s="12">
        <f>'ekim 3 hafta'!P73</f>
        <v>64</v>
      </c>
      <c r="I73" s="8" t="s">
        <v>75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4">
        <f t="shared" si="1"/>
        <v>64</v>
      </c>
      <c r="Q73" s="1" t="s">
        <v>91</v>
      </c>
    </row>
    <row r="74" spans="1:17" x14ac:dyDescent="0.25">
      <c r="A74" s="2">
        <v>71</v>
      </c>
      <c r="C74" s="1" t="s">
        <v>14</v>
      </c>
      <c r="D74" s="22" t="s">
        <v>76</v>
      </c>
      <c r="E74" s="10"/>
      <c r="F74" s="10"/>
      <c r="G74" s="11"/>
      <c r="H74" s="12">
        <f>'ekim 3 hafta'!P74</f>
        <v>152</v>
      </c>
      <c r="I74" s="8" t="s">
        <v>2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4">
        <f t="shared" si="1"/>
        <v>152</v>
      </c>
      <c r="Q74" s="1" t="s">
        <v>14</v>
      </c>
    </row>
    <row r="75" spans="1:17" x14ac:dyDescent="0.25">
      <c r="A75" s="2">
        <v>72</v>
      </c>
      <c r="D75" s="25" t="s">
        <v>78</v>
      </c>
      <c r="H75" s="12">
        <f>'ekim 3 hafta'!P75</f>
        <v>67</v>
      </c>
      <c r="I75" s="30" t="s">
        <v>2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4">
        <f t="shared" si="1"/>
        <v>67</v>
      </c>
      <c r="Q75" s="1" t="s">
        <v>14</v>
      </c>
    </row>
    <row r="76" spans="1:17" x14ac:dyDescent="0.25">
      <c r="A76" s="2">
        <v>73</v>
      </c>
      <c r="D76" s="26" t="s">
        <v>80</v>
      </c>
      <c r="E76" s="27"/>
      <c r="F76" s="27"/>
      <c r="G76" s="28"/>
      <c r="H76" s="12">
        <f>'ekim 3 hafta'!P76</f>
        <v>37</v>
      </c>
      <c r="I76" s="8" t="s">
        <v>2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  <c r="P76" s="4">
        <f t="shared" si="1"/>
        <v>37</v>
      </c>
      <c r="Q76" s="1" t="s">
        <v>14</v>
      </c>
    </row>
    <row r="77" spans="1:17" x14ac:dyDescent="0.25">
      <c r="A77" s="2">
        <v>74</v>
      </c>
      <c r="D77" s="26" t="s">
        <v>84</v>
      </c>
      <c r="E77" s="27"/>
      <c r="F77" s="27"/>
      <c r="G77" s="28"/>
      <c r="H77" s="12">
        <f>'ekim 3 hafta'!P77</f>
        <v>50</v>
      </c>
      <c r="I77" s="8" t="s">
        <v>2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4">
        <f t="shared" si="1"/>
        <v>50</v>
      </c>
      <c r="Q77" s="1" t="s">
        <v>14</v>
      </c>
    </row>
    <row r="78" spans="1:17" x14ac:dyDescent="0.25">
      <c r="A78" s="2">
        <v>75</v>
      </c>
      <c r="D78" s="26" t="s">
        <v>85</v>
      </c>
      <c r="E78" s="27"/>
      <c r="F78" s="27"/>
      <c r="G78" s="28"/>
      <c r="H78" s="12">
        <f>'ekim 3 hafta'!P78</f>
        <v>0</v>
      </c>
      <c r="I78" s="8" t="s">
        <v>2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  <c r="P78" s="4">
        <f t="shared" si="1"/>
        <v>0</v>
      </c>
    </row>
    <row r="79" spans="1:17" x14ac:dyDescent="0.25">
      <c r="D79" s="37" t="s">
        <v>99</v>
      </c>
      <c r="E79" s="17"/>
      <c r="F79" s="33"/>
      <c r="G79" s="33"/>
      <c r="H79" s="12">
        <f>'ekim 3 hafta'!P79</f>
        <v>421</v>
      </c>
      <c r="I79" s="8" t="s">
        <v>2</v>
      </c>
      <c r="J79" s="3">
        <v>0</v>
      </c>
      <c r="K79" s="3">
        <v>25</v>
      </c>
      <c r="L79" s="3">
        <v>0</v>
      </c>
      <c r="M79" s="3">
        <v>0</v>
      </c>
      <c r="N79" s="3">
        <v>0</v>
      </c>
      <c r="O79" s="3">
        <v>0</v>
      </c>
      <c r="P79" s="4">
        <f t="shared" si="1"/>
        <v>396</v>
      </c>
      <c r="Q79" s="1" t="s">
        <v>14</v>
      </c>
    </row>
    <row r="80" spans="1:17" x14ac:dyDescent="0.25">
      <c r="D80" s="22" t="s">
        <v>100</v>
      </c>
      <c r="E80" s="10"/>
      <c r="F80" s="10"/>
      <c r="G80" s="28"/>
      <c r="H80" s="12">
        <f>'ekim 3 hafta'!P80</f>
        <v>40</v>
      </c>
      <c r="I80" s="8" t="s">
        <v>2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  <c r="P80" s="4">
        <f t="shared" si="1"/>
        <v>40</v>
      </c>
    </row>
    <row r="81" spans="4:16" x14ac:dyDescent="0.25">
      <c r="D81" s="37" t="s">
        <v>102</v>
      </c>
      <c r="E81" s="17"/>
      <c r="F81" s="17"/>
      <c r="G81" s="33"/>
      <c r="H81" s="12">
        <f>'ekim 3 hafta'!P81</f>
        <v>0</v>
      </c>
      <c r="I81" s="8" t="s">
        <v>2</v>
      </c>
      <c r="J81" s="3">
        <v>140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  <c r="P81" s="4">
        <f t="shared" si="1"/>
        <v>140</v>
      </c>
    </row>
    <row r="82" spans="4:16" x14ac:dyDescent="0.25">
      <c r="D82" s="22" t="s">
        <v>103</v>
      </c>
      <c r="E82" s="10"/>
      <c r="F82" s="10"/>
      <c r="G82" s="28"/>
      <c r="H82" s="4"/>
      <c r="I82" s="8" t="s">
        <v>2</v>
      </c>
      <c r="J82" s="3">
        <v>520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  <c r="P82" s="4">
        <f t="shared" si="1"/>
        <v>520</v>
      </c>
    </row>
    <row r="83" spans="4:16" x14ac:dyDescent="0.25">
      <c r="D83" s="34"/>
      <c r="E83" s="35"/>
      <c r="F83" s="35"/>
      <c r="G83" s="35"/>
      <c r="H83" s="4"/>
      <c r="I83" s="8"/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4">
        <f t="shared" si="1"/>
        <v>0</v>
      </c>
    </row>
  </sheetData>
  <pageMargins left="0.75" right="0.75" top="1" bottom="1" header="0.5" footer="0.5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Q83"/>
  <sheetViews>
    <sheetView topLeftCell="A58" workbookViewId="0">
      <selection activeCell="H26" sqref="H26"/>
    </sheetView>
  </sheetViews>
  <sheetFormatPr defaultRowHeight="15" x14ac:dyDescent="0.25"/>
  <cols>
    <col min="1" max="1" width="5.5703125" customWidth="1"/>
    <col min="2" max="3" width="9.140625" hidden="1" customWidth="1"/>
    <col min="11" max="15" width="10.140625" bestFit="1" customWidth="1"/>
  </cols>
  <sheetData>
    <row r="1" spans="1:17" x14ac:dyDescent="0.25">
      <c r="G1" s="1"/>
      <c r="P1">
        <f>+H1+J1-K1-L1-M1-N1-O1</f>
        <v>0</v>
      </c>
    </row>
    <row r="2" spans="1:17" x14ac:dyDescent="0.25">
      <c r="A2" t="s">
        <v>14</v>
      </c>
      <c r="O2" s="38">
        <v>44837</v>
      </c>
    </row>
    <row r="3" spans="1:17" x14ac:dyDescent="0.25">
      <c r="A3" s="1" t="s">
        <v>15</v>
      </c>
      <c r="D3" s="9" t="s">
        <v>17</v>
      </c>
      <c r="E3" s="10"/>
      <c r="F3" s="10"/>
      <c r="G3" s="11"/>
      <c r="H3" s="12" t="s">
        <v>18</v>
      </c>
      <c r="I3" s="4" t="s">
        <v>19</v>
      </c>
      <c r="J3" s="3" t="s">
        <v>20</v>
      </c>
      <c r="K3" s="5">
        <v>44865</v>
      </c>
      <c r="L3" s="6">
        <v>44866</v>
      </c>
      <c r="M3" s="5">
        <v>44867</v>
      </c>
      <c r="N3" s="5">
        <v>44868</v>
      </c>
      <c r="O3" s="6">
        <v>44869</v>
      </c>
      <c r="P3" s="3" t="s">
        <v>21</v>
      </c>
    </row>
    <row r="4" spans="1:17" x14ac:dyDescent="0.25">
      <c r="A4" s="2">
        <v>1</v>
      </c>
      <c r="D4" s="13" t="s">
        <v>16</v>
      </c>
      <c r="E4" s="14"/>
      <c r="F4" s="14"/>
      <c r="G4" s="15"/>
      <c r="H4" s="12">
        <f>'ekim 4 hafta '!P4</f>
        <v>198</v>
      </c>
      <c r="I4" s="7" t="s">
        <v>1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4">
        <f t="shared" ref="P4:P67" si="0">+H4+J4-K4-L4-M4-N4-O4</f>
        <v>198</v>
      </c>
      <c r="Q4" t="s">
        <v>67</v>
      </c>
    </row>
    <row r="5" spans="1:17" x14ac:dyDescent="0.25">
      <c r="A5" s="2">
        <v>2</v>
      </c>
      <c r="D5" s="9" t="s">
        <v>22</v>
      </c>
      <c r="E5" s="10"/>
      <c r="F5" s="10"/>
      <c r="G5" s="11"/>
      <c r="H5" s="12">
        <f>'ekim 4 hafta '!P5</f>
        <v>30</v>
      </c>
      <c r="I5" s="7" t="s">
        <v>2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4">
        <f t="shared" si="0"/>
        <v>30</v>
      </c>
      <c r="Q5" s="1" t="s">
        <v>14</v>
      </c>
    </row>
    <row r="6" spans="1:17" x14ac:dyDescent="0.25">
      <c r="A6" s="2">
        <v>3</v>
      </c>
      <c r="D6" s="16" t="s">
        <v>23</v>
      </c>
      <c r="E6" s="17"/>
      <c r="F6" s="17"/>
      <c r="G6" s="18"/>
      <c r="H6" s="12">
        <f>'ekim 4 hafta '!P6</f>
        <v>40</v>
      </c>
      <c r="I6" s="7" t="s">
        <v>2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4">
        <f t="shared" si="0"/>
        <v>40</v>
      </c>
      <c r="Q6" s="1" t="s">
        <v>14</v>
      </c>
    </row>
    <row r="7" spans="1:17" x14ac:dyDescent="0.25">
      <c r="A7" s="2">
        <v>4</v>
      </c>
      <c r="D7" s="9" t="s">
        <v>3</v>
      </c>
      <c r="E7" s="10"/>
      <c r="F7" s="10"/>
      <c r="G7" s="11"/>
      <c r="H7" s="12">
        <f>'ekim 4 hafta '!P7</f>
        <v>58</v>
      </c>
      <c r="I7" s="7" t="s">
        <v>2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4">
        <f t="shared" si="0"/>
        <v>58</v>
      </c>
      <c r="Q7" s="1" t="s">
        <v>14</v>
      </c>
    </row>
    <row r="8" spans="1:17" x14ac:dyDescent="0.25">
      <c r="A8" s="2">
        <v>5</v>
      </c>
      <c r="D8" s="16" t="s">
        <v>4</v>
      </c>
      <c r="E8" s="17"/>
      <c r="F8" s="17"/>
      <c r="G8" s="18"/>
      <c r="H8" s="12">
        <f>'ekim 4 hafta '!P8</f>
        <v>214</v>
      </c>
      <c r="I8" s="7" t="s">
        <v>2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4">
        <f t="shared" si="0"/>
        <v>214</v>
      </c>
      <c r="Q8" s="1" t="s">
        <v>14</v>
      </c>
    </row>
    <row r="9" spans="1:17" x14ac:dyDescent="0.25">
      <c r="A9" s="2">
        <v>6</v>
      </c>
      <c r="D9" s="9" t="s">
        <v>24</v>
      </c>
      <c r="E9" s="10"/>
      <c r="F9" s="10"/>
      <c r="G9" s="11"/>
      <c r="H9" s="12">
        <f>'ekim 4 hafta '!P9</f>
        <v>10</v>
      </c>
      <c r="I9" s="7" t="s">
        <v>2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4">
        <f t="shared" si="0"/>
        <v>10</v>
      </c>
      <c r="Q9" s="1" t="s">
        <v>14</v>
      </c>
    </row>
    <row r="10" spans="1:17" x14ac:dyDescent="0.25">
      <c r="A10" s="2">
        <v>7</v>
      </c>
      <c r="D10" s="16" t="s">
        <v>101</v>
      </c>
      <c r="E10" s="17"/>
      <c r="F10" s="17"/>
      <c r="G10" s="18"/>
      <c r="H10" s="12">
        <f>'ekim 4 hafta '!P10</f>
        <v>2201</v>
      </c>
      <c r="I10" s="7" t="s">
        <v>2</v>
      </c>
      <c r="J10" s="3">
        <v>0</v>
      </c>
      <c r="K10" s="3">
        <v>0</v>
      </c>
      <c r="L10" s="3">
        <v>50</v>
      </c>
      <c r="M10" s="3">
        <v>0</v>
      </c>
      <c r="N10" s="3">
        <v>0</v>
      </c>
      <c r="O10" s="3">
        <v>0</v>
      </c>
      <c r="P10" s="4">
        <f t="shared" si="0"/>
        <v>2151</v>
      </c>
      <c r="Q10" s="1" t="s">
        <v>14</v>
      </c>
    </row>
    <row r="11" spans="1:17" x14ac:dyDescent="0.25">
      <c r="A11" s="2">
        <v>8</v>
      </c>
      <c r="D11" s="9" t="s">
        <v>25</v>
      </c>
      <c r="E11" s="10"/>
      <c r="F11" s="10"/>
      <c r="G11" s="11"/>
      <c r="H11" s="12">
        <f>'ekim 4 hafta '!P11</f>
        <v>496</v>
      </c>
      <c r="I11" s="7" t="s">
        <v>2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4">
        <f t="shared" si="0"/>
        <v>496</v>
      </c>
      <c r="Q11" s="1" t="s">
        <v>14</v>
      </c>
    </row>
    <row r="12" spans="1:17" x14ac:dyDescent="0.25">
      <c r="A12" s="2">
        <v>9</v>
      </c>
      <c r="D12" s="16" t="s">
        <v>26</v>
      </c>
      <c r="E12" s="17"/>
      <c r="F12" s="17"/>
      <c r="G12" s="18"/>
      <c r="H12" s="12">
        <f>'ekim 4 hafta '!P12</f>
        <v>60</v>
      </c>
      <c r="I12" s="7" t="s">
        <v>2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4">
        <f t="shared" si="0"/>
        <v>60</v>
      </c>
      <c r="Q12" s="1" t="s">
        <v>14</v>
      </c>
    </row>
    <row r="13" spans="1:17" x14ac:dyDescent="0.25">
      <c r="A13" s="2">
        <v>10</v>
      </c>
      <c r="D13" s="9" t="s">
        <v>6</v>
      </c>
      <c r="E13" s="10"/>
      <c r="F13" s="10"/>
      <c r="G13" s="11"/>
      <c r="H13" s="12">
        <f>'ekim 4 hafta '!P13</f>
        <v>42</v>
      </c>
      <c r="I13" s="7" t="s">
        <v>2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4">
        <f t="shared" si="0"/>
        <v>42</v>
      </c>
      <c r="Q13" s="1" t="s">
        <v>14</v>
      </c>
    </row>
    <row r="14" spans="1:17" x14ac:dyDescent="0.25">
      <c r="A14" s="2">
        <v>11</v>
      </c>
      <c r="D14" s="16" t="s">
        <v>7</v>
      </c>
      <c r="E14" s="17"/>
      <c r="F14" s="17"/>
      <c r="G14" s="18"/>
      <c r="H14" s="12">
        <f>'ekim 4 hafta '!P14</f>
        <v>14</v>
      </c>
      <c r="I14" s="7" t="s">
        <v>2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4">
        <f t="shared" si="0"/>
        <v>14</v>
      </c>
      <c r="Q14" s="1" t="s">
        <v>14</v>
      </c>
    </row>
    <row r="15" spans="1:17" x14ac:dyDescent="0.25">
      <c r="A15" s="2">
        <v>12</v>
      </c>
      <c r="D15" s="9" t="s">
        <v>69</v>
      </c>
      <c r="E15" s="10"/>
      <c r="F15" s="10"/>
      <c r="G15" s="11"/>
      <c r="H15" s="12">
        <f>'ekim 4 hafta '!P15</f>
        <v>26</v>
      </c>
      <c r="I15" s="7" t="s">
        <v>2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4">
        <f t="shared" si="0"/>
        <v>26</v>
      </c>
      <c r="Q15" s="1" t="s">
        <v>14</v>
      </c>
    </row>
    <row r="16" spans="1:17" x14ac:dyDescent="0.25">
      <c r="A16" s="2">
        <v>13</v>
      </c>
      <c r="D16" s="16" t="s">
        <v>27</v>
      </c>
      <c r="E16" s="17"/>
      <c r="F16" s="17"/>
      <c r="G16" s="18"/>
      <c r="H16" s="12">
        <f>'ekim 4 hafta '!P16</f>
        <v>90</v>
      </c>
      <c r="I16" s="7" t="s">
        <v>2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4">
        <f t="shared" si="0"/>
        <v>90</v>
      </c>
      <c r="Q16" s="1" t="s">
        <v>14</v>
      </c>
    </row>
    <row r="17" spans="1:17" x14ac:dyDescent="0.25">
      <c r="A17" s="2">
        <v>14</v>
      </c>
      <c r="D17" s="9" t="s">
        <v>73</v>
      </c>
      <c r="E17" s="10"/>
      <c r="F17" s="10"/>
      <c r="G17" s="11"/>
      <c r="H17" s="12">
        <f>'ekim 4 hafta '!P17</f>
        <v>800</v>
      </c>
      <c r="I17" s="7" t="s">
        <v>2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4">
        <f t="shared" si="0"/>
        <v>800</v>
      </c>
      <c r="Q17" s="1" t="s">
        <v>14</v>
      </c>
    </row>
    <row r="18" spans="1:17" x14ac:dyDescent="0.25">
      <c r="A18" s="2">
        <v>15</v>
      </c>
      <c r="D18" s="16" t="s">
        <v>28</v>
      </c>
      <c r="E18" s="17"/>
      <c r="F18" s="17"/>
      <c r="G18" s="18"/>
      <c r="H18" s="12">
        <f>'ekim 4 hafta '!P18</f>
        <v>39</v>
      </c>
      <c r="I18" s="7" t="s">
        <v>2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4">
        <f t="shared" si="0"/>
        <v>39</v>
      </c>
      <c r="Q18" s="1" t="s">
        <v>14</v>
      </c>
    </row>
    <row r="19" spans="1:17" x14ac:dyDescent="0.25">
      <c r="A19" s="2">
        <v>16</v>
      </c>
      <c r="D19" s="9" t="s">
        <v>29</v>
      </c>
      <c r="E19" s="10"/>
      <c r="F19" s="10"/>
      <c r="G19" s="11"/>
      <c r="H19" s="12">
        <f>'ekim 4 hafta '!P19</f>
        <v>40</v>
      </c>
      <c r="I19" s="7" t="s">
        <v>2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4">
        <f t="shared" si="0"/>
        <v>40</v>
      </c>
      <c r="Q19" s="1" t="s">
        <v>14</v>
      </c>
    </row>
    <row r="20" spans="1:17" x14ac:dyDescent="0.25">
      <c r="A20" s="2">
        <v>17</v>
      </c>
      <c r="D20" s="16" t="s">
        <v>30</v>
      </c>
      <c r="E20" s="17"/>
      <c r="F20" s="17"/>
      <c r="G20" s="18"/>
      <c r="H20" s="12">
        <f>'ekim 4 hafta '!P20</f>
        <v>50</v>
      </c>
      <c r="I20" s="7" t="s">
        <v>2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4">
        <f t="shared" si="0"/>
        <v>50</v>
      </c>
      <c r="Q20" s="1" t="s">
        <v>14</v>
      </c>
    </row>
    <row r="21" spans="1:17" x14ac:dyDescent="0.25">
      <c r="A21" s="2">
        <v>18</v>
      </c>
      <c r="D21" s="9" t="s">
        <v>31</v>
      </c>
      <c r="E21" s="10"/>
      <c r="F21" s="10"/>
      <c r="G21" s="11"/>
      <c r="H21" s="12">
        <f>'ekim 4 hafta '!P21</f>
        <v>33</v>
      </c>
      <c r="I21" s="7" t="s">
        <v>2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4">
        <f t="shared" si="0"/>
        <v>33</v>
      </c>
      <c r="Q21" s="1" t="s">
        <v>14</v>
      </c>
    </row>
    <row r="22" spans="1:17" x14ac:dyDescent="0.25">
      <c r="A22" s="2">
        <v>19</v>
      </c>
      <c r="D22" s="16" t="s">
        <v>8</v>
      </c>
      <c r="E22" s="17"/>
      <c r="F22" s="17"/>
      <c r="G22" s="18"/>
      <c r="H22" s="12">
        <f>'ekim 4 hafta '!P22</f>
        <v>100</v>
      </c>
      <c r="I22" s="7" t="s">
        <v>1</v>
      </c>
      <c r="J22" s="3">
        <v>0</v>
      </c>
      <c r="K22" s="3">
        <v>0</v>
      </c>
      <c r="L22" s="3">
        <v>30</v>
      </c>
      <c r="M22" s="3">
        <v>0</v>
      </c>
      <c r="N22" s="3">
        <v>0</v>
      </c>
      <c r="O22" s="3">
        <v>0</v>
      </c>
      <c r="P22" s="4">
        <f t="shared" si="0"/>
        <v>70</v>
      </c>
      <c r="Q22" s="1" t="s">
        <v>14</v>
      </c>
    </row>
    <row r="23" spans="1:17" x14ac:dyDescent="0.25">
      <c r="A23" s="2">
        <v>20</v>
      </c>
      <c r="D23" s="9" t="s">
        <v>32</v>
      </c>
      <c r="E23" s="10"/>
      <c r="F23" s="10"/>
      <c r="G23" s="11"/>
      <c r="H23" s="12">
        <f>'ekim 4 hafta '!P23</f>
        <v>2000</v>
      </c>
      <c r="I23" s="7" t="s">
        <v>2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4">
        <f t="shared" si="0"/>
        <v>2000</v>
      </c>
      <c r="Q23" s="1" t="s">
        <v>14</v>
      </c>
    </row>
    <row r="24" spans="1:17" x14ac:dyDescent="0.25">
      <c r="A24" s="2">
        <v>21</v>
      </c>
      <c r="D24" s="16" t="s">
        <v>33</v>
      </c>
      <c r="E24" s="17"/>
      <c r="F24" s="17"/>
      <c r="G24" s="18"/>
      <c r="H24" s="12">
        <f>'ekim 4 hafta '!P24</f>
        <v>279</v>
      </c>
      <c r="I24" s="7" t="s">
        <v>2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4">
        <f t="shared" si="0"/>
        <v>279</v>
      </c>
      <c r="Q24" s="1" t="s">
        <v>14</v>
      </c>
    </row>
    <row r="25" spans="1:17" x14ac:dyDescent="0.25">
      <c r="A25" s="2">
        <v>22</v>
      </c>
      <c r="D25" s="9" t="s">
        <v>34</v>
      </c>
      <c r="E25" s="10"/>
      <c r="F25" s="10"/>
      <c r="G25" s="11"/>
      <c r="H25" s="12">
        <f>'ekim 4 hafta '!P25</f>
        <v>40</v>
      </c>
      <c r="I25" s="7" t="s">
        <v>2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4">
        <f t="shared" si="0"/>
        <v>40</v>
      </c>
      <c r="Q25" s="1" t="s">
        <v>14</v>
      </c>
    </row>
    <row r="26" spans="1:17" x14ac:dyDescent="0.25">
      <c r="A26" s="2">
        <v>23</v>
      </c>
      <c r="D26" s="16" t="s">
        <v>82</v>
      </c>
      <c r="E26" s="17"/>
      <c r="F26" s="17"/>
      <c r="G26" s="18"/>
      <c r="H26" s="12">
        <f>'ekim 4 hafta '!P26</f>
        <v>168</v>
      </c>
      <c r="I26" s="7" t="s">
        <v>2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4">
        <f t="shared" si="0"/>
        <v>168</v>
      </c>
      <c r="Q26" s="1" t="s">
        <v>14</v>
      </c>
    </row>
    <row r="27" spans="1:17" x14ac:dyDescent="0.25">
      <c r="A27" s="2">
        <v>24</v>
      </c>
      <c r="D27" s="9" t="s">
        <v>81</v>
      </c>
      <c r="E27" s="10"/>
      <c r="F27" s="10"/>
      <c r="G27" s="11"/>
      <c r="H27" s="12">
        <f>'ekim 4 hafta '!P27</f>
        <v>42</v>
      </c>
      <c r="I27" s="7" t="s">
        <v>2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  <c r="P27" s="4">
        <f t="shared" si="0"/>
        <v>42</v>
      </c>
      <c r="Q27" s="1" t="s">
        <v>14</v>
      </c>
    </row>
    <row r="28" spans="1:17" x14ac:dyDescent="0.25">
      <c r="A28" s="2">
        <v>25</v>
      </c>
      <c r="D28" s="16" t="s">
        <v>35</v>
      </c>
      <c r="E28" s="17"/>
      <c r="F28" s="17"/>
      <c r="G28" s="18"/>
      <c r="H28" s="12">
        <f>'ekim 4 hafta '!P28</f>
        <v>50</v>
      </c>
      <c r="I28" s="7" t="s">
        <v>2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4">
        <f t="shared" si="0"/>
        <v>50</v>
      </c>
      <c r="Q28" s="1" t="s">
        <v>14</v>
      </c>
    </row>
    <row r="29" spans="1:17" x14ac:dyDescent="0.25">
      <c r="A29" s="2">
        <v>26</v>
      </c>
      <c r="D29" s="9" t="s">
        <v>36</v>
      </c>
      <c r="E29" s="10"/>
      <c r="F29" s="10"/>
      <c r="G29" s="11"/>
      <c r="H29" s="12">
        <f>'ekim 4 hafta '!P29</f>
        <v>65</v>
      </c>
      <c r="I29" s="7" t="s">
        <v>2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4">
        <f t="shared" si="0"/>
        <v>65</v>
      </c>
      <c r="Q29" s="1" t="s">
        <v>14</v>
      </c>
    </row>
    <row r="30" spans="1:17" x14ac:dyDescent="0.25">
      <c r="A30" s="2">
        <v>27</v>
      </c>
      <c r="D30" s="16" t="s">
        <v>37</v>
      </c>
      <c r="E30" s="17"/>
      <c r="F30" s="17"/>
      <c r="G30" s="18"/>
      <c r="H30" s="12">
        <f>'ekim 4 hafta '!P30</f>
        <v>232</v>
      </c>
      <c r="I30" s="7" t="s">
        <v>2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4">
        <f t="shared" si="0"/>
        <v>232</v>
      </c>
      <c r="Q30" s="1" t="s">
        <v>14</v>
      </c>
    </row>
    <row r="31" spans="1:17" x14ac:dyDescent="0.25">
      <c r="A31" s="2">
        <v>28</v>
      </c>
      <c r="D31" s="9" t="s">
        <v>38</v>
      </c>
      <c r="E31" s="10"/>
      <c r="F31" s="10"/>
      <c r="G31" s="11"/>
      <c r="H31" s="12">
        <f>'ekim 4 hafta '!P31</f>
        <v>704</v>
      </c>
      <c r="I31" s="7" t="s">
        <v>2</v>
      </c>
      <c r="J31" s="3">
        <v>0</v>
      </c>
      <c r="K31" s="3">
        <v>0</v>
      </c>
      <c r="L31" s="3">
        <v>36</v>
      </c>
      <c r="M31" s="3">
        <v>0</v>
      </c>
      <c r="N31" s="3">
        <v>0</v>
      </c>
      <c r="O31" s="3">
        <v>0</v>
      </c>
      <c r="P31" s="4">
        <f t="shared" si="0"/>
        <v>668</v>
      </c>
      <c r="Q31" s="1" t="s">
        <v>14</v>
      </c>
    </row>
    <row r="32" spans="1:17" x14ac:dyDescent="0.25">
      <c r="A32" s="2">
        <v>29</v>
      </c>
      <c r="D32" s="16" t="s">
        <v>39</v>
      </c>
      <c r="E32" s="17"/>
      <c r="F32" s="17"/>
      <c r="G32" s="18"/>
      <c r="H32" s="12">
        <f>'ekim 4 hafta '!P32</f>
        <v>50</v>
      </c>
      <c r="I32" s="7" t="s">
        <v>2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4">
        <f t="shared" si="0"/>
        <v>50</v>
      </c>
      <c r="Q32" s="1" t="s">
        <v>14</v>
      </c>
    </row>
    <row r="33" spans="1:17" x14ac:dyDescent="0.25">
      <c r="A33" s="2">
        <v>30</v>
      </c>
      <c r="D33" s="9" t="s">
        <v>40</v>
      </c>
      <c r="E33" s="10"/>
      <c r="F33" s="10"/>
      <c r="G33" s="11"/>
      <c r="H33" s="12">
        <f>'ekim 4 hafta '!P33</f>
        <v>1115</v>
      </c>
      <c r="I33" s="7" t="s">
        <v>2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4">
        <f t="shared" si="0"/>
        <v>1115</v>
      </c>
      <c r="Q33" s="1" t="s">
        <v>14</v>
      </c>
    </row>
    <row r="34" spans="1:17" x14ac:dyDescent="0.25">
      <c r="A34" s="2">
        <v>31</v>
      </c>
      <c r="D34" s="16" t="s">
        <v>9</v>
      </c>
      <c r="E34" s="17"/>
      <c r="F34" s="17"/>
      <c r="G34" s="18"/>
      <c r="H34" s="12">
        <f>'ekim 4 hafta '!P34</f>
        <v>546</v>
      </c>
      <c r="I34" s="7" t="s">
        <v>2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4">
        <f t="shared" si="0"/>
        <v>546</v>
      </c>
      <c r="Q34" s="1" t="s">
        <v>14</v>
      </c>
    </row>
    <row r="35" spans="1:17" x14ac:dyDescent="0.25">
      <c r="A35" s="2">
        <v>32</v>
      </c>
      <c r="D35" s="9" t="s">
        <v>83</v>
      </c>
      <c r="E35" s="10"/>
      <c r="F35" s="10"/>
      <c r="G35" s="11"/>
      <c r="H35" s="12">
        <f>'ekim 4 hafta '!P35</f>
        <v>100</v>
      </c>
      <c r="I35" s="7" t="s">
        <v>2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4">
        <f t="shared" si="0"/>
        <v>100</v>
      </c>
      <c r="Q35" s="1" t="s">
        <v>14</v>
      </c>
    </row>
    <row r="36" spans="1:17" x14ac:dyDescent="0.25">
      <c r="A36" s="2">
        <v>33</v>
      </c>
      <c r="D36" s="16" t="s">
        <v>70</v>
      </c>
      <c r="E36" s="17"/>
      <c r="F36" s="17"/>
      <c r="G36" s="18"/>
      <c r="H36" s="12">
        <f>'ekim 4 hafta '!P36</f>
        <v>934</v>
      </c>
      <c r="I36" s="7" t="s">
        <v>2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4">
        <f t="shared" si="0"/>
        <v>934</v>
      </c>
      <c r="Q36" s="1" t="s">
        <v>14</v>
      </c>
    </row>
    <row r="37" spans="1:17" x14ac:dyDescent="0.25">
      <c r="A37" s="2">
        <v>34</v>
      </c>
      <c r="D37" s="9" t="s">
        <v>41</v>
      </c>
      <c r="E37" s="10"/>
      <c r="F37" s="10"/>
      <c r="G37" s="11"/>
      <c r="H37" s="12">
        <f>'ekim 4 hafta '!P37</f>
        <v>283</v>
      </c>
      <c r="I37" s="7" t="s">
        <v>2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4">
        <f t="shared" si="0"/>
        <v>283</v>
      </c>
      <c r="Q37" s="1" t="s">
        <v>14</v>
      </c>
    </row>
    <row r="38" spans="1:17" x14ac:dyDescent="0.25">
      <c r="A38" s="2">
        <v>35</v>
      </c>
      <c r="D38" s="16" t="s">
        <v>42</v>
      </c>
      <c r="E38" s="17"/>
      <c r="F38" s="17"/>
      <c r="G38" s="18"/>
      <c r="H38" s="12">
        <f>'ekim 4 hafta '!P38</f>
        <v>287</v>
      </c>
      <c r="I38" s="7" t="s">
        <v>2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4">
        <f t="shared" si="0"/>
        <v>287</v>
      </c>
      <c r="Q38" s="1" t="s">
        <v>14</v>
      </c>
    </row>
    <row r="39" spans="1:17" x14ac:dyDescent="0.25">
      <c r="A39" s="2">
        <v>36</v>
      </c>
      <c r="D39" s="9" t="s">
        <v>43</v>
      </c>
      <c r="E39" s="10"/>
      <c r="F39" s="10"/>
      <c r="G39" s="11"/>
      <c r="H39" s="12">
        <f>'ekim 4 hafta '!P39</f>
        <v>27</v>
      </c>
      <c r="I39" s="7" t="s">
        <v>2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4">
        <f t="shared" si="0"/>
        <v>27</v>
      </c>
      <c r="Q39" s="1" t="s">
        <v>14</v>
      </c>
    </row>
    <row r="40" spans="1:17" x14ac:dyDescent="0.25">
      <c r="A40" s="2">
        <v>37</v>
      </c>
      <c r="D40" s="16" t="s">
        <v>44</v>
      </c>
      <c r="E40" s="17"/>
      <c r="F40" s="17"/>
      <c r="G40" s="18"/>
      <c r="H40" s="12">
        <f>'ekim 4 hafta '!P40</f>
        <v>99</v>
      </c>
      <c r="I40" s="7" t="s">
        <v>2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4">
        <f t="shared" si="0"/>
        <v>99</v>
      </c>
      <c r="Q40" s="1" t="s">
        <v>14</v>
      </c>
    </row>
    <row r="41" spans="1:17" x14ac:dyDescent="0.25">
      <c r="A41" s="2">
        <v>38</v>
      </c>
      <c r="D41" s="9" t="s">
        <v>71</v>
      </c>
      <c r="E41" s="10"/>
      <c r="F41" s="10"/>
      <c r="G41" s="11"/>
      <c r="H41" s="12">
        <f>'ekim 4 hafta '!P41</f>
        <v>20</v>
      </c>
      <c r="I41" s="7" t="s">
        <v>2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4">
        <f t="shared" si="0"/>
        <v>20</v>
      </c>
      <c r="Q41" s="1" t="s">
        <v>14</v>
      </c>
    </row>
    <row r="42" spans="1:17" x14ac:dyDescent="0.25">
      <c r="A42" s="2">
        <v>39</v>
      </c>
      <c r="D42" s="16" t="s">
        <v>10</v>
      </c>
      <c r="E42" s="17"/>
      <c r="F42" s="17"/>
      <c r="G42" s="18"/>
      <c r="H42" s="12">
        <f>'ekim 4 hafta '!P42</f>
        <v>139</v>
      </c>
      <c r="I42" s="7" t="s">
        <v>2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4">
        <f t="shared" si="0"/>
        <v>139</v>
      </c>
      <c r="Q42" s="1" t="s">
        <v>14</v>
      </c>
    </row>
    <row r="43" spans="1:17" x14ac:dyDescent="0.25">
      <c r="A43" s="2">
        <v>40</v>
      </c>
      <c r="D43" s="9" t="s">
        <v>45</v>
      </c>
      <c r="E43" s="10"/>
      <c r="F43" s="10"/>
      <c r="G43" s="11"/>
      <c r="H43" s="12">
        <f>'ekim 4 hafta '!P43</f>
        <v>143</v>
      </c>
      <c r="I43" s="7" t="s">
        <v>2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4">
        <f t="shared" si="0"/>
        <v>143</v>
      </c>
      <c r="Q43" s="1" t="s">
        <v>14</v>
      </c>
    </row>
    <row r="44" spans="1:17" x14ac:dyDescent="0.25">
      <c r="A44" s="2">
        <v>41</v>
      </c>
      <c r="D44" s="16" t="s">
        <v>46</v>
      </c>
      <c r="E44" s="17"/>
      <c r="F44" s="17"/>
      <c r="G44" s="18"/>
      <c r="H44" s="12">
        <f>'ekim 4 hafta '!P44</f>
        <v>11</v>
      </c>
      <c r="I44" s="7" t="s">
        <v>2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4">
        <f t="shared" si="0"/>
        <v>11</v>
      </c>
      <c r="Q44" s="1" t="s">
        <v>14</v>
      </c>
    </row>
    <row r="45" spans="1:17" x14ac:dyDescent="0.25">
      <c r="A45" s="2">
        <v>42</v>
      </c>
      <c r="D45" s="9" t="s">
        <v>47</v>
      </c>
      <c r="E45" s="10"/>
      <c r="F45" s="10"/>
      <c r="G45" s="11"/>
      <c r="H45" s="12">
        <f>'ekim 4 hafta '!P45</f>
        <v>56</v>
      </c>
      <c r="I45" s="7" t="s">
        <v>2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4">
        <f t="shared" si="0"/>
        <v>56</v>
      </c>
      <c r="Q45" s="1" t="s">
        <v>14</v>
      </c>
    </row>
    <row r="46" spans="1:17" x14ac:dyDescent="0.25">
      <c r="A46" s="2">
        <v>43</v>
      </c>
      <c r="D46" s="16" t="s">
        <v>79</v>
      </c>
      <c r="E46" s="17"/>
      <c r="F46" s="17"/>
      <c r="G46" s="18"/>
      <c r="H46" s="12">
        <f>'ekim 4 hafta '!P46</f>
        <v>44</v>
      </c>
      <c r="I46" s="7" t="s">
        <v>2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4">
        <f t="shared" si="0"/>
        <v>44</v>
      </c>
      <c r="Q46" s="1" t="s">
        <v>14</v>
      </c>
    </row>
    <row r="47" spans="1:17" x14ac:dyDescent="0.25">
      <c r="A47" s="2">
        <v>44</v>
      </c>
      <c r="D47" s="9" t="s">
        <v>48</v>
      </c>
      <c r="E47" s="10"/>
      <c r="F47" s="10"/>
      <c r="G47" s="11"/>
      <c r="H47" s="12">
        <f>'ekim 4 hafta '!P47</f>
        <v>39</v>
      </c>
      <c r="I47" s="7" t="s">
        <v>2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4">
        <f t="shared" si="0"/>
        <v>39</v>
      </c>
      <c r="Q47" s="1" t="s">
        <v>14</v>
      </c>
    </row>
    <row r="48" spans="1:17" x14ac:dyDescent="0.25">
      <c r="A48" s="2">
        <v>45</v>
      </c>
      <c r="D48" s="16" t="s">
        <v>49</v>
      </c>
      <c r="E48" s="17"/>
      <c r="F48" s="17"/>
      <c r="G48" s="18"/>
      <c r="H48" s="12">
        <f>'ekim 4 hafta '!P48</f>
        <v>1</v>
      </c>
      <c r="I48" s="7" t="s">
        <v>2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4">
        <f t="shared" si="0"/>
        <v>1</v>
      </c>
      <c r="Q48" s="1" t="s">
        <v>14</v>
      </c>
    </row>
    <row r="49" spans="1:17" x14ac:dyDescent="0.25">
      <c r="A49" s="2">
        <v>46</v>
      </c>
      <c r="D49" s="9" t="s">
        <v>11</v>
      </c>
      <c r="E49" s="10"/>
      <c r="F49" s="10"/>
      <c r="G49" s="11"/>
      <c r="H49" s="12">
        <f>'ekim 4 hafta '!P49</f>
        <v>270</v>
      </c>
      <c r="I49" s="7" t="s">
        <v>1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4">
        <f t="shared" si="0"/>
        <v>270</v>
      </c>
      <c r="Q49" s="1" t="s">
        <v>14</v>
      </c>
    </row>
    <row r="50" spans="1:17" x14ac:dyDescent="0.25">
      <c r="A50" s="2">
        <v>47</v>
      </c>
      <c r="D50" s="16" t="s">
        <v>50</v>
      </c>
      <c r="E50" s="17"/>
      <c r="F50" s="17"/>
      <c r="G50" s="18"/>
      <c r="H50" s="12">
        <f>'ekim 4 hafta '!P50</f>
        <v>182</v>
      </c>
      <c r="I50" s="7" t="s">
        <v>2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4">
        <f t="shared" si="0"/>
        <v>182</v>
      </c>
      <c r="Q50" s="1" t="s">
        <v>14</v>
      </c>
    </row>
    <row r="51" spans="1:17" x14ac:dyDescent="0.25">
      <c r="A51" s="2">
        <v>48</v>
      </c>
      <c r="D51" s="9" t="s">
        <v>51</v>
      </c>
      <c r="E51" s="10"/>
      <c r="F51" s="10"/>
      <c r="G51" s="11"/>
      <c r="H51" s="12">
        <f>'ekim 4 hafta '!P51</f>
        <v>119</v>
      </c>
      <c r="I51" s="7" t="s">
        <v>2</v>
      </c>
      <c r="J51" s="3">
        <v>0</v>
      </c>
      <c r="K51" s="3">
        <v>0</v>
      </c>
      <c r="L51" s="3">
        <v>16</v>
      </c>
      <c r="M51" s="3">
        <v>0</v>
      </c>
      <c r="N51" s="3">
        <v>0</v>
      </c>
      <c r="O51" s="3">
        <v>0</v>
      </c>
      <c r="P51" s="4">
        <f t="shared" si="0"/>
        <v>103</v>
      </c>
      <c r="Q51" s="1" t="s">
        <v>14</v>
      </c>
    </row>
    <row r="52" spans="1:17" x14ac:dyDescent="0.25">
      <c r="A52" s="2">
        <v>49</v>
      </c>
      <c r="D52" s="16" t="s">
        <v>52</v>
      </c>
      <c r="E52" s="17"/>
      <c r="F52" s="17"/>
      <c r="G52" s="18"/>
      <c r="H52" s="12">
        <f>'ekim 4 hafta '!P52</f>
        <v>55</v>
      </c>
      <c r="I52" s="7" t="s">
        <v>2</v>
      </c>
      <c r="J52" s="3">
        <v>0</v>
      </c>
      <c r="K52" s="3">
        <v>0</v>
      </c>
      <c r="L52" s="3">
        <v>6</v>
      </c>
      <c r="M52" s="3">
        <v>0</v>
      </c>
      <c r="N52" s="3">
        <v>0</v>
      </c>
      <c r="O52" s="3">
        <v>0</v>
      </c>
      <c r="P52" s="4">
        <f t="shared" si="0"/>
        <v>49</v>
      </c>
      <c r="Q52" s="1" t="s">
        <v>14</v>
      </c>
    </row>
    <row r="53" spans="1:17" x14ac:dyDescent="0.25">
      <c r="A53" s="2">
        <v>50</v>
      </c>
      <c r="D53" s="9" t="s">
        <v>53</v>
      </c>
      <c r="E53" s="10"/>
      <c r="F53" s="10"/>
      <c r="G53" s="11"/>
      <c r="H53" s="12">
        <f>'ekim 4 hafta '!P53</f>
        <v>55</v>
      </c>
      <c r="I53" s="7" t="s">
        <v>2</v>
      </c>
      <c r="J53" s="3">
        <v>0</v>
      </c>
      <c r="K53" s="3">
        <v>0</v>
      </c>
      <c r="L53" s="3">
        <v>6</v>
      </c>
      <c r="M53" s="3">
        <v>0</v>
      </c>
      <c r="N53" s="3">
        <v>0</v>
      </c>
      <c r="O53" s="3">
        <v>0</v>
      </c>
      <c r="P53" s="4">
        <f t="shared" si="0"/>
        <v>49</v>
      </c>
      <c r="Q53" s="1" t="s">
        <v>14</v>
      </c>
    </row>
    <row r="54" spans="1:17" x14ac:dyDescent="0.25">
      <c r="A54" s="2">
        <v>51</v>
      </c>
      <c r="D54" s="16" t="s">
        <v>54</v>
      </c>
      <c r="E54" s="17"/>
      <c r="F54" s="17"/>
      <c r="G54" s="18"/>
      <c r="H54" s="12">
        <f>'ekim 4 hafta '!P54</f>
        <v>930</v>
      </c>
      <c r="I54" s="7" t="s">
        <v>1</v>
      </c>
      <c r="J54" s="3">
        <v>0</v>
      </c>
      <c r="K54" s="3">
        <v>0</v>
      </c>
      <c r="L54" s="3">
        <v>115</v>
      </c>
      <c r="M54" s="3">
        <v>0</v>
      </c>
      <c r="N54" s="3">
        <v>30</v>
      </c>
      <c r="O54" s="3">
        <v>15</v>
      </c>
      <c r="P54" s="4">
        <f t="shared" si="0"/>
        <v>770</v>
      </c>
      <c r="Q54" s="1" t="s">
        <v>68</v>
      </c>
    </row>
    <row r="55" spans="1:17" x14ac:dyDescent="0.25">
      <c r="A55" s="2">
        <v>52</v>
      </c>
      <c r="D55" s="9" t="s">
        <v>55</v>
      </c>
      <c r="E55" s="10"/>
      <c r="F55" s="10"/>
      <c r="G55" s="11"/>
      <c r="H55" s="12">
        <f>'ekim 4 hafta '!P55</f>
        <v>8000</v>
      </c>
      <c r="I55" s="7" t="s">
        <v>2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  <c r="P55" s="4">
        <f t="shared" si="0"/>
        <v>8000</v>
      </c>
      <c r="Q55" s="1" t="s">
        <v>14</v>
      </c>
    </row>
    <row r="56" spans="1:17" x14ac:dyDescent="0.25">
      <c r="A56" s="2">
        <v>53</v>
      </c>
      <c r="D56" s="16" t="s">
        <v>56</v>
      </c>
      <c r="E56" s="17"/>
      <c r="F56" s="17"/>
      <c r="G56" s="18"/>
      <c r="H56" s="12">
        <f>'ekim 4 hafta '!P56</f>
        <v>2000</v>
      </c>
      <c r="I56" s="7" t="s">
        <v>2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  <c r="P56" s="4">
        <f t="shared" si="0"/>
        <v>2000</v>
      </c>
      <c r="Q56" s="1" t="s">
        <v>14</v>
      </c>
    </row>
    <row r="57" spans="1:17" x14ac:dyDescent="0.25">
      <c r="A57" s="2">
        <v>54</v>
      </c>
      <c r="D57" s="9" t="s">
        <v>12</v>
      </c>
      <c r="E57" s="10"/>
      <c r="F57" s="10"/>
      <c r="G57" s="11"/>
      <c r="H57" s="12">
        <f>'ekim 4 hafta '!P57</f>
        <v>2800</v>
      </c>
      <c r="I57" s="7" t="s">
        <v>2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  <c r="P57" s="4">
        <f t="shared" si="0"/>
        <v>2800</v>
      </c>
      <c r="Q57" s="1" t="s">
        <v>14</v>
      </c>
    </row>
    <row r="58" spans="1:17" x14ac:dyDescent="0.25">
      <c r="A58" s="2">
        <v>55</v>
      </c>
      <c r="D58" s="16" t="s">
        <v>57</v>
      </c>
      <c r="E58" s="17"/>
      <c r="F58" s="17"/>
      <c r="G58" s="18"/>
      <c r="H58" s="12">
        <f>'ekim 4 hafta '!P58</f>
        <v>3000</v>
      </c>
      <c r="I58" s="7" t="s">
        <v>2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4">
        <f t="shared" si="0"/>
        <v>3000</v>
      </c>
      <c r="Q58" s="1" t="s">
        <v>14</v>
      </c>
    </row>
    <row r="59" spans="1:17" x14ac:dyDescent="0.25">
      <c r="A59" s="2">
        <v>56</v>
      </c>
      <c r="D59" s="9" t="s">
        <v>58</v>
      </c>
      <c r="E59" s="10"/>
      <c r="F59" s="10"/>
      <c r="G59" s="11"/>
      <c r="H59" s="12">
        <f>'ekim 4 hafta '!P59</f>
        <v>5000</v>
      </c>
      <c r="I59" s="7" t="s">
        <v>2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  <c r="P59" s="4">
        <f t="shared" si="0"/>
        <v>5000</v>
      </c>
      <c r="Q59" s="1" t="s">
        <v>14</v>
      </c>
    </row>
    <row r="60" spans="1:17" x14ac:dyDescent="0.25">
      <c r="A60" s="2">
        <v>57</v>
      </c>
      <c r="D60" s="16" t="s">
        <v>59</v>
      </c>
      <c r="E60" s="17"/>
      <c r="F60" s="17"/>
      <c r="G60" s="18"/>
      <c r="H60" s="12">
        <f>'ekim 4 hafta '!P60</f>
        <v>3000</v>
      </c>
      <c r="I60" s="7" t="s">
        <v>2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4">
        <f t="shared" si="0"/>
        <v>3000</v>
      </c>
      <c r="Q60" s="1" t="s">
        <v>14</v>
      </c>
    </row>
    <row r="61" spans="1:17" x14ac:dyDescent="0.25">
      <c r="A61" s="2">
        <v>58</v>
      </c>
      <c r="D61" s="9" t="s">
        <v>60</v>
      </c>
      <c r="E61" s="10"/>
      <c r="F61" s="10"/>
      <c r="G61" s="11"/>
      <c r="H61" s="12">
        <f>'ekim 4 hafta '!P61</f>
        <v>5000</v>
      </c>
      <c r="I61" s="7" t="s">
        <v>2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4">
        <f t="shared" si="0"/>
        <v>5000</v>
      </c>
      <c r="Q61" s="1" t="s">
        <v>14</v>
      </c>
    </row>
    <row r="62" spans="1:17" x14ac:dyDescent="0.25">
      <c r="A62" s="2">
        <v>59</v>
      </c>
      <c r="D62" s="16" t="s">
        <v>61</v>
      </c>
      <c r="E62" s="17"/>
      <c r="F62" s="17"/>
      <c r="G62" s="18"/>
      <c r="H62" s="12">
        <f>'ekim 4 hafta '!P62</f>
        <v>494</v>
      </c>
      <c r="I62" s="7" t="s">
        <v>2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4">
        <f t="shared" si="0"/>
        <v>494</v>
      </c>
      <c r="Q62" s="1" t="s">
        <v>14</v>
      </c>
    </row>
    <row r="63" spans="1:17" x14ac:dyDescent="0.25">
      <c r="A63" s="2">
        <v>60</v>
      </c>
      <c r="D63" s="9" t="s">
        <v>62</v>
      </c>
      <c r="E63" s="10"/>
      <c r="F63" s="10"/>
      <c r="G63" s="11"/>
      <c r="H63" s="12">
        <f>'ekim 4 hafta '!P63</f>
        <v>284</v>
      </c>
      <c r="I63" s="7" t="s">
        <v>2</v>
      </c>
      <c r="J63" s="3">
        <v>600</v>
      </c>
      <c r="K63" s="3">
        <v>0</v>
      </c>
      <c r="L63" s="3">
        <v>0</v>
      </c>
      <c r="M63" s="3">
        <v>0</v>
      </c>
      <c r="N63" s="3">
        <v>100</v>
      </c>
      <c r="O63" s="3">
        <v>100</v>
      </c>
      <c r="P63" s="4">
        <f t="shared" si="0"/>
        <v>684</v>
      </c>
      <c r="Q63" s="1" t="s">
        <v>14</v>
      </c>
    </row>
    <row r="64" spans="1:17" x14ac:dyDescent="0.25">
      <c r="A64" s="2">
        <v>61</v>
      </c>
      <c r="D64" s="16" t="s">
        <v>13</v>
      </c>
      <c r="E64" s="17"/>
      <c r="F64" s="17"/>
      <c r="G64" s="18"/>
      <c r="H64" s="12">
        <f>'ekim 4 hafta '!P64</f>
        <v>447</v>
      </c>
      <c r="I64" s="7" t="s">
        <v>2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4">
        <f t="shared" si="0"/>
        <v>447</v>
      </c>
      <c r="Q64" s="1" t="s">
        <v>14</v>
      </c>
    </row>
    <row r="65" spans="1:17" x14ac:dyDescent="0.25">
      <c r="A65" s="2">
        <v>62</v>
      </c>
      <c r="D65" s="9" t="s">
        <v>72</v>
      </c>
      <c r="E65" s="10"/>
      <c r="F65" s="10"/>
      <c r="G65" s="11"/>
      <c r="H65" s="12">
        <f>'ekim 4 hafta '!P65</f>
        <v>315</v>
      </c>
      <c r="I65" s="7" t="s">
        <v>2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4">
        <f t="shared" si="0"/>
        <v>315</v>
      </c>
      <c r="Q65" s="1" t="s">
        <v>14</v>
      </c>
    </row>
    <row r="66" spans="1:17" x14ac:dyDescent="0.25">
      <c r="A66" s="2">
        <v>63</v>
      </c>
      <c r="D66" s="16" t="s">
        <v>63</v>
      </c>
      <c r="E66" s="17"/>
      <c r="F66" s="17"/>
      <c r="G66" s="18"/>
      <c r="H66" s="12">
        <f>'ekim 4 hafta '!P66</f>
        <v>350</v>
      </c>
      <c r="I66" s="7" t="s">
        <v>2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  <c r="P66" s="4">
        <f t="shared" si="0"/>
        <v>350</v>
      </c>
      <c r="Q66" s="1" t="s">
        <v>14</v>
      </c>
    </row>
    <row r="67" spans="1:17" x14ac:dyDescent="0.25">
      <c r="A67" s="2">
        <v>64</v>
      </c>
      <c r="D67" s="9" t="s">
        <v>77</v>
      </c>
      <c r="E67" s="10"/>
      <c r="F67" s="10"/>
      <c r="G67" s="11"/>
      <c r="H67" s="12">
        <f>'ekim 4 hafta '!P67</f>
        <v>1382</v>
      </c>
      <c r="I67" s="7" t="s">
        <v>2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  <c r="P67" s="4">
        <f t="shared" si="0"/>
        <v>1382</v>
      </c>
      <c r="Q67" s="1" t="s">
        <v>14</v>
      </c>
    </row>
    <row r="68" spans="1:17" x14ac:dyDescent="0.25">
      <c r="A68" s="2">
        <v>65</v>
      </c>
      <c r="D68" s="16" t="s">
        <v>87</v>
      </c>
      <c r="E68" s="17"/>
      <c r="F68" s="17"/>
      <c r="G68" s="18"/>
      <c r="H68" s="12">
        <f>'ekim 4 hafta '!P68</f>
        <v>515</v>
      </c>
      <c r="I68" s="7" t="s">
        <v>2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4">
        <f t="shared" ref="P68:P83" si="1">+H68+J68-K68-L68-M68-N68-O68</f>
        <v>515</v>
      </c>
      <c r="Q68" s="1" t="s">
        <v>14</v>
      </c>
    </row>
    <row r="69" spans="1:17" x14ac:dyDescent="0.25">
      <c r="A69" s="2">
        <v>66</v>
      </c>
      <c r="D69" s="9" t="s">
        <v>64</v>
      </c>
      <c r="E69" s="10"/>
      <c r="F69" s="10"/>
      <c r="G69" s="11"/>
      <c r="H69" s="12">
        <f>'ekim 4 hafta '!P69</f>
        <v>328</v>
      </c>
      <c r="I69" s="7" t="s">
        <v>2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4">
        <f t="shared" si="1"/>
        <v>328</v>
      </c>
      <c r="Q69" s="1" t="s">
        <v>14</v>
      </c>
    </row>
    <row r="70" spans="1:17" x14ac:dyDescent="0.25">
      <c r="A70" s="2">
        <v>67</v>
      </c>
      <c r="D70" s="16" t="s">
        <v>65</v>
      </c>
      <c r="E70" s="17"/>
      <c r="F70" s="17"/>
      <c r="G70" s="18"/>
      <c r="H70" s="12">
        <f>'ekim 4 hafta '!P70</f>
        <v>95</v>
      </c>
      <c r="I70" s="7" t="s">
        <v>2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4">
        <f t="shared" si="1"/>
        <v>95</v>
      </c>
      <c r="Q70" s="1" t="s">
        <v>14</v>
      </c>
    </row>
    <row r="71" spans="1:17" x14ac:dyDescent="0.25">
      <c r="A71" s="2">
        <v>68</v>
      </c>
      <c r="D71" s="9" t="s">
        <v>66</v>
      </c>
      <c r="E71" s="10"/>
      <c r="F71" s="10"/>
      <c r="G71" s="11"/>
      <c r="H71" s="12">
        <f>'ekim 4 hafta '!P71</f>
        <v>500</v>
      </c>
      <c r="I71" s="7" t="s">
        <v>2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4">
        <f t="shared" si="1"/>
        <v>500</v>
      </c>
      <c r="Q71" s="1" t="s">
        <v>14</v>
      </c>
    </row>
    <row r="72" spans="1:17" x14ac:dyDescent="0.25">
      <c r="A72" s="2">
        <v>69</v>
      </c>
      <c r="D72" s="19" t="s">
        <v>86</v>
      </c>
      <c r="E72" s="20"/>
      <c r="F72" s="20"/>
      <c r="G72" s="21"/>
      <c r="H72" s="12">
        <f>'ekim 4 hafta '!P72</f>
        <v>0</v>
      </c>
      <c r="I72" s="7" t="s">
        <v>2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  <c r="P72" s="4">
        <f t="shared" si="1"/>
        <v>0</v>
      </c>
      <c r="Q72" s="1" t="s">
        <v>14</v>
      </c>
    </row>
    <row r="73" spans="1:17" x14ac:dyDescent="0.25">
      <c r="A73" s="2">
        <v>70</v>
      </c>
      <c r="D73" s="22" t="s">
        <v>74</v>
      </c>
      <c r="E73" s="10"/>
      <c r="F73" s="10"/>
      <c r="G73" s="11"/>
      <c r="H73" s="12">
        <f>'ekim 4 hafta '!P73</f>
        <v>64</v>
      </c>
      <c r="I73" s="8" t="s">
        <v>75</v>
      </c>
      <c r="J73" s="3">
        <v>0</v>
      </c>
      <c r="K73" s="3">
        <v>32</v>
      </c>
      <c r="L73" s="3">
        <v>0</v>
      </c>
      <c r="M73" s="3">
        <v>0</v>
      </c>
      <c r="N73" s="3">
        <v>0</v>
      </c>
      <c r="O73" s="3">
        <v>0</v>
      </c>
      <c r="P73" s="4">
        <f t="shared" si="1"/>
        <v>32</v>
      </c>
      <c r="Q73" s="1" t="s">
        <v>91</v>
      </c>
    </row>
    <row r="74" spans="1:17" x14ac:dyDescent="0.25">
      <c r="A74" s="2">
        <v>71</v>
      </c>
      <c r="C74" s="1" t="s">
        <v>14</v>
      </c>
      <c r="D74" s="22" t="s">
        <v>76</v>
      </c>
      <c r="E74" s="10"/>
      <c r="F74" s="10"/>
      <c r="G74" s="11"/>
      <c r="H74" s="12">
        <f>'ekim 4 hafta '!P74</f>
        <v>152</v>
      </c>
      <c r="I74" s="8" t="s">
        <v>2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4">
        <f t="shared" si="1"/>
        <v>152</v>
      </c>
      <c r="Q74" s="1" t="s">
        <v>14</v>
      </c>
    </row>
    <row r="75" spans="1:17" x14ac:dyDescent="0.25">
      <c r="A75" s="2">
        <v>72</v>
      </c>
      <c r="D75" s="25" t="s">
        <v>78</v>
      </c>
      <c r="H75" s="12">
        <f>'ekim 4 hafta '!P75</f>
        <v>67</v>
      </c>
      <c r="I75" s="30" t="s">
        <v>2</v>
      </c>
      <c r="J75" s="3">
        <v>0</v>
      </c>
      <c r="K75" s="3">
        <v>0</v>
      </c>
      <c r="L75" s="3">
        <v>35</v>
      </c>
      <c r="M75" s="3">
        <v>0</v>
      </c>
      <c r="N75" s="3">
        <v>0</v>
      </c>
      <c r="O75" s="3">
        <v>0</v>
      </c>
      <c r="P75" s="4">
        <f t="shared" si="1"/>
        <v>32</v>
      </c>
      <c r="Q75" s="1" t="s">
        <v>14</v>
      </c>
    </row>
    <row r="76" spans="1:17" x14ac:dyDescent="0.25">
      <c r="A76" s="2">
        <v>73</v>
      </c>
      <c r="D76" s="26" t="s">
        <v>80</v>
      </c>
      <c r="E76" s="27"/>
      <c r="F76" s="27"/>
      <c r="G76" s="28"/>
      <c r="H76" s="12">
        <f>'ekim 4 hafta '!P76</f>
        <v>37</v>
      </c>
      <c r="I76" s="8" t="s">
        <v>2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  <c r="P76" s="4">
        <f t="shared" si="1"/>
        <v>37</v>
      </c>
      <c r="Q76" s="1" t="s">
        <v>14</v>
      </c>
    </row>
    <row r="77" spans="1:17" x14ac:dyDescent="0.25">
      <c r="A77" s="2">
        <v>74</v>
      </c>
      <c r="D77" s="26" t="s">
        <v>84</v>
      </c>
      <c r="E77" s="27"/>
      <c r="F77" s="27"/>
      <c r="G77" s="28"/>
      <c r="H77" s="12">
        <f>'ekim 4 hafta '!P77</f>
        <v>50</v>
      </c>
      <c r="I77" s="8" t="s">
        <v>2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4">
        <f t="shared" si="1"/>
        <v>50</v>
      </c>
      <c r="Q77" s="1" t="s">
        <v>14</v>
      </c>
    </row>
    <row r="78" spans="1:17" x14ac:dyDescent="0.25">
      <c r="A78" s="2">
        <v>75</v>
      </c>
      <c r="D78" s="26" t="s">
        <v>85</v>
      </c>
      <c r="E78" s="27"/>
      <c r="F78" s="27"/>
      <c r="G78" s="28"/>
      <c r="H78" s="12">
        <f>'ekim 4 hafta '!P78</f>
        <v>0</v>
      </c>
      <c r="I78" s="8" t="s">
        <v>2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  <c r="P78" s="4">
        <f t="shared" si="1"/>
        <v>0</v>
      </c>
    </row>
    <row r="79" spans="1:17" x14ac:dyDescent="0.25">
      <c r="A79" s="2">
        <v>76</v>
      </c>
      <c r="D79" s="37" t="s">
        <v>99</v>
      </c>
      <c r="E79" s="17"/>
      <c r="F79" s="33"/>
      <c r="G79" s="33"/>
      <c r="H79" s="12">
        <f>'ekim 4 hafta '!P79</f>
        <v>396</v>
      </c>
      <c r="I79" s="8" t="s">
        <v>75</v>
      </c>
      <c r="J79" s="3">
        <v>0</v>
      </c>
      <c r="K79" s="3">
        <v>0</v>
      </c>
      <c r="L79" s="3">
        <v>100</v>
      </c>
      <c r="M79" s="3">
        <v>0</v>
      </c>
      <c r="N79" s="3">
        <v>0</v>
      </c>
      <c r="O79" s="3">
        <v>0</v>
      </c>
      <c r="P79" s="4">
        <f t="shared" si="1"/>
        <v>296</v>
      </c>
      <c r="Q79" s="1" t="s">
        <v>14</v>
      </c>
    </row>
    <row r="80" spans="1:17" x14ac:dyDescent="0.25">
      <c r="A80" s="2">
        <v>77</v>
      </c>
      <c r="D80" s="22" t="s">
        <v>100</v>
      </c>
      <c r="E80" s="10"/>
      <c r="F80" s="10"/>
      <c r="G80" s="28"/>
      <c r="H80" s="12">
        <f>'ekim 4 hafta '!P80</f>
        <v>40</v>
      </c>
      <c r="I80" s="8" t="s">
        <v>2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  <c r="P80" s="4">
        <f t="shared" si="1"/>
        <v>40</v>
      </c>
    </row>
    <row r="81" spans="1:16" x14ac:dyDescent="0.25">
      <c r="A81" s="2">
        <v>78</v>
      </c>
      <c r="D81" s="37" t="s">
        <v>102</v>
      </c>
      <c r="E81" s="17"/>
      <c r="F81" s="17"/>
      <c r="G81" s="33"/>
      <c r="H81" s="12">
        <v>130</v>
      </c>
      <c r="I81" s="8" t="s">
        <v>2</v>
      </c>
      <c r="J81" s="3">
        <v>0</v>
      </c>
      <c r="K81" s="3">
        <v>16</v>
      </c>
      <c r="L81" s="3">
        <v>0</v>
      </c>
      <c r="M81" s="3">
        <v>0</v>
      </c>
      <c r="N81" s="3">
        <v>0</v>
      </c>
      <c r="O81" s="3">
        <v>0</v>
      </c>
      <c r="P81" s="4">
        <f t="shared" si="1"/>
        <v>114</v>
      </c>
    </row>
    <row r="82" spans="1:16" x14ac:dyDescent="0.25">
      <c r="A82" s="2">
        <v>79</v>
      </c>
      <c r="D82" s="22" t="s">
        <v>103</v>
      </c>
      <c r="E82" s="10"/>
      <c r="F82" s="10"/>
      <c r="G82" s="28"/>
      <c r="H82" s="12">
        <f>'ekim 4 hafta '!P82</f>
        <v>520</v>
      </c>
      <c r="I82" s="8" t="s">
        <v>2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  <c r="P82" s="4">
        <f t="shared" si="1"/>
        <v>520</v>
      </c>
    </row>
    <row r="83" spans="1:16" x14ac:dyDescent="0.25">
      <c r="A83" s="2">
        <v>80</v>
      </c>
      <c r="D83" s="34"/>
      <c r="E83" s="35"/>
      <c r="F83" s="35"/>
      <c r="G83" s="35"/>
      <c r="H83" s="12">
        <f>'ekim 4 hafta '!P83</f>
        <v>0</v>
      </c>
      <c r="I83" s="8"/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4">
        <f t="shared" si="1"/>
        <v>0</v>
      </c>
    </row>
  </sheetData>
  <pageMargins left="0.75" right="0.75" top="1" bottom="1" header="0.5" footer="0.5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T83"/>
  <sheetViews>
    <sheetView topLeftCell="A67" workbookViewId="0">
      <selection activeCell="R3" sqref="R3:T83"/>
    </sheetView>
  </sheetViews>
  <sheetFormatPr defaultRowHeight="15" x14ac:dyDescent="0.25"/>
  <cols>
    <col min="1" max="1" width="5.5703125" customWidth="1"/>
    <col min="2" max="3" width="9.140625" hidden="1" customWidth="1"/>
    <col min="11" max="15" width="10.140625" bestFit="1" customWidth="1"/>
    <col min="17" max="17" width="3.7109375" customWidth="1"/>
    <col min="19" max="19" width="10.85546875" customWidth="1"/>
  </cols>
  <sheetData>
    <row r="1" spans="1:20" x14ac:dyDescent="0.25">
      <c r="G1" s="1"/>
      <c r="P1">
        <f>+H1+J1-K1-L1-M1-N1-O1</f>
        <v>0</v>
      </c>
    </row>
    <row r="2" spans="1:20" x14ac:dyDescent="0.25">
      <c r="A2" t="s">
        <v>14</v>
      </c>
      <c r="O2" s="38">
        <v>44837</v>
      </c>
    </row>
    <row r="3" spans="1:20" x14ac:dyDescent="0.25">
      <c r="A3" s="12" t="s">
        <v>15</v>
      </c>
      <c r="B3" s="41"/>
      <c r="C3" s="41"/>
      <c r="D3" s="9" t="s">
        <v>17</v>
      </c>
      <c r="E3" s="10"/>
      <c r="F3" s="10"/>
      <c r="G3" s="11"/>
      <c r="H3" s="12" t="s">
        <v>18</v>
      </c>
      <c r="I3" s="23" t="s">
        <v>19</v>
      </c>
      <c r="J3" s="12" t="s">
        <v>20</v>
      </c>
      <c r="K3" s="39">
        <v>44872</v>
      </c>
      <c r="L3" s="40">
        <v>44873</v>
      </c>
      <c r="M3" s="39">
        <v>44874</v>
      </c>
      <c r="N3" s="39">
        <v>44875</v>
      </c>
      <c r="O3" s="40">
        <v>44876</v>
      </c>
      <c r="P3" s="12" t="s">
        <v>21</v>
      </c>
      <c r="Q3" s="41"/>
      <c r="R3" s="42" t="s">
        <v>105</v>
      </c>
      <c r="S3" s="45" t="s">
        <v>104</v>
      </c>
    </row>
    <row r="4" spans="1:20" x14ac:dyDescent="0.25">
      <c r="A4" s="7">
        <v>1</v>
      </c>
      <c r="D4" s="13" t="s">
        <v>107</v>
      </c>
      <c r="E4" s="14"/>
      <c r="F4" s="14"/>
      <c r="G4" s="15"/>
      <c r="H4" s="12">
        <f>'KASIM 1 HAFTA'!P4</f>
        <v>198</v>
      </c>
      <c r="I4" s="7" t="s">
        <v>1</v>
      </c>
      <c r="J4" s="3">
        <v>0</v>
      </c>
      <c r="K4" s="3">
        <v>0</v>
      </c>
      <c r="L4" s="3">
        <v>0</v>
      </c>
      <c r="M4" s="3">
        <v>0</v>
      </c>
      <c r="N4" s="3">
        <v>17</v>
      </c>
      <c r="O4" s="3">
        <v>0</v>
      </c>
      <c r="P4" s="4">
        <f t="shared" ref="P4:P67" si="0">+H4+J4-K4-L4-M4-N4-O4</f>
        <v>181</v>
      </c>
      <c r="Q4" t="s">
        <v>75</v>
      </c>
      <c r="R4" s="43">
        <v>100</v>
      </c>
      <c r="S4" s="46">
        <v>500</v>
      </c>
      <c r="T4" t="s">
        <v>75</v>
      </c>
    </row>
    <row r="5" spans="1:20" x14ac:dyDescent="0.25">
      <c r="A5" s="7">
        <v>2</v>
      </c>
      <c r="D5" s="9" t="s">
        <v>22</v>
      </c>
      <c r="E5" s="10"/>
      <c r="F5" s="10"/>
      <c r="G5" s="11"/>
      <c r="H5" s="12">
        <f>'KASIM 1 HAFTA'!P5</f>
        <v>30</v>
      </c>
      <c r="I5" s="7" t="s">
        <v>2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2</v>
      </c>
      <c r="P5" s="4">
        <f t="shared" si="0"/>
        <v>28</v>
      </c>
      <c r="Q5" s="1" t="s">
        <v>14</v>
      </c>
      <c r="R5" s="44">
        <v>6</v>
      </c>
      <c r="S5" s="47">
        <v>10</v>
      </c>
    </row>
    <row r="6" spans="1:20" x14ac:dyDescent="0.25">
      <c r="A6" s="7">
        <v>3</v>
      </c>
      <c r="D6" s="16" t="s">
        <v>23</v>
      </c>
      <c r="E6" s="17"/>
      <c r="F6" s="17"/>
      <c r="G6" s="18"/>
      <c r="H6" s="12">
        <f>'KASIM 1 HAFTA'!P6</f>
        <v>40</v>
      </c>
      <c r="I6" s="7" t="s">
        <v>2</v>
      </c>
      <c r="J6" s="3">
        <v>0</v>
      </c>
      <c r="K6" s="3">
        <v>0</v>
      </c>
      <c r="L6" s="3">
        <v>2</v>
      </c>
      <c r="M6" s="3">
        <v>0</v>
      </c>
      <c r="N6" s="3">
        <v>0</v>
      </c>
      <c r="O6" s="3">
        <v>0</v>
      </c>
      <c r="P6" s="4">
        <f t="shared" si="0"/>
        <v>38</v>
      </c>
      <c r="Q6" s="1" t="s">
        <v>14</v>
      </c>
      <c r="R6" s="44">
        <v>6</v>
      </c>
      <c r="S6" s="47">
        <v>10</v>
      </c>
    </row>
    <row r="7" spans="1:20" x14ac:dyDescent="0.25">
      <c r="A7" s="7">
        <v>4</v>
      </c>
      <c r="D7" s="9" t="s">
        <v>3</v>
      </c>
      <c r="E7" s="10"/>
      <c r="F7" s="10"/>
      <c r="G7" s="11"/>
      <c r="H7" s="12">
        <f>'KASIM 1 HAFTA'!P7</f>
        <v>58</v>
      </c>
      <c r="I7" s="7" t="s">
        <v>2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4">
        <f t="shared" si="0"/>
        <v>58</v>
      </c>
      <c r="Q7" s="1" t="s">
        <v>14</v>
      </c>
      <c r="R7" s="44">
        <v>6</v>
      </c>
      <c r="S7" s="47">
        <v>10</v>
      </c>
    </row>
    <row r="8" spans="1:20" x14ac:dyDescent="0.25">
      <c r="A8" s="7">
        <v>5</v>
      </c>
      <c r="D8" s="16" t="s">
        <v>4</v>
      </c>
      <c r="E8" s="17"/>
      <c r="F8" s="17"/>
      <c r="G8" s="18"/>
      <c r="H8" s="12">
        <f>'KASIM 1 HAFTA'!P8</f>
        <v>214</v>
      </c>
      <c r="I8" s="7" t="s">
        <v>2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4">
        <f t="shared" si="0"/>
        <v>214</v>
      </c>
      <c r="Q8" s="1" t="s">
        <v>14</v>
      </c>
      <c r="R8" s="44">
        <v>100</v>
      </c>
      <c r="S8" s="47">
        <v>400</v>
      </c>
    </row>
    <row r="9" spans="1:20" x14ac:dyDescent="0.25">
      <c r="A9" s="7">
        <v>6</v>
      </c>
      <c r="D9" s="9" t="s">
        <v>24</v>
      </c>
      <c r="E9" s="10"/>
      <c r="F9" s="10"/>
      <c r="G9" s="11"/>
      <c r="H9" s="12">
        <f>'KASIM 1 HAFTA'!P9</f>
        <v>10</v>
      </c>
      <c r="I9" s="7" t="s">
        <v>2</v>
      </c>
      <c r="J9" s="3">
        <v>0</v>
      </c>
      <c r="K9" s="3">
        <v>0</v>
      </c>
      <c r="L9" s="3">
        <v>10</v>
      </c>
      <c r="M9" s="3">
        <v>0</v>
      </c>
      <c r="N9" s="3">
        <v>0</v>
      </c>
      <c r="O9" s="3">
        <v>0</v>
      </c>
      <c r="P9" s="4">
        <f t="shared" si="0"/>
        <v>0</v>
      </c>
      <c r="Q9" s="1" t="s">
        <v>14</v>
      </c>
      <c r="R9" s="44">
        <v>60</v>
      </c>
      <c r="S9" s="47">
        <v>200</v>
      </c>
    </row>
    <row r="10" spans="1:20" x14ac:dyDescent="0.25">
      <c r="A10" s="7">
        <v>7</v>
      </c>
      <c r="D10" s="16" t="s">
        <v>101</v>
      </c>
      <c r="E10" s="17"/>
      <c r="F10" s="17"/>
      <c r="G10" s="18"/>
      <c r="H10" s="12">
        <f>'KASIM 1 HAFTA'!P10</f>
        <v>2151</v>
      </c>
      <c r="I10" s="7" t="s">
        <v>2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20</v>
      </c>
      <c r="P10" s="4">
        <f t="shared" si="0"/>
        <v>2131</v>
      </c>
      <c r="Q10" s="1" t="s">
        <v>14</v>
      </c>
      <c r="R10" s="44">
        <v>200</v>
      </c>
      <c r="S10" s="47">
        <v>500</v>
      </c>
    </row>
    <row r="11" spans="1:20" x14ac:dyDescent="0.25">
      <c r="A11" s="7">
        <v>8</v>
      </c>
      <c r="D11" s="9" t="s">
        <v>25</v>
      </c>
      <c r="E11" s="10"/>
      <c r="F11" s="10"/>
      <c r="G11" s="11"/>
      <c r="H11" s="12">
        <f>'KASIM 1 HAFTA'!P11</f>
        <v>496</v>
      </c>
      <c r="I11" s="7" t="s">
        <v>2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4">
        <f t="shared" si="0"/>
        <v>496</v>
      </c>
      <c r="Q11" s="1" t="s">
        <v>14</v>
      </c>
      <c r="R11" s="44">
        <v>0</v>
      </c>
      <c r="S11" s="47">
        <v>0</v>
      </c>
    </row>
    <row r="12" spans="1:20" x14ac:dyDescent="0.25">
      <c r="A12" s="7">
        <v>9</v>
      </c>
      <c r="D12" s="16" t="s">
        <v>26</v>
      </c>
      <c r="E12" s="17"/>
      <c r="F12" s="17"/>
      <c r="G12" s="18"/>
      <c r="H12" s="12">
        <f>'KASIM 1 HAFTA'!P12</f>
        <v>60</v>
      </c>
      <c r="I12" s="7" t="s">
        <v>2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4">
        <f t="shared" si="0"/>
        <v>60</v>
      </c>
      <c r="Q12" s="1" t="s">
        <v>14</v>
      </c>
      <c r="R12" s="44">
        <v>200</v>
      </c>
      <c r="S12" s="47">
        <v>400</v>
      </c>
    </row>
    <row r="13" spans="1:20" x14ac:dyDescent="0.25">
      <c r="A13" s="7">
        <v>10</v>
      </c>
      <c r="D13" s="9" t="s">
        <v>6</v>
      </c>
      <c r="E13" s="10"/>
      <c r="F13" s="10"/>
      <c r="G13" s="11"/>
      <c r="H13" s="12">
        <f>'KASIM 1 HAFTA'!P13</f>
        <v>42</v>
      </c>
      <c r="I13" s="7" t="s">
        <v>2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4">
        <f t="shared" si="0"/>
        <v>42</v>
      </c>
      <c r="Q13" s="1" t="s">
        <v>14</v>
      </c>
      <c r="R13" s="44">
        <v>0</v>
      </c>
      <c r="S13" s="46"/>
    </row>
    <row r="14" spans="1:20" x14ac:dyDescent="0.25">
      <c r="A14" s="7">
        <v>11</v>
      </c>
      <c r="D14" s="16" t="s">
        <v>7</v>
      </c>
      <c r="E14" s="17"/>
      <c r="F14" s="17"/>
      <c r="G14" s="18"/>
      <c r="H14" s="12">
        <f>'KASIM 1 HAFTA'!P14</f>
        <v>14</v>
      </c>
      <c r="I14" s="7" t="s">
        <v>2</v>
      </c>
      <c r="J14" s="3">
        <v>0</v>
      </c>
      <c r="K14" s="3">
        <v>0</v>
      </c>
      <c r="L14" s="3">
        <v>0</v>
      </c>
      <c r="M14" s="3">
        <v>0</v>
      </c>
      <c r="N14" s="3">
        <v>8</v>
      </c>
      <c r="O14" s="3">
        <v>0</v>
      </c>
      <c r="P14" s="4">
        <f t="shared" si="0"/>
        <v>6</v>
      </c>
      <c r="Q14" s="1" t="s">
        <v>14</v>
      </c>
      <c r="R14" s="44">
        <v>20</v>
      </c>
      <c r="S14" s="47">
        <v>50</v>
      </c>
    </row>
    <row r="15" spans="1:20" x14ac:dyDescent="0.25">
      <c r="A15" s="7">
        <v>12</v>
      </c>
      <c r="D15" s="9" t="s">
        <v>69</v>
      </c>
      <c r="E15" s="10"/>
      <c r="F15" s="10"/>
      <c r="G15" s="11"/>
      <c r="H15" s="12">
        <f>'KASIM 1 HAFTA'!P15</f>
        <v>26</v>
      </c>
      <c r="I15" s="7" t="s">
        <v>2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4">
        <f t="shared" si="0"/>
        <v>26</v>
      </c>
      <c r="Q15" s="1" t="s">
        <v>14</v>
      </c>
      <c r="R15" s="44">
        <v>100</v>
      </c>
      <c r="S15" s="47">
        <v>200</v>
      </c>
    </row>
    <row r="16" spans="1:20" x14ac:dyDescent="0.25">
      <c r="A16" s="7">
        <v>13</v>
      </c>
      <c r="D16" s="16" t="s">
        <v>27</v>
      </c>
      <c r="E16" s="17"/>
      <c r="F16" s="17"/>
      <c r="G16" s="18"/>
      <c r="H16" s="12">
        <f>'KASIM 1 HAFTA'!P16</f>
        <v>90</v>
      </c>
      <c r="I16" s="7" t="s">
        <v>2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4">
        <f t="shared" si="0"/>
        <v>90</v>
      </c>
      <c r="Q16" s="1" t="s">
        <v>14</v>
      </c>
      <c r="R16" s="44">
        <v>0</v>
      </c>
      <c r="S16" s="46"/>
    </row>
    <row r="17" spans="1:19" x14ac:dyDescent="0.25">
      <c r="A17" s="7">
        <v>14</v>
      </c>
      <c r="D17" s="9" t="s">
        <v>73</v>
      </c>
      <c r="E17" s="10"/>
      <c r="F17" s="10"/>
      <c r="G17" s="11"/>
      <c r="H17" s="12">
        <f>'KASIM 1 HAFTA'!P17</f>
        <v>800</v>
      </c>
      <c r="I17" s="7" t="s">
        <v>2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4">
        <f t="shared" si="0"/>
        <v>800</v>
      </c>
      <c r="Q17" s="1" t="s">
        <v>14</v>
      </c>
      <c r="R17" s="44">
        <v>0</v>
      </c>
      <c r="S17" s="46"/>
    </row>
    <row r="18" spans="1:19" x14ac:dyDescent="0.25">
      <c r="A18" s="7">
        <v>15</v>
      </c>
      <c r="D18" s="16" t="s">
        <v>28</v>
      </c>
      <c r="E18" s="17"/>
      <c r="F18" s="17"/>
      <c r="G18" s="18"/>
      <c r="H18" s="12">
        <v>28</v>
      </c>
      <c r="I18" s="7" t="s">
        <v>2</v>
      </c>
      <c r="J18" s="3">
        <v>0</v>
      </c>
      <c r="K18" s="3">
        <v>3</v>
      </c>
      <c r="L18" s="3">
        <v>0</v>
      </c>
      <c r="M18" s="3">
        <v>0</v>
      </c>
      <c r="N18" s="3">
        <v>0</v>
      </c>
      <c r="O18" s="3">
        <v>8</v>
      </c>
      <c r="P18" s="4">
        <f t="shared" si="0"/>
        <v>17</v>
      </c>
      <c r="Q18" s="1" t="s">
        <v>14</v>
      </c>
      <c r="R18" s="44">
        <v>20</v>
      </c>
      <c r="S18" s="47">
        <v>50</v>
      </c>
    </row>
    <row r="19" spans="1:19" x14ac:dyDescent="0.25">
      <c r="A19" s="7">
        <v>16</v>
      </c>
      <c r="D19" s="9" t="s">
        <v>29</v>
      </c>
      <c r="E19" s="10"/>
      <c r="F19" s="10"/>
      <c r="G19" s="11"/>
      <c r="H19" s="12">
        <v>28</v>
      </c>
      <c r="I19" s="7" t="s">
        <v>2</v>
      </c>
      <c r="J19" s="3">
        <v>0</v>
      </c>
      <c r="K19" s="3">
        <v>3</v>
      </c>
      <c r="L19" s="3">
        <v>0</v>
      </c>
      <c r="M19" s="3">
        <v>0</v>
      </c>
      <c r="N19" s="3">
        <v>0</v>
      </c>
      <c r="O19" s="3">
        <v>8</v>
      </c>
      <c r="P19" s="4">
        <f t="shared" si="0"/>
        <v>17</v>
      </c>
      <c r="Q19" s="1" t="s">
        <v>14</v>
      </c>
      <c r="R19" s="44">
        <v>20</v>
      </c>
      <c r="S19" s="47">
        <v>50</v>
      </c>
    </row>
    <row r="20" spans="1:19" x14ac:dyDescent="0.25">
      <c r="A20" s="7">
        <v>17</v>
      </c>
      <c r="D20" s="16" t="s">
        <v>30</v>
      </c>
      <c r="E20" s="17"/>
      <c r="F20" s="17"/>
      <c r="G20" s="18"/>
      <c r="H20" s="12">
        <v>60</v>
      </c>
      <c r="I20" s="7" t="s">
        <v>2</v>
      </c>
      <c r="J20" s="3">
        <v>0</v>
      </c>
      <c r="K20" s="3">
        <v>3</v>
      </c>
      <c r="L20" s="3">
        <v>0</v>
      </c>
      <c r="M20" s="3">
        <v>0</v>
      </c>
      <c r="N20" s="3">
        <v>0</v>
      </c>
      <c r="O20" s="3">
        <v>8</v>
      </c>
      <c r="P20" s="4">
        <f t="shared" si="0"/>
        <v>49</v>
      </c>
      <c r="Q20" s="1" t="s">
        <v>14</v>
      </c>
      <c r="R20" s="44">
        <v>20</v>
      </c>
      <c r="S20" s="47">
        <v>50</v>
      </c>
    </row>
    <row r="21" spans="1:19" x14ac:dyDescent="0.25">
      <c r="A21" s="7">
        <v>18</v>
      </c>
      <c r="D21" s="9" t="s">
        <v>31</v>
      </c>
      <c r="E21" s="10"/>
      <c r="F21" s="10"/>
      <c r="G21" s="11"/>
      <c r="H21" s="12">
        <f>'KASIM 1 HAFTA'!P21</f>
        <v>33</v>
      </c>
      <c r="I21" s="7" t="s">
        <v>2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4">
        <f t="shared" si="0"/>
        <v>33</v>
      </c>
      <c r="Q21" s="1" t="s">
        <v>14</v>
      </c>
      <c r="R21" s="44">
        <v>0</v>
      </c>
      <c r="S21" s="46"/>
    </row>
    <row r="22" spans="1:19" x14ac:dyDescent="0.25">
      <c r="A22" s="7">
        <v>19</v>
      </c>
      <c r="D22" s="16" t="s">
        <v>8</v>
      </c>
      <c r="E22" s="17"/>
      <c r="F22" s="17"/>
      <c r="G22" s="18"/>
      <c r="H22" s="12">
        <v>30</v>
      </c>
      <c r="I22" s="7" t="s">
        <v>1</v>
      </c>
      <c r="J22" s="3">
        <v>510</v>
      </c>
      <c r="K22" s="3">
        <v>0</v>
      </c>
      <c r="L22" s="3">
        <v>20</v>
      </c>
      <c r="M22" s="3">
        <v>150</v>
      </c>
      <c r="N22" s="3">
        <v>10</v>
      </c>
      <c r="O22" s="3">
        <v>0</v>
      </c>
      <c r="P22" s="4">
        <f t="shared" si="0"/>
        <v>360</v>
      </c>
      <c r="Q22" s="1" t="s">
        <v>75</v>
      </c>
      <c r="R22" s="44">
        <v>50</v>
      </c>
      <c r="S22" s="47">
        <v>200</v>
      </c>
    </row>
    <row r="23" spans="1:19" x14ac:dyDescent="0.25">
      <c r="A23" s="7">
        <v>20</v>
      </c>
      <c r="D23" s="9" t="s">
        <v>32</v>
      </c>
      <c r="E23" s="10"/>
      <c r="F23" s="10"/>
      <c r="G23" s="11"/>
      <c r="H23" s="12">
        <f>'KASIM 1 HAFTA'!P23</f>
        <v>2000</v>
      </c>
      <c r="I23" s="7" t="s">
        <v>2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4">
        <f t="shared" si="0"/>
        <v>2000</v>
      </c>
      <c r="Q23" s="1" t="s">
        <v>14</v>
      </c>
      <c r="R23" s="44">
        <v>0</v>
      </c>
      <c r="S23" s="46"/>
    </row>
    <row r="24" spans="1:19" x14ac:dyDescent="0.25">
      <c r="A24" s="7">
        <v>21</v>
      </c>
      <c r="D24" s="16" t="s">
        <v>33</v>
      </c>
      <c r="E24" s="17"/>
      <c r="F24" s="17"/>
      <c r="G24" s="18"/>
      <c r="H24" s="12">
        <f>'KASIM 1 HAFTA'!P24</f>
        <v>279</v>
      </c>
      <c r="I24" s="7" t="s">
        <v>2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4">
        <f t="shared" si="0"/>
        <v>279</v>
      </c>
      <c r="Q24" s="1" t="s">
        <v>14</v>
      </c>
      <c r="R24" s="44">
        <v>0</v>
      </c>
      <c r="S24" s="46"/>
    </row>
    <row r="25" spans="1:19" x14ac:dyDescent="0.25">
      <c r="A25" s="7">
        <v>22</v>
      </c>
      <c r="D25" s="9" t="s">
        <v>34</v>
      </c>
      <c r="E25" s="10"/>
      <c r="F25" s="10"/>
      <c r="G25" s="11"/>
      <c r="H25" s="12">
        <f>'KASIM 1 HAFTA'!P25</f>
        <v>40</v>
      </c>
      <c r="I25" s="7" t="s">
        <v>2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4">
        <f t="shared" si="0"/>
        <v>40</v>
      </c>
      <c r="Q25" s="1" t="s">
        <v>14</v>
      </c>
      <c r="R25" s="44">
        <v>0</v>
      </c>
      <c r="S25" s="46"/>
    </row>
    <row r="26" spans="1:19" x14ac:dyDescent="0.25">
      <c r="A26" s="7">
        <v>23</v>
      </c>
      <c r="D26" s="16" t="s">
        <v>82</v>
      </c>
      <c r="E26" s="17"/>
      <c r="F26" s="17"/>
      <c r="G26" s="18"/>
      <c r="H26" s="12">
        <f>'KASIM 1 HAFTA'!P26</f>
        <v>168</v>
      </c>
      <c r="I26" s="7" t="s">
        <v>2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4">
        <f t="shared" si="0"/>
        <v>168</v>
      </c>
      <c r="Q26" s="1" t="s">
        <v>14</v>
      </c>
      <c r="R26" s="44">
        <v>20</v>
      </c>
      <c r="S26" s="47">
        <v>50</v>
      </c>
    </row>
    <row r="27" spans="1:19" x14ac:dyDescent="0.25">
      <c r="A27" s="7">
        <v>24</v>
      </c>
      <c r="D27" s="9" t="s">
        <v>81</v>
      </c>
      <c r="E27" s="10"/>
      <c r="F27" s="10"/>
      <c r="G27" s="11"/>
      <c r="H27" s="12">
        <f>'KASIM 1 HAFTA'!P27</f>
        <v>42</v>
      </c>
      <c r="I27" s="7" t="s">
        <v>2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  <c r="P27" s="4">
        <f t="shared" si="0"/>
        <v>42</v>
      </c>
      <c r="Q27" s="1" t="s">
        <v>14</v>
      </c>
      <c r="R27" s="44">
        <v>20</v>
      </c>
      <c r="S27" s="47">
        <v>50</v>
      </c>
    </row>
    <row r="28" spans="1:19" x14ac:dyDescent="0.25">
      <c r="A28" s="7">
        <v>25</v>
      </c>
      <c r="D28" s="16" t="s">
        <v>35</v>
      </c>
      <c r="E28" s="17"/>
      <c r="F28" s="17"/>
      <c r="G28" s="18"/>
      <c r="H28" s="12">
        <f>'KASIM 1 HAFTA'!P28</f>
        <v>50</v>
      </c>
      <c r="I28" s="7" t="s">
        <v>2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4">
        <f t="shared" si="0"/>
        <v>50</v>
      </c>
      <c r="Q28" s="1" t="s">
        <v>14</v>
      </c>
      <c r="R28" s="44">
        <v>50</v>
      </c>
      <c r="S28" s="47">
        <v>100</v>
      </c>
    </row>
    <row r="29" spans="1:19" x14ac:dyDescent="0.25">
      <c r="A29" s="7">
        <v>26</v>
      </c>
      <c r="D29" s="9" t="s">
        <v>36</v>
      </c>
      <c r="E29" s="10"/>
      <c r="F29" s="10"/>
      <c r="G29" s="11"/>
      <c r="H29" s="12">
        <f>'KASIM 1 HAFTA'!P29</f>
        <v>65</v>
      </c>
      <c r="I29" s="7" t="s">
        <v>2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4">
        <f t="shared" si="0"/>
        <v>65</v>
      </c>
      <c r="Q29" s="1" t="s">
        <v>14</v>
      </c>
      <c r="R29" s="44">
        <v>50</v>
      </c>
      <c r="S29" s="47">
        <v>100</v>
      </c>
    </row>
    <row r="30" spans="1:19" x14ac:dyDescent="0.25">
      <c r="A30" s="7">
        <v>27</v>
      </c>
      <c r="D30" s="16" t="s">
        <v>37</v>
      </c>
      <c r="E30" s="17"/>
      <c r="F30" s="17"/>
      <c r="G30" s="18"/>
      <c r="H30" s="12">
        <f>'KASIM 1 HAFTA'!P30</f>
        <v>232</v>
      </c>
      <c r="I30" s="7" t="s">
        <v>2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4">
        <f t="shared" si="0"/>
        <v>232</v>
      </c>
      <c r="Q30" s="1" t="s">
        <v>14</v>
      </c>
      <c r="R30" s="44">
        <v>20</v>
      </c>
      <c r="S30" s="47">
        <v>50</v>
      </c>
    </row>
    <row r="31" spans="1:19" x14ac:dyDescent="0.25">
      <c r="A31" s="7">
        <v>28</v>
      </c>
      <c r="D31" s="9" t="s">
        <v>38</v>
      </c>
      <c r="E31" s="10"/>
      <c r="F31" s="10"/>
      <c r="G31" s="11"/>
      <c r="H31" s="12">
        <f>'KASIM 1 HAFTA'!P31</f>
        <v>668</v>
      </c>
      <c r="I31" s="7" t="s">
        <v>2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4">
        <f t="shared" si="0"/>
        <v>668</v>
      </c>
      <c r="Q31" s="1" t="s">
        <v>14</v>
      </c>
      <c r="R31" s="44">
        <v>50</v>
      </c>
      <c r="S31" s="47">
        <v>100</v>
      </c>
    </row>
    <row r="32" spans="1:19" x14ac:dyDescent="0.25">
      <c r="A32" s="7">
        <v>29</v>
      </c>
      <c r="D32" s="16" t="s">
        <v>39</v>
      </c>
      <c r="E32" s="17"/>
      <c r="F32" s="17"/>
      <c r="G32" s="18"/>
      <c r="H32" s="12">
        <f>'KASIM 1 HAFTA'!P32</f>
        <v>50</v>
      </c>
      <c r="I32" s="7" t="s">
        <v>2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4">
        <f t="shared" si="0"/>
        <v>50</v>
      </c>
      <c r="Q32" s="1" t="s">
        <v>14</v>
      </c>
      <c r="R32" s="44">
        <v>20</v>
      </c>
      <c r="S32" s="47">
        <v>50</v>
      </c>
    </row>
    <row r="33" spans="1:19" x14ac:dyDescent="0.25">
      <c r="A33" s="7">
        <v>30</v>
      </c>
      <c r="D33" s="9" t="s">
        <v>40</v>
      </c>
      <c r="E33" s="10"/>
      <c r="F33" s="10"/>
      <c r="G33" s="11"/>
      <c r="H33" s="12">
        <f>'KASIM 1 HAFTA'!P33</f>
        <v>1115</v>
      </c>
      <c r="I33" s="7" t="s">
        <v>2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4">
        <f t="shared" si="0"/>
        <v>1115</v>
      </c>
      <c r="Q33" s="1" t="s">
        <v>14</v>
      </c>
      <c r="R33" s="44">
        <v>0</v>
      </c>
      <c r="S33" s="46"/>
    </row>
    <row r="34" spans="1:19" x14ac:dyDescent="0.25">
      <c r="A34" s="7">
        <v>31</v>
      </c>
      <c r="D34" s="16" t="s">
        <v>9</v>
      </c>
      <c r="E34" s="17"/>
      <c r="F34" s="17"/>
      <c r="G34" s="18"/>
      <c r="H34" s="12">
        <f>'KASIM 1 HAFTA'!P34</f>
        <v>546</v>
      </c>
      <c r="I34" s="7" t="s">
        <v>2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4">
        <f t="shared" si="0"/>
        <v>546</v>
      </c>
      <c r="Q34" s="1" t="s">
        <v>14</v>
      </c>
      <c r="R34" s="44">
        <v>50</v>
      </c>
      <c r="S34" s="47">
        <v>100</v>
      </c>
    </row>
    <row r="35" spans="1:19" x14ac:dyDescent="0.25">
      <c r="A35" s="7">
        <v>32</v>
      </c>
      <c r="D35" s="9" t="s">
        <v>83</v>
      </c>
      <c r="E35" s="10"/>
      <c r="F35" s="10"/>
      <c r="G35" s="11"/>
      <c r="H35" s="12">
        <f>'KASIM 1 HAFTA'!P35</f>
        <v>100</v>
      </c>
      <c r="I35" s="7" t="s">
        <v>2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4">
        <f t="shared" si="0"/>
        <v>100</v>
      </c>
      <c r="Q35" s="1" t="s">
        <v>14</v>
      </c>
      <c r="R35" s="44">
        <v>20</v>
      </c>
      <c r="S35" s="47">
        <v>50</v>
      </c>
    </row>
    <row r="36" spans="1:19" x14ac:dyDescent="0.25">
      <c r="A36" s="7">
        <v>33</v>
      </c>
      <c r="D36" s="16" t="s">
        <v>70</v>
      </c>
      <c r="E36" s="17"/>
      <c r="F36" s="17"/>
      <c r="G36" s="18"/>
      <c r="H36" s="12">
        <f>'KASIM 1 HAFTA'!P36</f>
        <v>934</v>
      </c>
      <c r="I36" s="7" t="s">
        <v>2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4">
        <f t="shared" si="0"/>
        <v>934</v>
      </c>
      <c r="Q36" s="1" t="s">
        <v>14</v>
      </c>
      <c r="R36" s="44">
        <v>0</v>
      </c>
      <c r="S36" s="46"/>
    </row>
    <row r="37" spans="1:19" x14ac:dyDescent="0.25">
      <c r="A37" s="7">
        <v>34</v>
      </c>
      <c r="D37" s="9" t="s">
        <v>41</v>
      </c>
      <c r="E37" s="10"/>
      <c r="F37" s="10"/>
      <c r="G37" s="11"/>
      <c r="H37" s="12">
        <f>'KASIM 1 HAFTA'!P37</f>
        <v>283</v>
      </c>
      <c r="I37" s="7" t="s">
        <v>2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4">
        <f t="shared" si="0"/>
        <v>283</v>
      </c>
      <c r="Q37" s="1" t="s">
        <v>14</v>
      </c>
      <c r="R37" s="44">
        <v>50</v>
      </c>
      <c r="S37" s="47">
        <v>100</v>
      </c>
    </row>
    <row r="38" spans="1:19" x14ac:dyDescent="0.25">
      <c r="A38" s="7">
        <v>35</v>
      </c>
      <c r="D38" s="16" t="s">
        <v>42</v>
      </c>
      <c r="E38" s="17"/>
      <c r="F38" s="17"/>
      <c r="G38" s="18"/>
      <c r="H38" s="12">
        <f>'KASIM 1 HAFTA'!P38</f>
        <v>287</v>
      </c>
      <c r="I38" s="7" t="s">
        <v>2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4">
        <f t="shared" si="0"/>
        <v>287</v>
      </c>
      <c r="Q38" s="1" t="s">
        <v>14</v>
      </c>
      <c r="R38" s="44">
        <v>50</v>
      </c>
      <c r="S38" s="47">
        <v>100</v>
      </c>
    </row>
    <row r="39" spans="1:19" x14ac:dyDescent="0.25">
      <c r="A39" s="7">
        <v>36</v>
      </c>
      <c r="D39" s="9" t="s">
        <v>43</v>
      </c>
      <c r="E39" s="10"/>
      <c r="F39" s="10"/>
      <c r="G39" s="11"/>
      <c r="H39" s="12">
        <f>'KASIM 1 HAFTA'!P39</f>
        <v>27</v>
      </c>
      <c r="I39" s="7" t="s">
        <v>2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4">
        <f t="shared" si="0"/>
        <v>27</v>
      </c>
      <c r="Q39" s="1" t="s">
        <v>14</v>
      </c>
      <c r="R39" s="44">
        <v>50</v>
      </c>
      <c r="S39" s="47">
        <v>100</v>
      </c>
    </row>
    <row r="40" spans="1:19" x14ac:dyDescent="0.25">
      <c r="A40" s="7">
        <v>37</v>
      </c>
      <c r="D40" s="16" t="s">
        <v>44</v>
      </c>
      <c r="E40" s="17"/>
      <c r="F40" s="17"/>
      <c r="G40" s="18"/>
      <c r="H40" s="12">
        <f>'KASIM 1 HAFTA'!P40</f>
        <v>99</v>
      </c>
      <c r="I40" s="7" t="s">
        <v>2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4">
        <f t="shared" si="0"/>
        <v>99</v>
      </c>
      <c r="Q40" s="1" t="s">
        <v>14</v>
      </c>
      <c r="R40" s="44">
        <v>0</v>
      </c>
      <c r="S40" s="46"/>
    </row>
    <row r="41" spans="1:19" x14ac:dyDescent="0.25">
      <c r="A41" s="7">
        <v>38</v>
      </c>
      <c r="D41" s="9" t="s">
        <v>71</v>
      </c>
      <c r="E41" s="10"/>
      <c r="F41" s="10"/>
      <c r="G41" s="11"/>
      <c r="H41" s="12">
        <f>'KASIM 1 HAFTA'!P41</f>
        <v>20</v>
      </c>
      <c r="I41" s="7" t="s">
        <v>2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4">
        <f t="shared" si="0"/>
        <v>20</v>
      </c>
      <c r="Q41" s="1" t="s">
        <v>14</v>
      </c>
      <c r="R41" s="44">
        <v>5</v>
      </c>
      <c r="S41" s="47">
        <v>10</v>
      </c>
    </row>
    <row r="42" spans="1:19" x14ac:dyDescent="0.25">
      <c r="A42" s="7">
        <v>39</v>
      </c>
      <c r="D42" s="16" t="s">
        <v>10</v>
      </c>
      <c r="E42" s="17"/>
      <c r="F42" s="17"/>
      <c r="G42" s="18"/>
      <c r="H42" s="12">
        <v>50</v>
      </c>
      <c r="I42" s="7" t="s">
        <v>2</v>
      </c>
      <c r="J42" s="3">
        <v>30</v>
      </c>
      <c r="K42" s="3">
        <v>0</v>
      </c>
      <c r="L42" s="3">
        <v>0</v>
      </c>
      <c r="M42" s="3">
        <v>0</v>
      </c>
      <c r="N42" s="3">
        <v>60</v>
      </c>
      <c r="O42" s="3">
        <v>0</v>
      </c>
      <c r="P42" s="4">
        <f t="shared" si="0"/>
        <v>20</v>
      </c>
      <c r="Q42" s="1" t="s">
        <v>14</v>
      </c>
      <c r="R42" s="44">
        <v>40</v>
      </c>
      <c r="S42" s="47">
        <v>100</v>
      </c>
    </row>
    <row r="43" spans="1:19" x14ac:dyDescent="0.25">
      <c r="A43" s="7">
        <v>40</v>
      </c>
      <c r="D43" s="9" t="s">
        <v>45</v>
      </c>
      <c r="E43" s="10"/>
      <c r="F43" s="10"/>
      <c r="G43" s="11"/>
      <c r="H43" s="12">
        <v>43</v>
      </c>
      <c r="I43" s="7" t="s">
        <v>2</v>
      </c>
      <c r="J43" s="3">
        <v>15</v>
      </c>
      <c r="K43" s="3">
        <v>0</v>
      </c>
      <c r="L43" s="3">
        <v>0</v>
      </c>
      <c r="M43" s="3">
        <v>0</v>
      </c>
      <c r="N43" s="3">
        <v>31</v>
      </c>
      <c r="O43" s="3">
        <v>0</v>
      </c>
      <c r="P43" s="4">
        <f t="shared" si="0"/>
        <v>27</v>
      </c>
      <c r="Q43" s="1" t="s">
        <v>14</v>
      </c>
      <c r="R43" s="44">
        <v>20</v>
      </c>
      <c r="S43" s="47">
        <v>50</v>
      </c>
    </row>
    <row r="44" spans="1:19" x14ac:dyDescent="0.25">
      <c r="A44" s="7">
        <v>41</v>
      </c>
      <c r="D44" s="16" t="s">
        <v>46</v>
      </c>
      <c r="E44" s="17"/>
      <c r="F44" s="17"/>
      <c r="G44" s="18"/>
      <c r="H44" s="12">
        <v>41</v>
      </c>
      <c r="I44" s="7" t="s">
        <v>2</v>
      </c>
      <c r="J44" s="3">
        <v>15</v>
      </c>
      <c r="K44" s="3">
        <v>0</v>
      </c>
      <c r="L44" s="3">
        <v>0</v>
      </c>
      <c r="M44" s="3">
        <v>0</v>
      </c>
      <c r="N44" s="3">
        <v>31</v>
      </c>
      <c r="O44" s="3">
        <v>0</v>
      </c>
      <c r="P44" s="4">
        <f t="shared" si="0"/>
        <v>25</v>
      </c>
      <c r="Q44" s="1" t="s">
        <v>14</v>
      </c>
      <c r="R44" s="44">
        <v>20</v>
      </c>
      <c r="S44" s="47">
        <v>50</v>
      </c>
    </row>
    <row r="45" spans="1:19" x14ac:dyDescent="0.25">
      <c r="A45" s="7">
        <v>42</v>
      </c>
      <c r="D45" s="9" t="s">
        <v>47</v>
      </c>
      <c r="E45" s="10"/>
      <c r="F45" s="10"/>
      <c r="G45" s="11"/>
      <c r="H45" s="12">
        <f>'KASIM 1 HAFTA'!P45</f>
        <v>56</v>
      </c>
      <c r="I45" s="7" t="s">
        <v>2</v>
      </c>
      <c r="J45" s="3">
        <v>15</v>
      </c>
      <c r="K45" s="3">
        <v>0</v>
      </c>
      <c r="L45" s="3">
        <v>0</v>
      </c>
      <c r="M45" s="3">
        <v>0</v>
      </c>
      <c r="N45" s="3">
        <v>31</v>
      </c>
      <c r="O45" s="3">
        <v>0</v>
      </c>
      <c r="P45" s="4">
        <f t="shared" si="0"/>
        <v>40</v>
      </c>
      <c r="Q45" s="1" t="s">
        <v>14</v>
      </c>
      <c r="R45" s="44">
        <v>20</v>
      </c>
      <c r="S45" s="47">
        <v>50</v>
      </c>
    </row>
    <row r="46" spans="1:19" x14ac:dyDescent="0.25">
      <c r="A46" s="7">
        <v>43</v>
      </c>
      <c r="D46" s="16" t="s">
        <v>79</v>
      </c>
      <c r="E46" s="17"/>
      <c r="F46" s="17"/>
      <c r="G46" s="18"/>
      <c r="H46" s="12">
        <f>'KASIM 1 HAFTA'!P46</f>
        <v>44</v>
      </c>
      <c r="I46" s="7" t="s">
        <v>2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4">
        <f t="shared" si="0"/>
        <v>44</v>
      </c>
      <c r="Q46" s="1" t="s">
        <v>14</v>
      </c>
      <c r="R46" s="44">
        <v>10</v>
      </c>
      <c r="S46" s="47">
        <v>20</v>
      </c>
    </row>
    <row r="47" spans="1:19" x14ac:dyDescent="0.25">
      <c r="A47" s="7">
        <v>44</v>
      </c>
      <c r="D47" s="9" t="s">
        <v>48</v>
      </c>
      <c r="E47" s="10"/>
      <c r="F47" s="10"/>
      <c r="G47" s="11"/>
      <c r="H47" s="12">
        <f>'KASIM 1 HAFTA'!P47</f>
        <v>39</v>
      </c>
      <c r="I47" s="7" t="s">
        <v>2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4">
        <f t="shared" si="0"/>
        <v>39</v>
      </c>
      <c r="Q47" s="1" t="s">
        <v>14</v>
      </c>
      <c r="R47" s="44">
        <v>10</v>
      </c>
      <c r="S47" s="47">
        <v>20</v>
      </c>
    </row>
    <row r="48" spans="1:19" x14ac:dyDescent="0.25">
      <c r="A48" s="7">
        <v>45</v>
      </c>
      <c r="D48" s="16" t="s">
        <v>49</v>
      </c>
      <c r="E48" s="17"/>
      <c r="F48" s="17"/>
      <c r="G48" s="18"/>
      <c r="H48" s="12">
        <f>'KASIM 1 HAFTA'!P48</f>
        <v>1</v>
      </c>
      <c r="I48" s="7" t="s">
        <v>2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4">
        <f t="shared" si="0"/>
        <v>1</v>
      </c>
      <c r="Q48" s="1" t="s">
        <v>14</v>
      </c>
      <c r="R48" s="44">
        <v>10</v>
      </c>
      <c r="S48" s="47">
        <v>20</v>
      </c>
    </row>
    <row r="49" spans="1:20" x14ac:dyDescent="0.25">
      <c r="A49" s="7">
        <v>46</v>
      </c>
      <c r="D49" s="9" t="s">
        <v>11</v>
      </c>
      <c r="E49" s="10"/>
      <c r="F49" s="10"/>
      <c r="G49" s="11"/>
      <c r="H49" s="12">
        <v>34</v>
      </c>
      <c r="I49" s="7" t="s">
        <v>1</v>
      </c>
      <c r="J49" s="3">
        <v>0</v>
      </c>
      <c r="K49" s="3">
        <v>34</v>
      </c>
      <c r="L49" s="3">
        <v>0</v>
      </c>
      <c r="M49" s="3">
        <v>0</v>
      </c>
      <c r="N49" s="3">
        <v>0</v>
      </c>
      <c r="O49" s="3">
        <v>0</v>
      </c>
      <c r="P49" s="4">
        <f t="shared" si="0"/>
        <v>0</v>
      </c>
      <c r="Q49" s="1" t="s">
        <v>14</v>
      </c>
      <c r="R49" s="44">
        <v>20</v>
      </c>
      <c r="S49" s="47">
        <v>100</v>
      </c>
      <c r="T49" t="s">
        <v>75</v>
      </c>
    </row>
    <row r="50" spans="1:20" x14ac:dyDescent="0.25">
      <c r="A50" s="7">
        <v>47</v>
      </c>
      <c r="D50" s="16" t="s">
        <v>50</v>
      </c>
      <c r="E50" s="17"/>
      <c r="F50" s="17"/>
      <c r="G50" s="18"/>
      <c r="H50" s="12">
        <f>'KASIM 1 HAFTA'!P50</f>
        <v>182</v>
      </c>
      <c r="I50" s="7" t="s">
        <v>2</v>
      </c>
      <c r="J50" s="3">
        <v>0</v>
      </c>
      <c r="K50" s="3">
        <v>0</v>
      </c>
      <c r="L50" s="3">
        <v>2</v>
      </c>
      <c r="M50" s="3">
        <v>0</v>
      </c>
      <c r="N50" s="3">
        <v>0</v>
      </c>
      <c r="O50" s="3">
        <v>0</v>
      </c>
      <c r="P50" s="4">
        <f t="shared" si="0"/>
        <v>180</v>
      </c>
      <c r="Q50" s="1" t="s">
        <v>14</v>
      </c>
      <c r="R50" s="44">
        <v>30</v>
      </c>
      <c r="S50" s="47">
        <v>100</v>
      </c>
    </row>
    <row r="51" spans="1:20" x14ac:dyDescent="0.25">
      <c r="A51" s="7">
        <v>48</v>
      </c>
      <c r="D51" s="9" t="s">
        <v>51</v>
      </c>
      <c r="E51" s="10"/>
      <c r="F51" s="10"/>
      <c r="G51" s="11"/>
      <c r="H51" s="12">
        <f>'KASIM 1 HAFTA'!P51</f>
        <v>103</v>
      </c>
      <c r="I51" s="7" t="s">
        <v>2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4">
        <f t="shared" si="0"/>
        <v>103</v>
      </c>
      <c r="Q51" s="1" t="s">
        <v>14</v>
      </c>
      <c r="R51" s="44">
        <v>20</v>
      </c>
      <c r="S51" s="47">
        <v>50</v>
      </c>
    </row>
    <row r="52" spans="1:20" x14ac:dyDescent="0.25">
      <c r="A52" s="7">
        <v>49</v>
      </c>
      <c r="D52" s="16" t="s">
        <v>52</v>
      </c>
      <c r="E52" s="17"/>
      <c r="F52" s="17"/>
      <c r="G52" s="18"/>
      <c r="H52" s="12">
        <f>'KASIM 1 HAFTA'!P52</f>
        <v>49</v>
      </c>
      <c r="I52" s="7" t="s">
        <v>2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4">
        <f t="shared" si="0"/>
        <v>49</v>
      </c>
      <c r="Q52" s="1" t="s">
        <v>14</v>
      </c>
      <c r="R52" s="44">
        <v>20</v>
      </c>
      <c r="S52" s="47">
        <v>50</v>
      </c>
    </row>
    <row r="53" spans="1:20" x14ac:dyDescent="0.25">
      <c r="A53" s="7">
        <v>50</v>
      </c>
      <c r="D53" s="9" t="s">
        <v>53</v>
      </c>
      <c r="E53" s="10"/>
      <c r="F53" s="10"/>
      <c r="G53" s="11"/>
      <c r="H53" s="12">
        <f>'KASIM 1 HAFTA'!P53</f>
        <v>49</v>
      </c>
      <c r="I53" s="7" t="s">
        <v>2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4">
        <f t="shared" si="0"/>
        <v>49</v>
      </c>
      <c r="Q53" s="1" t="s">
        <v>14</v>
      </c>
      <c r="R53" s="44">
        <v>20</v>
      </c>
      <c r="S53" s="47">
        <v>50</v>
      </c>
    </row>
    <row r="54" spans="1:20" x14ac:dyDescent="0.25">
      <c r="A54" s="7">
        <v>51</v>
      </c>
      <c r="D54" s="16" t="s">
        <v>54</v>
      </c>
      <c r="E54" s="17"/>
      <c r="F54" s="17"/>
      <c r="G54" s="18"/>
      <c r="H54" s="12">
        <v>495</v>
      </c>
      <c r="I54" s="7" t="s">
        <v>1</v>
      </c>
      <c r="J54" s="3">
        <v>0</v>
      </c>
      <c r="K54" s="3">
        <v>45</v>
      </c>
      <c r="L54" s="3">
        <v>60</v>
      </c>
      <c r="M54" s="3">
        <v>30</v>
      </c>
      <c r="N54" s="3">
        <v>30</v>
      </c>
      <c r="O54" s="3">
        <v>15</v>
      </c>
      <c r="P54" s="4">
        <f t="shared" si="0"/>
        <v>315</v>
      </c>
      <c r="Q54" s="1" t="s">
        <v>68</v>
      </c>
      <c r="R54" s="44">
        <v>250</v>
      </c>
      <c r="S54" s="47">
        <v>750</v>
      </c>
      <c r="T54" t="s">
        <v>75</v>
      </c>
    </row>
    <row r="55" spans="1:20" x14ac:dyDescent="0.25">
      <c r="A55" s="7">
        <v>52</v>
      </c>
      <c r="D55" s="9" t="s">
        <v>55</v>
      </c>
      <c r="E55" s="10"/>
      <c r="F55" s="10"/>
      <c r="G55" s="11"/>
      <c r="H55" s="12">
        <f>'KASIM 1 HAFTA'!P55</f>
        <v>8000</v>
      </c>
      <c r="I55" s="7" t="s">
        <v>2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3500</v>
      </c>
      <c r="P55" s="4">
        <f t="shared" si="0"/>
        <v>4500</v>
      </c>
      <c r="Q55" s="1" t="s">
        <v>14</v>
      </c>
      <c r="R55" s="44">
        <v>0</v>
      </c>
      <c r="S55" s="46"/>
    </row>
    <row r="56" spans="1:20" x14ac:dyDescent="0.25">
      <c r="A56" s="7">
        <v>53</v>
      </c>
      <c r="D56" s="16" t="s">
        <v>56</v>
      </c>
      <c r="E56" s="17"/>
      <c r="F56" s="17"/>
      <c r="G56" s="18"/>
      <c r="H56" s="12">
        <f>'KASIM 1 HAFTA'!P56</f>
        <v>2000</v>
      </c>
      <c r="I56" s="7" t="s">
        <v>2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  <c r="P56" s="4">
        <f t="shared" si="0"/>
        <v>2000</v>
      </c>
      <c r="Q56" s="1" t="s">
        <v>14</v>
      </c>
      <c r="R56" s="44">
        <v>0</v>
      </c>
      <c r="S56" s="46"/>
    </row>
    <row r="57" spans="1:20" x14ac:dyDescent="0.25">
      <c r="A57" s="7">
        <v>54</v>
      </c>
      <c r="D57" s="9" t="s">
        <v>12</v>
      </c>
      <c r="E57" s="10"/>
      <c r="F57" s="10"/>
      <c r="G57" s="11"/>
      <c r="H57" s="12">
        <f>'KASIM 1 HAFTA'!P57</f>
        <v>2800</v>
      </c>
      <c r="I57" s="7" t="s">
        <v>2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  <c r="P57" s="4">
        <f t="shared" si="0"/>
        <v>2800</v>
      </c>
      <c r="Q57" s="1" t="s">
        <v>14</v>
      </c>
      <c r="R57" s="44">
        <v>0</v>
      </c>
      <c r="S57" s="46"/>
    </row>
    <row r="58" spans="1:20" x14ac:dyDescent="0.25">
      <c r="A58" s="7">
        <v>55</v>
      </c>
      <c r="D58" s="16" t="s">
        <v>57</v>
      </c>
      <c r="E58" s="17"/>
      <c r="F58" s="17"/>
      <c r="G58" s="18"/>
      <c r="H58" s="12">
        <f>'KASIM 1 HAFTA'!P58</f>
        <v>3000</v>
      </c>
      <c r="I58" s="7" t="s">
        <v>2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4">
        <f t="shared" si="0"/>
        <v>3000</v>
      </c>
      <c r="Q58" s="1" t="s">
        <v>14</v>
      </c>
      <c r="R58" s="44">
        <v>0</v>
      </c>
      <c r="S58" s="46"/>
    </row>
    <row r="59" spans="1:20" x14ac:dyDescent="0.25">
      <c r="A59" s="7">
        <v>56</v>
      </c>
      <c r="D59" s="9" t="s">
        <v>58</v>
      </c>
      <c r="E59" s="10"/>
      <c r="F59" s="10"/>
      <c r="G59" s="11"/>
      <c r="H59" s="12">
        <f>'KASIM 1 HAFTA'!P59</f>
        <v>5000</v>
      </c>
      <c r="I59" s="7" t="s">
        <v>2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  <c r="P59" s="4">
        <f t="shared" si="0"/>
        <v>5000</v>
      </c>
      <c r="Q59" s="1" t="s">
        <v>14</v>
      </c>
      <c r="R59" s="44">
        <v>0</v>
      </c>
      <c r="S59" s="46"/>
    </row>
    <row r="60" spans="1:20" x14ac:dyDescent="0.25">
      <c r="A60" s="7">
        <v>57</v>
      </c>
      <c r="D60" s="16" t="s">
        <v>59</v>
      </c>
      <c r="E60" s="17"/>
      <c r="F60" s="17"/>
      <c r="G60" s="18"/>
      <c r="H60" s="12">
        <f>'KASIM 1 HAFTA'!P60</f>
        <v>3000</v>
      </c>
      <c r="I60" s="7" t="s">
        <v>2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4">
        <f t="shared" si="0"/>
        <v>3000</v>
      </c>
      <c r="Q60" s="1" t="s">
        <v>14</v>
      </c>
      <c r="R60" s="44">
        <v>0</v>
      </c>
      <c r="S60" s="46"/>
    </row>
    <row r="61" spans="1:20" x14ac:dyDescent="0.25">
      <c r="A61" s="7">
        <v>58</v>
      </c>
      <c r="D61" s="9" t="s">
        <v>60</v>
      </c>
      <c r="E61" s="10"/>
      <c r="F61" s="10"/>
      <c r="G61" s="11"/>
      <c r="H61" s="12">
        <f>'KASIM 1 HAFTA'!P61</f>
        <v>5000</v>
      </c>
      <c r="I61" s="7" t="s">
        <v>2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4">
        <f t="shared" si="0"/>
        <v>5000</v>
      </c>
      <c r="Q61" s="1" t="s">
        <v>14</v>
      </c>
      <c r="R61" s="44">
        <v>0</v>
      </c>
      <c r="S61" s="46"/>
    </row>
    <row r="62" spans="1:20" x14ac:dyDescent="0.25">
      <c r="A62" s="7">
        <v>59</v>
      </c>
      <c r="D62" s="16" t="s">
        <v>61</v>
      </c>
      <c r="E62" s="17"/>
      <c r="F62" s="17"/>
      <c r="G62" s="18"/>
      <c r="H62" s="12">
        <f>'KASIM 1 HAFTA'!P62</f>
        <v>494</v>
      </c>
      <c r="I62" s="7" t="s">
        <v>2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4">
        <f t="shared" si="0"/>
        <v>494</v>
      </c>
      <c r="Q62" s="1" t="s">
        <v>14</v>
      </c>
      <c r="R62" s="44">
        <v>0</v>
      </c>
      <c r="S62" s="46"/>
    </row>
    <row r="63" spans="1:20" x14ac:dyDescent="0.25">
      <c r="A63" s="7">
        <v>60</v>
      </c>
      <c r="D63" s="9" t="s">
        <v>62</v>
      </c>
      <c r="E63" s="10"/>
      <c r="F63" s="10"/>
      <c r="G63" s="11"/>
      <c r="H63" s="12">
        <f>'KASIM 1 HAFTA'!P63</f>
        <v>684</v>
      </c>
      <c r="I63" s="7" t="s">
        <v>2</v>
      </c>
      <c r="J63" s="3">
        <v>800</v>
      </c>
      <c r="K63" s="3">
        <v>200</v>
      </c>
      <c r="L63" s="3">
        <v>0</v>
      </c>
      <c r="M63" s="3">
        <v>0</v>
      </c>
      <c r="N63" s="3">
        <v>0</v>
      </c>
      <c r="O63" s="3">
        <v>0</v>
      </c>
      <c r="P63" s="4">
        <f t="shared" si="0"/>
        <v>1284</v>
      </c>
      <c r="Q63" s="1" t="s">
        <v>14</v>
      </c>
      <c r="R63" s="44">
        <v>200</v>
      </c>
      <c r="S63" s="47">
        <v>1000</v>
      </c>
    </row>
    <row r="64" spans="1:20" x14ac:dyDescent="0.25">
      <c r="A64" s="7">
        <v>61</v>
      </c>
      <c r="D64" s="16" t="s">
        <v>13</v>
      </c>
      <c r="E64" s="17"/>
      <c r="F64" s="17"/>
      <c r="G64" s="18"/>
      <c r="H64" s="12">
        <f>'KASIM 1 HAFTA'!P64</f>
        <v>447</v>
      </c>
      <c r="I64" s="7" t="s">
        <v>2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4">
        <f t="shared" si="0"/>
        <v>447</v>
      </c>
      <c r="Q64" s="1" t="s">
        <v>14</v>
      </c>
      <c r="R64" s="44">
        <v>100</v>
      </c>
      <c r="S64" s="47">
        <v>300</v>
      </c>
    </row>
    <row r="65" spans="1:20" x14ac:dyDescent="0.25">
      <c r="A65" s="7">
        <v>62</v>
      </c>
      <c r="D65" s="9" t="s">
        <v>72</v>
      </c>
      <c r="E65" s="10"/>
      <c r="F65" s="10"/>
      <c r="G65" s="11"/>
      <c r="H65" s="12">
        <f>'KASIM 1 HAFTA'!P65</f>
        <v>315</v>
      </c>
      <c r="I65" s="7" t="s">
        <v>2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4">
        <f t="shared" si="0"/>
        <v>315</v>
      </c>
      <c r="Q65" s="1" t="s">
        <v>14</v>
      </c>
      <c r="R65" s="44">
        <v>100</v>
      </c>
      <c r="S65" s="47">
        <v>300</v>
      </c>
    </row>
    <row r="66" spans="1:20" x14ac:dyDescent="0.25">
      <c r="A66" s="7">
        <v>63</v>
      </c>
      <c r="D66" s="16" t="s">
        <v>63</v>
      </c>
      <c r="E66" s="17"/>
      <c r="F66" s="17"/>
      <c r="G66" s="18"/>
      <c r="H66" s="12">
        <f>'KASIM 1 HAFTA'!P66</f>
        <v>350</v>
      </c>
      <c r="I66" s="7" t="s">
        <v>2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  <c r="P66" s="4">
        <f t="shared" si="0"/>
        <v>350</v>
      </c>
      <c r="Q66" s="1" t="s">
        <v>14</v>
      </c>
      <c r="R66" s="44">
        <v>100</v>
      </c>
      <c r="S66" s="47">
        <v>300</v>
      </c>
    </row>
    <row r="67" spans="1:20" x14ac:dyDescent="0.25">
      <c r="A67" s="7">
        <v>64</v>
      </c>
      <c r="D67" s="9" t="s">
        <v>77</v>
      </c>
      <c r="E67" s="10"/>
      <c r="F67" s="10"/>
      <c r="G67" s="11"/>
      <c r="H67" s="12">
        <f>'KASIM 1 HAFTA'!P67</f>
        <v>1382</v>
      </c>
      <c r="I67" s="7" t="s">
        <v>2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  <c r="P67" s="4">
        <f t="shared" si="0"/>
        <v>1382</v>
      </c>
      <c r="Q67" s="1" t="s">
        <v>14</v>
      </c>
      <c r="R67" s="44">
        <v>100</v>
      </c>
      <c r="S67" s="47">
        <v>300</v>
      </c>
    </row>
    <row r="68" spans="1:20" x14ac:dyDescent="0.25">
      <c r="A68" s="7">
        <v>65</v>
      </c>
      <c r="D68" s="16" t="s">
        <v>87</v>
      </c>
      <c r="E68" s="17"/>
      <c r="F68" s="17"/>
      <c r="G68" s="18"/>
      <c r="H68" s="12">
        <f>'KASIM 1 HAFTA'!P68</f>
        <v>515</v>
      </c>
      <c r="I68" s="7" t="s">
        <v>2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4">
        <f t="shared" ref="P68:P83" si="1">+H68+J68-K68-L68-M68-N68-O68</f>
        <v>515</v>
      </c>
      <c r="Q68" s="1" t="s">
        <v>14</v>
      </c>
      <c r="R68" s="44">
        <v>0</v>
      </c>
      <c r="S68" s="46"/>
    </row>
    <row r="69" spans="1:20" x14ac:dyDescent="0.25">
      <c r="A69" s="7">
        <v>66</v>
      </c>
      <c r="D69" s="9" t="s">
        <v>64</v>
      </c>
      <c r="E69" s="10"/>
      <c r="F69" s="10"/>
      <c r="G69" s="11"/>
      <c r="H69" s="12">
        <f>'KASIM 1 HAFTA'!P69</f>
        <v>328</v>
      </c>
      <c r="I69" s="7" t="s">
        <v>2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4">
        <f t="shared" si="1"/>
        <v>328</v>
      </c>
      <c r="Q69" s="1" t="s">
        <v>14</v>
      </c>
      <c r="R69" s="44">
        <v>50</v>
      </c>
      <c r="S69" s="47">
        <v>100</v>
      </c>
    </row>
    <row r="70" spans="1:20" x14ac:dyDescent="0.25">
      <c r="A70" s="7">
        <v>67</v>
      </c>
      <c r="D70" s="16" t="s">
        <v>65</v>
      </c>
      <c r="E70" s="17"/>
      <c r="F70" s="17"/>
      <c r="G70" s="18"/>
      <c r="H70" s="12">
        <f>'KASIM 1 HAFTA'!P70</f>
        <v>95</v>
      </c>
      <c r="I70" s="7" t="s">
        <v>2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35</v>
      </c>
      <c r="P70" s="4">
        <f t="shared" si="1"/>
        <v>60</v>
      </c>
      <c r="Q70" s="1" t="s">
        <v>14</v>
      </c>
      <c r="R70" s="44">
        <v>0</v>
      </c>
      <c r="S70" s="46"/>
    </row>
    <row r="71" spans="1:20" x14ac:dyDescent="0.25">
      <c r="A71" s="7">
        <v>68</v>
      </c>
      <c r="D71" s="9" t="s">
        <v>66</v>
      </c>
      <c r="E71" s="10"/>
      <c r="F71" s="10"/>
      <c r="G71" s="11"/>
      <c r="H71" s="12">
        <f>'KASIM 1 HAFTA'!P71</f>
        <v>500</v>
      </c>
      <c r="I71" s="7" t="s">
        <v>2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4">
        <f t="shared" si="1"/>
        <v>500</v>
      </c>
      <c r="Q71" s="1" t="s">
        <v>14</v>
      </c>
      <c r="R71" s="44">
        <v>300</v>
      </c>
      <c r="S71" s="47">
        <v>1000</v>
      </c>
    </row>
    <row r="72" spans="1:20" x14ac:dyDescent="0.25">
      <c r="A72" s="7">
        <v>69</v>
      </c>
      <c r="D72" s="19" t="s">
        <v>86</v>
      </c>
      <c r="E72" s="20"/>
      <c r="F72" s="20"/>
      <c r="G72" s="21"/>
      <c r="H72" s="12">
        <f>'KASIM 1 HAFTA'!P72</f>
        <v>0</v>
      </c>
      <c r="I72" s="7" t="s">
        <v>2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  <c r="P72" s="4">
        <f t="shared" si="1"/>
        <v>0</v>
      </c>
      <c r="Q72" s="1" t="s">
        <v>14</v>
      </c>
      <c r="R72" s="44">
        <v>50</v>
      </c>
      <c r="S72" s="47">
        <v>150</v>
      </c>
    </row>
    <row r="73" spans="1:20" x14ac:dyDescent="0.25">
      <c r="A73" s="7">
        <v>70</v>
      </c>
      <c r="D73" s="22" t="s">
        <v>74</v>
      </c>
      <c r="E73" s="10"/>
      <c r="F73" s="10"/>
      <c r="G73" s="11"/>
      <c r="H73" s="12">
        <f>'KASIM 1 HAFTA'!P73</f>
        <v>32</v>
      </c>
      <c r="I73" s="8" t="s">
        <v>75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4">
        <f t="shared" si="1"/>
        <v>32</v>
      </c>
      <c r="Q73" s="1" t="s">
        <v>91</v>
      </c>
      <c r="R73" s="44">
        <v>65</v>
      </c>
      <c r="S73" s="47">
        <v>150</v>
      </c>
    </row>
    <row r="74" spans="1:20" x14ac:dyDescent="0.25">
      <c r="A74" s="7">
        <v>71</v>
      </c>
      <c r="C74" s="1" t="s">
        <v>14</v>
      </c>
      <c r="D74" s="22" t="s">
        <v>76</v>
      </c>
      <c r="E74" s="10"/>
      <c r="F74" s="10"/>
      <c r="G74" s="11"/>
      <c r="H74" s="12">
        <f>'KASIM 1 HAFTA'!P74</f>
        <v>152</v>
      </c>
      <c r="I74" s="8" t="s">
        <v>2</v>
      </c>
      <c r="J74" s="3">
        <v>0</v>
      </c>
      <c r="K74" s="3">
        <v>0</v>
      </c>
      <c r="L74" s="3">
        <v>0</v>
      </c>
      <c r="M74" s="3">
        <v>0</v>
      </c>
      <c r="N74" s="3">
        <v>10</v>
      </c>
      <c r="O74" s="3">
        <v>0</v>
      </c>
      <c r="P74" s="4">
        <f t="shared" si="1"/>
        <v>142</v>
      </c>
      <c r="Q74" s="1" t="s">
        <v>14</v>
      </c>
      <c r="R74" s="44">
        <v>50</v>
      </c>
      <c r="S74" s="47">
        <v>100</v>
      </c>
    </row>
    <row r="75" spans="1:20" x14ac:dyDescent="0.25">
      <c r="A75" s="7">
        <v>72</v>
      </c>
      <c r="D75" s="25" t="s">
        <v>78</v>
      </c>
      <c r="H75" s="12">
        <f>'KASIM 1 HAFTA'!P75</f>
        <v>32</v>
      </c>
      <c r="I75" s="30" t="s">
        <v>2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4">
        <f t="shared" si="1"/>
        <v>32</v>
      </c>
      <c r="Q75" s="1" t="s">
        <v>14</v>
      </c>
      <c r="R75" s="44">
        <v>50</v>
      </c>
      <c r="S75" s="47">
        <v>100</v>
      </c>
    </row>
    <row r="76" spans="1:20" x14ac:dyDescent="0.25">
      <c r="A76" s="7">
        <v>73</v>
      </c>
      <c r="D76" s="26" t="s">
        <v>80</v>
      </c>
      <c r="E76" s="27"/>
      <c r="F76" s="27"/>
      <c r="G76" s="28"/>
      <c r="H76" s="12">
        <f>'KASIM 1 HAFTA'!P76</f>
        <v>37</v>
      </c>
      <c r="I76" s="8" t="s">
        <v>2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  <c r="P76" s="4">
        <f t="shared" si="1"/>
        <v>37</v>
      </c>
      <c r="Q76" s="1" t="s">
        <v>14</v>
      </c>
      <c r="R76" s="44">
        <v>0</v>
      </c>
      <c r="S76" s="46"/>
    </row>
    <row r="77" spans="1:20" x14ac:dyDescent="0.25">
      <c r="A77" s="7">
        <v>74</v>
      </c>
      <c r="D77" s="26" t="s">
        <v>84</v>
      </c>
      <c r="E77" s="27"/>
      <c r="F77" s="27"/>
      <c r="G77" s="28"/>
      <c r="H77" s="12">
        <f>'KASIM 1 HAFTA'!P77</f>
        <v>50</v>
      </c>
      <c r="I77" s="8" t="s">
        <v>2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4">
        <f t="shared" si="1"/>
        <v>50</v>
      </c>
      <c r="Q77" s="1" t="s">
        <v>14</v>
      </c>
      <c r="R77" s="44">
        <v>100</v>
      </c>
      <c r="S77" s="47">
        <v>200</v>
      </c>
    </row>
    <row r="78" spans="1:20" x14ac:dyDescent="0.25">
      <c r="A78" s="7">
        <v>75</v>
      </c>
      <c r="D78" s="26" t="s">
        <v>85</v>
      </c>
      <c r="E78" s="27"/>
      <c r="F78" s="27"/>
      <c r="G78" s="28"/>
      <c r="H78" s="12">
        <f>'KASIM 1 HAFTA'!P78</f>
        <v>0</v>
      </c>
      <c r="I78" s="8" t="s">
        <v>2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  <c r="P78" s="4">
        <f t="shared" si="1"/>
        <v>0</v>
      </c>
      <c r="R78" s="44">
        <v>0</v>
      </c>
      <c r="S78" s="46"/>
    </row>
    <row r="79" spans="1:20" x14ac:dyDescent="0.25">
      <c r="A79" s="7">
        <v>76</v>
      </c>
      <c r="D79" s="37" t="s">
        <v>106</v>
      </c>
      <c r="E79" s="17"/>
      <c r="F79" s="33"/>
      <c r="G79" s="33"/>
      <c r="H79" s="12">
        <f>'KASIM 1 HAFTA'!P79</f>
        <v>296</v>
      </c>
      <c r="I79" s="8" t="s">
        <v>2</v>
      </c>
      <c r="J79" s="3">
        <v>0</v>
      </c>
      <c r="K79" s="3">
        <v>0</v>
      </c>
      <c r="L79" s="3">
        <v>50</v>
      </c>
      <c r="M79" s="3">
        <v>0</v>
      </c>
      <c r="N79" s="3">
        <v>0</v>
      </c>
      <c r="O79" s="3">
        <v>25</v>
      </c>
      <c r="P79" s="4">
        <f t="shared" si="1"/>
        <v>221</v>
      </c>
      <c r="Q79" s="1" t="s">
        <v>14</v>
      </c>
      <c r="R79" s="44">
        <v>100</v>
      </c>
      <c r="S79" s="47">
        <v>500</v>
      </c>
      <c r="T79" t="s">
        <v>75</v>
      </c>
    </row>
    <row r="80" spans="1:20" x14ac:dyDescent="0.25">
      <c r="A80" s="7">
        <v>77</v>
      </c>
      <c r="D80" s="22" t="s">
        <v>100</v>
      </c>
      <c r="E80" s="10"/>
      <c r="F80" s="10"/>
      <c r="G80" s="28"/>
      <c r="H80" s="12">
        <f>'KASIM 1 HAFTA'!P80</f>
        <v>40</v>
      </c>
      <c r="I80" s="8" t="s">
        <v>2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  <c r="P80" s="4">
        <f t="shared" si="1"/>
        <v>40</v>
      </c>
      <c r="R80" s="44">
        <v>0</v>
      </c>
      <c r="S80" s="46"/>
    </row>
    <row r="81" spans="1:19" x14ac:dyDescent="0.25">
      <c r="A81" s="7">
        <v>78</v>
      </c>
      <c r="D81" s="37" t="s">
        <v>102</v>
      </c>
      <c r="E81" s="17"/>
      <c r="F81" s="17"/>
      <c r="G81" s="33"/>
      <c r="H81" s="12">
        <f>'KASIM 1 HAFTA'!P81</f>
        <v>114</v>
      </c>
      <c r="I81" s="8" t="s">
        <v>2</v>
      </c>
      <c r="J81" s="3">
        <v>0</v>
      </c>
      <c r="K81" s="3">
        <v>6</v>
      </c>
      <c r="L81" s="3">
        <v>0</v>
      </c>
      <c r="M81" s="3">
        <v>12</v>
      </c>
      <c r="N81" s="3">
        <v>3</v>
      </c>
      <c r="O81" s="3">
        <v>15</v>
      </c>
      <c r="P81" s="4">
        <f t="shared" si="1"/>
        <v>78</v>
      </c>
      <c r="R81" s="44">
        <v>30</v>
      </c>
      <c r="S81" s="47">
        <v>100</v>
      </c>
    </row>
    <row r="82" spans="1:19" x14ac:dyDescent="0.25">
      <c r="A82" s="7">
        <v>79</v>
      </c>
      <c r="D82" s="22" t="s">
        <v>103</v>
      </c>
      <c r="E82" s="10"/>
      <c r="F82" s="10"/>
      <c r="G82" s="28"/>
      <c r="H82" s="12">
        <f>'KASIM 1 HAFTA'!P82</f>
        <v>520</v>
      </c>
      <c r="I82" s="8" t="s">
        <v>2</v>
      </c>
      <c r="J82" s="3">
        <v>0</v>
      </c>
      <c r="K82" s="3">
        <v>220</v>
      </c>
      <c r="L82" s="3">
        <v>0</v>
      </c>
      <c r="M82" s="3">
        <v>0</v>
      </c>
      <c r="N82" s="3">
        <v>0</v>
      </c>
      <c r="O82" s="3">
        <v>0</v>
      </c>
      <c r="P82" s="4">
        <f t="shared" si="1"/>
        <v>300</v>
      </c>
      <c r="R82" s="44">
        <v>60</v>
      </c>
      <c r="S82" s="47">
        <v>100</v>
      </c>
    </row>
    <row r="83" spans="1:19" x14ac:dyDescent="0.25">
      <c r="A83" s="8">
        <v>80</v>
      </c>
      <c r="D83" s="49" t="s">
        <v>108</v>
      </c>
      <c r="E83" s="35"/>
      <c r="F83" s="35"/>
      <c r="G83" s="35"/>
      <c r="H83" s="12">
        <v>1000</v>
      </c>
      <c r="I83" s="48" t="s">
        <v>109</v>
      </c>
      <c r="J83" s="3">
        <v>3000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4">
        <f t="shared" si="1"/>
        <v>4000</v>
      </c>
      <c r="R83" s="43"/>
      <c r="S83" s="46"/>
    </row>
  </sheetData>
  <pageMargins left="0.75" right="0.75" top="1" bottom="1" header="0.5" footer="0.5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T83"/>
  <sheetViews>
    <sheetView workbookViewId="0">
      <selection activeCell="R3" sqref="R3:T83"/>
    </sheetView>
  </sheetViews>
  <sheetFormatPr defaultRowHeight="15" x14ac:dyDescent="0.25"/>
  <cols>
    <col min="1" max="1" width="5.5703125" customWidth="1"/>
    <col min="2" max="3" width="9.140625" hidden="1" customWidth="1"/>
    <col min="11" max="15" width="10.140625" bestFit="1" customWidth="1"/>
    <col min="17" max="17" width="2.85546875" customWidth="1"/>
    <col min="19" max="19" width="11.7109375" customWidth="1"/>
  </cols>
  <sheetData>
    <row r="1" spans="1:20" x14ac:dyDescent="0.25">
      <c r="G1" s="1"/>
      <c r="P1">
        <f>+H1+J1-K1-L1-M1-N1-O1</f>
        <v>0</v>
      </c>
    </row>
    <row r="2" spans="1:20" x14ac:dyDescent="0.25">
      <c r="A2" t="s">
        <v>14</v>
      </c>
      <c r="O2" s="38">
        <v>44837</v>
      </c>
    </row>
    <row r="3" spans="1:20" x14ac:dyDescent="0.25">
      <c r="A3" s="3" t="s">
        <v>15</v>
      </c>
      <c r="D3" s="9" t="s">
        <v>17</v>
      </c>
      <c r="E3" s="10"/>
      <c r="F3" s="10"/>
      <c r="G3" s="11"/>
      <c r="H3" s="12" t="s">
        <v>18</v>
      </c>
      <c r="I3" s="4" t="s">
        <v>19</v>
      </c>
      <c r="J3" s="3" t="s">
        <v>20</v>
      </c>
      <c r="K3" s="5">
        <v>44879</v>
      </c>
      <c r="L3" s="6">
        <v>44880</v>
      </c>
      <c r="M3" s="5">
        <v>44881</v>
      </c>
      <c r="N3" s="5">
        <v>44882</v>
      </c>
      <c r="O3" s="6">
        <v>44883</v>
      </c>
      <c r="P3" s="3" t="s">
        <v>21</v>
      </c>
      <c r="R3" s="42" t="s">
        <v>105</v>
      </c>
      <c r="S3" s="45" t="s">
        <v>104</v>
      </c>
    </row>
    <row r="4" spans="1:20" x14ac:dyDescent="0.25">
      <c r="A4" s="7">
        <v>1</v>
      </c>
      <c r="D4" s="13" t="s">
        <v>16</v>
      </c>
      <c r="E4" s="14"/>
      <c r="F4" s="14"/>
      <c r="G4" s="15"/>
      <c r="H4" s="12">
        <f>'KASIM 2 HAFTA '!P4</f>
        <v>181</v>
      </c>
      <c r="I4" s="7" t="s">
        <v>1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4">
        <f t="shared" ref="P4:P67" si="0">+H4+J4-K4-L4-M4-N4-O4</f>
        <v>181</v>
      </c>
      <c r="Q4" t="s">
        <v>67</v>
      </c>
      <c r="R4" s="43">
        <v>100</v>
      </c>
      <c r="S4" s="46">
        <v>500</v>
      </c>
      <c r="T4" t="s">
        <v>75</v>
      </c>
    </row>
    <row r="5" spans="1:20" x14ac:dyDescent="0.25">
      <c r="A5" s="7">
        <v>2</v>
      </c>
      <c r="D5" s="9" t="s">
        <v>22</v>
      </c>
      <c r="E5" s="10"/>
      <c r="F5" s="10"/>
      <c r="G5" s="11"/>
      <c r="H5" s="12">
        <f>'KASIM 2 HAFTA '!P5</f>
        <v>28</v>
      </c>
      <c r="I5" s="7" t="s">
        <v>2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4">
        <f t="shared" si="0"/>
        <v>28</v>
      </c>
      <c r="Q5" s="1" t="s">
        <v>14</v>
      </c>
      <c r="R5" s="44">
        <v>6</v>
      </c>
      <c r="S5" s="47">
        <v>10</v>
      </c>
    </row>
    <row r="6" spans="1:20" x14ac:dyDescent="0.25">
      <c r="A6" s="7">
        <v>3</v>
      </c>
      <c r="D6" s="16" t="s">
        <v>23</v>
      </c>
      <c r="E6" s="17"/>
      <c r="F6" s="17"/>
      <c r="G6" s="18"/>
      <c r="H6" s="12">
        <v>14</v>
      </c>
      <c r="I6" s="7" t="s">
        <v>2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4">
        <f t="shared" si="0"/>
        <v>14</v>
      </c>
      <c r="Q6" s="1" t="s">
        <v>14</v>
      </c>
      <c r="R6" s="44">
        <v>6</v>
      </c>
      <c r="S6" s="47">
        <v>10</v>
      </c>
    </row>
    <row r="7" spans="1:20" x14ac:dyDescent="0.25">
      <c r="A7" s="7">
        <v>4</v>
      </c>
      <c r="D7" s="9" t="s">
        <v>3</v>
      </c>
      <c r="E7" s="10"/>
      <c r="F7" s="10"/>
      <c r="G7" s="11"/>
      <c r="H7" s="12">
        <f>'KASIM 2 HAFTA '!P7</f>
        <v>58</v>
      </c>
      <c r="I7" s="7" t="s">
        <v>2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4">
        <f t="shared" si="0"/>
        <v>58</v>
      </c>
      <c r="Q7" s="1" t="s">
        <v>14</v>
      </c>
      <c r="R7" s="44">
        <v>6</v>
      </c>
      <c r="S7" s="47">
        <v>10</v>
      </c>
    </row>
    <row r="8" spans="1:20" x14ac:dyDescent="0.25">
      <c r="A8" s="7">
        <v>5</v>
      </c>
      <c r="D8" s="16" t="s">
        <v>4</v>
      </c>
      <c r="E8" s="17"/>
      <c r="F8" s="17"/>
      <c r="G8" s="18"/>
      <c r="H8" s="12">
        <f>'KASIM 2 HAFTA '!P8</f>
        <v>214</v>
      </c>
      <c r="I8" s="7" t="s">
        <v>2</v>
      </c>
      <c r="J8" s="3">
        <v>0</v>
      </c>
      <c r="K8" s="3">
        <v>0</v>
      </c>
      <c r="L8" s="3">
        <v>2</v>
      </c>
      <c r="M8" s="3">
        <v>14</v>
      </c>
      <c r="N8" s="3">
        <v>72</v>
      </c>
      <c r="O8" s="3">
        <v>0</v>
      </c>
      <c r="P8" s="4">
        <f t="shared" si="0"/>
        <v>126</v>
      </c>
      <c r="Q8" s="1" t="s">
        <v>14</v>
      </c>
      <c r="R8" s="44">
        <v>100</v>
      </c>
      <c r="S8" s="47">
        <v>400</v>
      </c>
    </row>
    <row r="9" spans="1:20" x14ac:dyDescent="0.25">
      <c r="A9" s="7">
        <v>6</v>
      </c>
      <c r="D9" s="9" t="s">
        <v>24</v>
      </c>
      <c r="E9" s="10"/>
      <c r="F9" s="10"/>
      <c r="G9" s="11"/>
      <c r="H9" s="12">
        <f>'KASIM 2 HAFTA '!P9</f>
        <v>0</v>
      </c>
      <c r="I9" s="7" t="s">
        <v>2</v>
      </c>
      <c r="J9" s="3">
        <v>200</v>
      </c>
      <c r="K9" s="3">
        <v>0</v>
      </c>
      <c r="L9" s="3">
        <v>0</v>
      </c>
      <c r="M9" s="3">
        <v>40</v>
      </c>
      <c r="N9" s="3">
        <v>0</v>
      </c>
      <c r="O9" s="3">
        <v>0</v>
      </c>
      <c r="P9" s="4">
        <f t="shared" si="0"/>
        <v>160</v>
      </c>
      <c r="Q9" s="1" t="s">
        <v>14</v>
      </c>
      <c r="R9" s="44">
        <v>60</v>
      </c>
      <c r="S9" s="47">
        <v>200</v>
      </c>
    </row>
    <row r="10" spans="1:20" x14ac:dyDescent="0.25">
      <c r="A10" s="7">
        <v>7</v>
      </c>
      <c r="D10" s="16" t="s">
        <v>101</v>
      </c>
      <c r="E10" s="17"/>
      <c r="F10" s="17"/>
      <c r="G10" s="18"/>
      <c r="H10" s="12">
        <f>'KASIM 2 HAFTA '!P10</f>
        <v>2131</v>
      </c>
      <c r="I10" s="7" t="s">
        <v>2</v>
      </c>
      <c r="J10" s="3">
        <v>0</v>
      </c>
      <c r="K10" s="3">
        <v>0</v>
      </c>
      <c r="L10" s="3">
        <v>0</v>
      </c>
      <c r="M10" s="3">
        <v>250</v>
      </c>
      <c r="N10" s="3">
        <v>0</v>
      </c>
      <c r="O10" s="3">
        <v>14</v>
      </c>
      <c r="P10" s="4">
        <f t="shared" si="0"/>
        <v>1867</v>
      </c>
      <c r="Q10" s="1" t="s">
        <v>14</v>
      </c>
      <c r="R10" s="44">
        <v>200</v>
      </c>
      <c r="S10" s="47">
        <v>500</v>
      </c>
    </row>
    <row r="11" spans="1:20" x14ac:dyDescent="0.25">
      <c r="A11" s="7">
        <v>8</v>
      </c>
      <c r="D11" s="9" t="s">
        <v>25</v>
      </c>
      <c r="E11" s="10"/>
      <c r="F11" s="10"/>
      <c r="G11" s="11"/>
      <c r="H11" s="12">
        <f>'KASIM 2 HAFTA '!P11</f>
        <v>496</v>
      </c>
      <c r="I11" s="7" t="s">
        <v>2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4">
        <f t="shared" si="0"/>
        <v>496</v>
      </c>
      <c r="Q11" s="1" t="s">
        <v>14</v>
      </c>
      <c r="R11" s="44">
        <v>0</v>
      </c>
      <c r="S11" s="47">
        <v>0</v>
      </c>
    </row>
    <row r="12" spans="1:20" x14ac:dyDescent="0.25">
      <c r="A12" s="7">
        <v>9</v>
      </c>
      <c r="D12" s="16" t="s">
        <v>26</v>
      </c>
      <c r="E12" s="17"/>
      <c r="F12" s="17"/>
      <c r="G12" s="18"/>
      <c r="H12" s="12">
        <f>'KASIM 2 HAFTA '!P12</f>
        <v>60</v>
      </c>
      <c r="I12" s="7" t="s">
        <v>2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4">
        <f t="shared" si="0"/>
        <v>60</v>
      </c>
      <c r="Q12" s="1" t="s">
        <v>14</v>
      </c>
      <c r="R12" s="44">
        <v>200</v>
      </c>
      <c r="S12" s="47">
        <v>400</v>
      </c>
    </row>
    <row r="13" spans="1:20" x14ac:dyDescent="0.25">
      <c r="A13" s="7">
        <v>10</v>
      </c>
      <c r="D13" s="9" t="s">
        <v>6</v>
      </c>
      <c r="E13" s="10"/>
      <c r="F13" s="10"/>
      <c r="G13" s="11"/>
      <c r="H13" s="12">
        <f>'KASIM 2 HAFTA '!P13</f>
        <v>42</v>
      </c>
      <c r="I13" s="7" t="s">
        <v>2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4">
        <f t="shared" si="0"/>
        <v>42</v>
      </c>
      <c r="Q13" s="1" t="s">
        <v>14</v>
      </c>
      <c r="R13" s="44">
        <v>0</v>
      </c>
      <c r="S13" s="46"/>
    </row>
    <row r="14" spans="1:20" x14ac:dyDescent="0.25">
      <c r="A14" s="7">
        <v>11</v>
      </c>
      <c r="D14" s="16" t="s">
        <v>7</v>
      </c>
      <c r="E14" s="17"/>
      <c r="F14" s="17"/>
      <c r="G14" s="18"/>
      <c r="H14" s="12">
        <f>'KASIM 2 HAFTA '!P14</f>
        <v>6</v>
      </c>
      <c r="I14" s="7" t="s">
        <v>2</v>
      </c>
      <c r="J14" s="3">
        <v>0</v>
      </c>
      <c r="K14" s="3">
        <v>0</v>
      </c>
      <c r="L14" s="3">
        <v>0</v>
      </c>
      <c r="M14" s="3">
        <v>6</v>
      </c>
      <c r="N14" s="3">
        <v>0</v>
      </c>
      <c r="O14" s="3">
        <v>0</v>
      </c>
      <c r="P14" s="4">
        <f t="shared" si="0"/>
        <v>0</v>
      </c>
      <c r="Q14" s="1" t="s">
        <v>14</v>
      </c>
      <c r="R14" s="44">
        <v>20</v>
      </c>
      <c r="S14" s="47">
        <v>50</v>
      </c>
    </row>
    <row r="15" spans="1:20" x14ac:dyDescent="0.25">
      <c r="A15" s="7">
        <v>12</v>
      </c>
      <c r="D15" s="9" t="s">
        <v>69</v>
      </c>
      <c r="E15" s="10"/>
      <c r="F15" s="10"/>
      <c r="G15" s="11"/>
      <c r="H15" s="12">
        <f>'KASIM 2 HAFTA '!P15</f>
        <v>26</v>
      </c>
      <c r="I15" s="7" t="s">
        <v>2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4">
        <f t="shared" si="0"/>
        <v>26</v>
      </c>
      <c r="Q15" s="1" t="s">
        <v>14</v>
      </c>
      <c r="R15" s="44">
        <v>100</v>
      </c>
      <c r="S15" s="47">
        <v>200</v>
      </c>
    </row>
    <row r="16" spans="1:20" x14ac:dyDescent="0.25">
      <c r="A16" s="7">
        <v>13</v>
      </c>
      <c r="D16" s="16" t="s">
        <v>27</v>
      </c>
      <c r="E16" s="17"/>
      <c r="F16" s="17"/>
      <c r="G16" s="18"/>
      <c r="H16" s="12">
        <f>'KASIM 2 HAFTA '!P16</f>
        <v>90</v>
      </c>
      <c r="I16" s="7" t="s">
        <v>2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4">
        <f t="shared" si="0"/>
        <v>90</v>
      </c>
      <c r="Q16" s="1" t="s">
        <v>14</v>
      </c>
      <c r="R16" s="44">
        <v>0</v>
      </c>
      <c r="S16" s="46"/>
    </row>
    <row r="17" spans="1:19" x14ac:dyDescent="0.25">
      <c r="A17" s="7">
        <v>14</v>
      </c>
      <c r="D17" s="9" t="s">
        <v>73</v>
      </c>
      <c r="E17" s="10"/>
      <c r="F17" s="10"/>
      <c r="G17" s="11"/>
      <c r="H17" s="12">
        <f>'KASIM 2 HAFTA '!P17</f>
        <v>800</v>
      </c>
      <c r="I17" s="7" t="s">
        <v>2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4">
        <f t="shared" si="0"/>
        <v>800</v>
      </c>
      <c r="Q17" s="1" t="s">
        <v>14</v>
      </c>
      <c r="R17" s="44">
        <v>0</v>
      </c>
      <c r="S17" s="46"/>
    </row>
    <row r="18" spans="1:19" x14ac:dyDescent="0.25">
      <c r="A18" s="7">
        <v>15</v>
      </c>
      <c r="D18" s="16" t="s">
        <v>28</v>
      </c>
      <c r="E18" s="17"/>
      <c r="F18" s="17"/>
      <c r="G18" s="18"/>
      <c r="H18" s="12">
        <f>'KASIM 2 HAFTA '!P18</f>
        <v>17</v>
      </c>
      <c r="I18" s="7" t="s">
        <v>2</v>
      </c>
      <c r="J18" s="3">
        <v>50</v>
      </c>
      <c r="K18" s="3">
        <v>0</v>
      </c>
      <c r="L18" s="3">
        <v>0</v>
      </c>
      <c r="M18" s="3">
        <v>0</v>
      </c>
      <c r="N18" s="3">
        <v>5</v>
      </c>
      <c r="O18" s="3">
        <v>0</v>
      </c>
      <c r="P18" s="4">
        <f t="shared" si="0"/>
        <v>62</v>
      </c>
      <c r="Q18" s="1" t="s">
        <v>14</v>
      </c>
      <c r="R18" s="44">
        <v>20</v>
      </c>
      <c r="S18" s="47">
        <v>50</v>
      </c>
    </row>
    <row r="19" spans="1:19" x14ac:dyDescent="0.25">
      <c r="A19" s="7">
        <v>16</v>
      </c>
      <c r="D19" s="9" t="s">
        <v>29</v>
      </c>
      <c r="E19" s="10"/>
      <c r="F19" s="10"/>
      <c r="G19" s="11"/>
      <c r="H19" s="12">
        <f>'KASIM 2 HAFTA '!P19</f>
        <v>17</v>
      </c>
      <c r="I19" s="7" t="s">
        <v>2</v>
      </c>
      <c r="J19" s="3">
        <v>50</v>
      </c>
      <c r="K19" s="3">
        <v>0</v>
      </c>
      <c r="L19" s="3">
        <v>0</v>
      </c>
      <c r="M19" s="3">
        <v>0</v>
      </c>
      <c r="N19" s="3">
        <v>5</v>
      </c>
      <c r="O19" s="3">
        <v>0</v>
      </c>
      <c r="P19" s="4">
        <f t="shared" si="0"/>
        <v>62</v>
      </c>
      <c r="Q19" s="1" t="s">
        <v>14</v>
      </c>
      <c r="R19" s="44">
        <v>20</v>
      </c>
      <c r="S19" s="47">
        <v>50</v>
      </c>
    </row>
    <row r="20" spans="1:19" x14ac:dyDescent="0.25">
      <c r="A20" s="7">
        <v>17</v>
      </c>
      <c r="D20" s="16" t="s">
        <v>30</v>
      </c>
      <c r="E20" s="17"/>
      <c r="F20" s="17"/>
      <c r="G20" s="18"/>
      <c r="H20" s="12">
        <f>'KASIM 2 HAFTA '!P20</f>
        <v>49</v>
      </c>
      <c r="I20" s="7" t="s">
        <v>2</v>
      </c>
      <c r="J20" s="3">
        <v>50</v>
      </c>
      <c r="K20" s="3">
        <v>0</v>
      </c>
      <c r="L20" s="3">
        <v>0</v>
      </c>
      <c r="M20" s="3">
        <v>0</v>
      </c>
      <c r="N20" s="3">
        <v>5</v>
      </c>
      <c r="O20" s="3">
        <v>0</v>
      </c>
      <c r="P20" s="4">
        <f t="shared" si="0"/>
        <v>94</v>
      </c>
      <c r="Q20" s="1" t="s">
        <v>14</v>
      </c>
      <c r="R20" s="44">
        <v>20</v>
      </c>
      <c r="S20" s="47">
        <v>50</v>
      </c>
    </row>
    <row r="21" spans="1:19" x14ac:dyDescent="0.25">
      <c r="A21" s="7">
        <v>18</v>
      </c>
      <c r="D21" s="9" t="s">
        <v>31</v>
      </c>
      <c r="E21" s="10"/>
      <c r="F21" s="10"/>
      <c r="G21" s="11"/>
      <c r="H21" s="12">
        <f>'KASIM 2 HAFTA '!P21</f>
        <v>33</v>
      </c>
      <c r="I21" s="7" t="s">
        <v>2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4">
        <f t="shared" si="0"/>
        <v>33</v>
      </c>
      <c r="Q21" s="1" t="s">
        <v>14</v>
      </c>
      <c r="R21" s="44">
        <v>0</v>
      </c>
      <c r="S21" s="46"/>
    </row>
    <row r="22" spans="1:19" x14ac:dyDescent="0.25">
      <c r="A22" s="7">
        <v>19</v>
      </c>
      <c r="D22" s="16" t="s">
        <v>8</v>
      </c>
      <c r="E22" s="17"/>
      <c r="F22" s="17"/>
      <c r="G22" s="18"/>
      <c r="H22" s="12">
        <f>'KASIM 2 HAFTA '!P22</f>
        <v>360</v>
      </c>
      <c r="I22" s="7" t="s">
        <v>1</v>
      </c>
      <c r="J22" s="3">
        <v>0</v>
      </c>
      <c r="K22" s="3">
        <v>130</v>
      </c>
      <c r="L22" s="3">
        <v>10</v>
      </c>
      <c r="M22" s="3">
        <v>0</v>
      </c>
      <c r="N22" s="3">
        <v>90</v>
      </c>
      <c r="O22" s="3">
        <v>0</v>
      </c>
      <c r="P22" s="4">
        <f t="shared" si="0"/>
        <v>130</v>
      </c>
      <c r="Q22" s="1" t="s">
        <v>14</v>
      </c>
      <c r="R22" s="44">
        <v>50</v>
      </c>
      <c r="S22" s="47">
        <v>200</v>
      </c>
    </row>
    <row r="23" spans="1:19" x14ac:dyDescent="0.25">
      <c r="A23" s="7">
        <v>20</v>
      </c>
      <c r="D23" s="9" t="s">
        <v>32</v>
      </c>
      <c r="E23" s="10"/>
      <c r="F23" s="10"/>
      <c r="G23" s="11"/>
      <c r="H23" s="12">
        <f>'KASIM 2 HAFTA '!P23</f>
        <v>2000</v>
      </c>
      <c r="I23" s="7" t="s">
        <v>2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4">
        <f t="shared" si="0"/>
        <v>2000</v>
      </c>
      <c r="Q23" s="1" t="s">
        <v>14</v>
      </c>
      <c r="R23" s="44">
        <v>0</v>
      </c>
      <c r="S23" s="46"/>
    </row>
    <row r="24" spans="1:19" x14ac:dyDescent="0.25">
      <c r="A24" s="7">
        <v>21</v>
      </c>
      <c r="D24" s="16" t="s">
        <v>33</v>
      </c>
      <c r="E24" s="17"/>
      <c r="F24" s="17"/>
      <c r="G24" s="18"/>
      <c r="H24" s="12">
        <f>'KASIM 2 HAFTA '!P24</f>
        <v>279</v>
      </c>
      <c r="I24" s="7" t="s">
        <v>2</v>
      </c>
      <c r="J24" s="3">
        <v>0</v>
      </c>
      <c r="K24" s="3">
        <v>0</v>
      </c>
      <c r="L24" s="3">
        <v>0</v>
      </c>
      <c r="M24" s="3">
        <v>0</v>
      </c>
      <c r="N24" s="3">
        <v>6</v>
      </c>
      <c r="O24" s="3">
        <v>0</v>
      </c>
      <c r="P24" s="4">
        <f t="shared" si="0"/>
        <v>273</v>
      </c>
      <c r="Q24" s="1" t="s">
        <v>14</v>
      </c>
      <c r="R24" s="44">
        <v>0</v>
      </c>
      <c r="S24" s="46"/>
    </row>
    <row r="25" spans="1:19" x14ac:dyDescent="0.25">
      <c r="A25" s="7">
        <v>22</v>
      </c>
      <c r="D25" s="9" t="s">
        <v>34</v>
      </c>
      <c r="E25" s="10"/>
      <c r="F25" s="10"/>
      <c r="G25" s="11"/>
      <c r="H25" s="12">
        <f>'KASIM 2 HAFTA '!P25</f>
        <v>40</v>
      </c>
      <c r="I25" s="7" t="s">
        <v>2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4">
        <f t="shared" si="0"/>
        <v>40</v>
      </c>
      <c r="Q25" s="1" t="s">
        <v>14</v>
      </c>
      <c r="R25" s="44">
        <v>0</v>
      </c>
      <c r="S25" s="46"/>
    </row>
    <row r="26" spans="1:19" x14ac:dyDescent="0.25">
      <c r="A26" s="7">
        <v>23</v>
      </c>
      <c r="D26" s="16" t="s">
        <v>82</v>
      </c>
      <c r="E26" s="17"/>
      <c r="F26" s="17"/>
      <c r="G26" s="18"/>
      <c r="H26" s="12">
        <f>'KASIM 2 HAFTA '!P26</f>
        <v>168</v>
      </c>
      <c r="I26" s="7" t="s">
        <v>2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4">
        <f t="shared" si="0"/>
        <v>168</v>
      </c>
      <c r="Q26" s="1" t="s">
        <v>14</v>
      </c>
      <c r="R26" s="44">
        <v>20</v>
      </c>
      <c r="S26" s="47">
        <v>50</v>
      </c>
    </row>
    <row r="27" spans="1:19" x14ac:dyDescent="0.25">
      <c r="A27" s="7">
        <v>24</v>
      </c>
      <c r="D27" s="9" t="s">
        <v>81</v>
      </c>
      <c r="E27" s="10"/>
      <c r="F27" s="10"/>
      <c r="G27" s="11"/>
      <c r="H27" s="12">
        <f>'KASIM 2 HAFTA '!P27</f>
        <v>42</v>
      </c>
      <c r="I27" s="7" t="s">
        <v>2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  <c r="P27" s="4">
        <f t="shared" si="0"/>
        <v>42</v>
      </c>
      <c r="Q27" s="1" t="s">
        <v>14</v>
      </c>
      <c r="R27" s="44">
        <v>20</v>
      </c>
      <c r="S27" s="47">
        <v>50</v>
      </c>
    </row>
    <row r="28" spans="1:19" x14ac:dyDescent="0.25">
      <c r="A28" s="7">
        <v>25</v>
      </c>
      <c r="D28" s="16" t="s">
        <v>35</v>
      </c>
      <c r="E28" s="17"/>
      <c r="F28" s="17"/>
      <c r="G28" s="18"/>
      <c r="H28" s="12">
        <f>'KASIM 2 HAFTA '!P28</f>
        <v>50</v>
      </c>
      <c r="I28" s="7" t="s">
        <v>2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4">
        <f t="shared" si="0"/>
        <v>50</v>
      </c>
      <c r="Q28" s="1" t="s">
        <v>14</v>
      </c>
      <c r="R28" s="44">
        <v>50</v>
      </c>
      <c r="S28" s="47">
        <v>100</v>
      </c>
    </row>
    <row r="29" spans="1:19" x14ac:dyDescent="0.25">
      <c r="A29" s="7">
        <v>26</v>
      </c>
      <c r="D29" s="9" t="s">
        <v>36</v>
      </c>
      <c r="E29" s="10"/>
      <c r="F29" s="10"/>
      <c r="G29" s="11"/>
      <c r="H29" s="12">
        <f>'KASIM 2 HAFTA '!P29</f>
        <v>65</v>
      </c>
      <c r="I29" s="7" t="s">
        <v>2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4">
        <f t="shared" si="0"/>
        <v>65</v>
      </c>
      <c r="Q29" s="1" t="s">
        <v>14</v>
      </c>
      <c r="R29" s="44">
        <v>50</v>
      </c>
      <c r="S29" s="47">
        <v>100</v>
      </c>
    </row>
    <row r="30" spans="1:19" x14ac:dyDescent="0.25">
      <c r="A30" s="7">
        <v>27</v>
      </c>
      <c r="D30" s="16" t="s">
        <v>37</v>
      </c>
      <c r="E30" s="17"/>
      <c r="F30" s="17"/>
      <c r="G30" s="18"/>
      <c r="H30" s="12">
        <f>'KASIM 2 HAFTA '!P30</f>
        <v>232</v>
      </c>
      <c r="I30" s="7" t="s">
        <v>2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4">
        <f t="shared" si="0"/>
        <v>232</v>
      </c>
      <c r="Q30" s="1" t="s">
        <v>14</v>
      </c>
      <c r="R30" s="44">
        <v>20</v>
      </c>
      <c r="S30" s="47">
        <v>50</v>
      </c>
    </row>
    <row r="31" spans="1:19" x14ac:dyDescent="0.25">
      <c r="A31" s="7">
        <v>28</v>
      </c>
      <c r="D31" s="9" t="s">
        <v>38</v>
      </c>
      <c r="E31" s="10"/>
      <c r="F31" s="10"/>
      <c r="G31" s="11"/>
      <c r="H31" s="12">
        <f>'KASIM 2 HAFTA '!P31</f>
        <v>668</v>
      </c>
      <c r="I31" s="7" t="s">
        <v>2</v>
      </c>
      <c r="J31" s="3">
        <v>0</v>
      </c>
      <c r="K31" s="3">
        <v>0</v>
      </c>
      <c r="L31" s="3">
        <v>0</v>
      </c>
      <c r="M31" s="3">
        <v>112</v>
      </c>
      <c r="N31" s="3">
        <v>0</v>
      </c>
      <c r="O31" s="3">
        <v>0</v>
      </c>
      <c r="P31" s="4">
        <f t="shared" si="0"/>
        <v>556</v>
      </c>
      <c r="Q31" s="1" t="s">
        <v>14</v>
      </c>
      <c r="R31" s="44">
        <v>50</v>
      </c>
      <c r="S31" s="47">
        <v>100</v>
      </c>
    </row>
    <row r="32" spans="1:19" x14ac:dyDescent="0.25">
      <c r="A32" s="7">
        <v>29</v>
      </c>
      <c r="D32" s="16" t="s">
        <v>39</v>
      </c>
      <c r="E32" s="17"/>
      <c r="F32" s="17"/>
      <c r="G32" s="18"/>
      <c r="H32" s="12">
        <f>'KASIM 2 HAFTA '!P32</f>
        <v>50</v>
      </c>
      <c r="I32" s="7" t="s">
        <v>2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4">
        <f t="shared" si="0"/>
        <v>50</v>
      </c>
      <c r="Q32" s="1" t="s">
        <v>14</v>
      </c>
      <c r="R32" s="44">
        <v>20</v>
      </c>
      <c r="S32" s="47">
        <v>50</v>
      </c>
    </row>
    <row r="33" spans="1:19" x14ac:dyDescent="0.25">
      <c r="A33" s="7">
        <v>30</v>
      </c>
      <c r="D33" s="9" t="s">
        <v>40</v>
      </c>
      <c r="E33" s="10"/>
      <c r="F33" s="10"/>
      <c r="G33" s="11"/>
      <c r="H33" s="12">
        <f>'KASIM 2 HAFTA '!P33</f>
        <v>1115</v>
      </c>
      <c r="I33" s="7" t="s">
        <v>2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4">
        <f t="shared" si="0"/>
        <v>1115</v>
      </c>
      <c r="Q33" s="1" t="s">
        <v>14</v>
      </c>
      <c r="R33" s="44">
        <v>0</v>
      </c>
      <c r="S33" s="46"/>
    </row>
    <row r="34" spans="1:19" x14ac:dyDescent="0.25">
      <c r="A34" s="7">
        <v>31</v>
      </c>
      <c r="D34" s="16" t="s">
        <v>9</v>
      </c>
      <c r="E34" s="17"/>
      <c r="F34" s="17"/>
      <c r="G34" s="18"/>
      <c r="H34" s="12">
        <f>'KASIM 2 HAFTA '!P34</f>
        <v>546</v>
      </c>
      <c r="I34" s="7" t="s">
        <v>2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4">
        <f t="shared" si="0"/>
        <v>546</v>
      </c>
      <c r="Q34" s="1" t="s">
        <v>14</v>
      </c>
      <c r="R34" s="44">
        <v>50</v>
      </c>
      <c r="S34" s="47">
        <v>100</v>
      </c>
    </row>
    <row r="35" spans="1:19" x14ac:dyDescent="0.25">
      <c r="A35" s="7">
        <v>32</v>
      </c>
      <c r="D35" s="9" t="s">
        <v>83</v>
      </c>
      <c r="E35" s="10"/>
      <c r="F35" s="10"/>
      <c r="G35" s="11"/>
      <c r="H35" s="12">
        <f>'KASIM 2 HAFTA '!P35</f>
        <v>100</v>
      </c>
      <c r="I35" s="7" t="s">
        <v>2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6</v>
      </c>
      <c r="P35" s="4">
        <f t="shared" si="0"/>
        <v>94</v>
      </c>
      <c r="Q35" s="1" t="s">
        <v>14</v>
      </c>
      <c r="R35" s="44">
        <v>20</v>
      </c>
      <c r="S35" s="47">
        <v>50</v>
      </c>
    </row>
    <row r="36" spans="1:19" x14ac:dyDescent="0.25">
      <c r="A36" s="7">
        <v>33</v>
      </c>
      <c r="D36" s="16" t="s">
        <v>70</v>
      </c>
      <c r="E36" s="17"/>
      <c r="F36" s="17"/>
      <c r="G36" s="18"/>
      <c r="H36" s="12">
        <f>'KASIM 2 HAFTA '!P36</f>
        <v>934</v>
      </c>
      <c r="I36" s="7" t="s">
        <v>2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4">
        <f t="shared" si="0"/>
        <v>934</v>
      </c>
      <c r="Q36" s="1" t="s">
        <v>14</v>
      </c>
      <c r="R36" s="44">
        <v>0</v>
      </c>
      <c r="S36" s="46"/>
    </row>
    <row r="37" spans="1:19" x14ac:dyDescent="0.25">
      <c r="A37" s="7">
        <v>34</v>
      </c>
      <c r="D37" s="9" t="s">
        <v>41</v>
      </c>
      <c r="E37" s="10"/>
      <c r="F37" s="10"/>
      <c r="G37" s="11"/>
      <c r="H37" s="12">
        <f>'KASIM 2 HAFTA '!P37</f>
        <v>283</v>
      </c>
      <c r="I37" s="7" t="s">
        <v>2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4">
        <f t="shared" si="0"/>
        <v>283</v>
      </c>
      <c r="Q37" s="1" t="s">
        <v>14</v>
      </c>
      <c r="R37" s="44">
        <v>50</v>
      </c>
      <c r="S37" s="47">
        <v>100</v>
      </c>
    </row>
    <row r="38" spans="1:19" x14ac:dyDescent="0.25">
      <c r="A38" s="7">
        <v>35</v>
      </c>
      <c r="D38" s="16" t="s">
        <v>42</v>
      </c>
      <c r="E38" s="17"/>
      <c r="F38" s="17"/>
      <c r="G38" s="18"/>
      <c r="H38" s="12">
        <f>'KASIM 2 HAFTA '!P38</f>
        <v>287</v>
      </c>
      <c r="I38" s="7" t="s">
        <v>2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4">
        <f t="shared" si="0"/>
        <v>287</v>
      </c>
      <c r="Q38" s="1" t="s">
        <v>14</v>
      </c>
      <c r="R38" s="44">
        <v>50</v>
      </c>
      <c r="S38" s="47">
        <v>100</v>
      </c>
    </row>
    <row r="39" spans="1:19" x14ac:dyDescent="0.25">
      <c r="A39" s="7">
        <v>36</v>
      </c>
      <c r="D39" s="9" t="s">
        <v>43</v>
      </c>
      <c r="E39" s="10"/>
      <c r="F39" s="10"/>
      <c r="G39" s="11"/>
      <c r="H39" s="12">
        <f>'KASIM 2 HAFTA '!P39</f>
        <v>27</v>
      </c>
      <c r="I39" s="7" t="s">
        <v>2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4">
        <f t="shared" si="0"/>
        <v>27</v>
      </c>
      <c r="Q39" s="1" t="s">
        <v>14</v>
      </c>
      <c r="R39" s="44">
        <v>50</v>
      </c>
      <c r="S39" s="47">
        <v>100</v>
      </c>
    </row>
    <row r="40" spans="1:19" x14ac:dyDescent="0.25">
      <c r="A40" s="7">
        <v>37</v>
      </c>
      <c r="D40" s="16" t="s">
        <v>44</v>
      </c>
      <c r="E40" s="17"/>
      <c r="F40" s="17"/>
      <c r="G40" s="18"/>
      <c r="H40" s="12">
        <f>'KASIM 2 HAFTA '!P40</f>
        <v>99</v>
      </c>
      <c r="I40" s="7" t="s">
        <v>2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4">
        <f t="shared" si="0"/>
        <v>99</v>
      </c>
      <c r="Q40" s="1" t="s">
        <v>14</v>
      </c>
      <c r="R40" s="44">
        <v>0</v>
      </c>
      <c r="S40" s="46"/>
    </row>
    <row r="41" spans="1:19" x14ac:dyDescent="0.25">
      <c r="A41" s="7">
        <v>38</v>
      </c>
      <c r="D41" s="9" t="s">
        <v>71</v>
      </c>
      <c r="E41" s="10"/>
      <c r="F41" s="10"/>
      <c r="G41" s="11"/>
      <c r="H41" s="12">
        <f>'KASIM 2 HAFTA '!P41</f>
        <v>20</v>
      </c>
      <c r="I41" s="7" t="s">
        <v>2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4">
        <f t="shared" si="0"/>
        <v>20</v>
      </c>
      <c r="Q41" s="1" t="s">
        <v>14</v>
      </c>
      <c r="R41" s="44">
        <v>5</v>
      </c>
      <c r="S41" s="47">
        <v>10</v>
      </c>
    </row>
    <row r="42" spans="1:19" x14ac:dyDescent="0.25">
      <c r="A42" s="7">
        <v>39</v>
      </c>
      <c r="D42" s="16" t="s">
        <v>10</v>
      </c>
      <c r="E42" s="17"/>
      <c r="F42" s="17"/>
      <c r="G42" s="18"/>
      <c r="H42" s="12">
        <f>'KASIM 2 HAFTA '!P42</f>
        <v>20</v>
      </c>
      <c r="I42" s="7" t="s">
        <v>2</v>
      </c>
      <c r="J42" s="3">
        <v>100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4">
        <f t="shared" si="0"/>
        <v>120</v>
      </c>
      <c r="Q42" s="1" t="s">
        <v>14</v>
      </c>
      <c r="R42" s="44">
        <v>40</v>
      </c>
      <c r="S42" s="47">
        <v>100</v>
      </c>
    </row>
    <row r="43" spans="1:19" x14ac:dyDescent="0.25">
      <c r="A43" s="7">
        <v>40</v>
      </c>
      <c r="D43" s="9" t="s">
        <v>45</v>
      </c>
      <c r="E43" s="10"/>
      <c r="F43" s="10"/>
      <c r="G43" s="11"/>
      <c r="H43" s="12">
        <f>'KASIM 2 HAFTA '!P43</f>
        <v>27</v>
      </c>
      <c r="I43" s="7" t="s">
        <v>2</v>
      </c>
      <c r="J43" s="3">
        <v>100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4">
        <f t="shared" si="0"/>
        <v>127</v>
      </c>
      <c r="Q43" s="1" t="s">
        <v>14</v>
      </c>
      <c r="R43" s="44">
        <v>20</v>
      </c>
      <c r="S43" s="47">
        <v>50</v>
      </c>
    </row>
    <row r="44" spans="1:19" x14ac:dyDescent="0.25">
      <c r="A44" s="7">
        <v>41</v>
      </c>
      <c r="D44" s="16" t="s">
        <v>46</v>
      </c>
      <c r="E44" s="17"/>
      <c r="F44" s="17"/>
      <c r="G44" s="18"/>
      <c r="H44" s="12">
        <f>'KASIM 2 HAFTA '!P44</f>
        <v>25</v>
      </c>
      <c r="I44" s="7" t="s">
        <v>2</v>
      </c>
      <c r="J44" s="3">
        <v>100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4">
        <f t="shared" si="0"/>
        <v>125</v>
      </c>
      <c r="Q44" s="1" t="s">
        <v>14</v>
      </c>
      <c r="R44" s="44">
        <v>20</v>
      </c>
      <c r="S44" s="47">
        <v>50</v>
      </c>
    </row>
    <row r="45" spans="1:19" x14ac:dyDescent="0.25">
      <c r="A45" s="7">
        <v>42</v>
      </c>
      <c r="D45" s="9" t="s">
        <v>47</v>
      </c>
      <c r="E45" s="10"/>
      <c r="F45" s="10"/>
      <c r="G45" s="11"/>
      <c r="H45" s="12">
        <f>'KASIM 2 HAFTA '!P45</f>
        <v>40</v>
      </c>
      <c r="I45" s="7" t="s">
        <v>2</v>
      </c>
      <c r="J45" s="3">
        <v>100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4">
        <f t="shared" si="0"/>
        <v>140</v>
      </c>
      <c r="Q45" s="1" t="s">
        <v>14</v>
      </c>
      <c r="R45" s="44">
        <v>20</v>
      </c>
      <c r="S45" s="47">
        <v>50</v>
      </c>
    </row>
    <row r="46" spans="1:19" x14ac:dyDescent="0.25">
      <c r="A46" s="7">
        <v>43</v>
      </c>
      <c r="D46" s="16" t="s">
        <v>79</v>
      </c>
      <c r="E46" s="17"/>
      <c r="F46" s="17"/>
      <c r="G46" s="18"/>
      <c r="H46" s="12">
        <f>'KASIM 2 HAFTA '!P46</f>
        <v>44</v>
      </c>
      <c r="I46" s="7" t="s">
        <v>2</v>
      </c>
      <c r="J46" s="3">
        <v>20</v>
      </c>
      <c r="K46" s="3">
        <v>0</v>
      </c>
      <c r="L46" s="3">
        <v>0</v>
      </c>
      <c r="M46" s="3">
        <v>0</v>
      </c>
      <c r="N46" s="3">
        <v>0</v>
      </c>
      <c r="O46" s="3">
        <v>1</v>
      </c>
      <c r="P46" s="4">
        <f t="shared" si="0"/>
        <v>63</v>
      </c>
      <c r="Q46" s="1" t="s">
        <v>14</v>
      </c>
      <c r="R46" s="44">
        <v>10</v>
      </c>
      <c r="S46" s="47">
        <v>20</v>
      </c>
    </row>
    <row r="47" spans="1:19" x14ac:dyDescent="0.25">
      <c r="A47" s="7">
        <v>44</v>
      </c>
      <c r="D47" s="9" t="s">
        <v>48</v>
      </c>
      <c r="E47" s="10"/>
      <c r="F47" s="10"/>
      <c r="G47" s="11"/>
      <c r="H47" s="12">
        <f>'KASIM 2 HAFTA '!P47</f>
        <v>39</v>
      </c>
      <c r="I47" s="7" t="s">
        <v>2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1</v>
      </c>
      <c r="P47" s="4">
        <f t="shared" si="0"/>
        <v>38</v>
      </c>
      <c r="Q47" s="1" t="s">
        <v>14</v>
      </c>
      <c r="R47" s="44">
        <v>10</v>
      </c>
      <c r="S47" s="47">
        <v>20</v>
      </c>
    </row>
    <row r="48" spans="1:19" x14ac:dyDescent="0.25">
      <c r="A48" s="7">
        <v>45</v>
      </c>
      <c r="D48" s="16" t="s">
        <v>49</v>
      </c>
      <c r="E48" s="17"/>
      <c r="F48" s="17"/>
      <c r="G48" s="18"/>
      <c r="H48" s="12">
        <f>'KASIM 2 HAFTA '!P48</f>
        <v>1</v>
      </c>
      <c r="I48" s="7" t="s">
        <v>2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1</v>
      </c>
      <c r="P48" s="4">
        <f t="shared" si="0"/>
        <v>0</v>
      </c>
      <c r="Q48" s="1" t="s">
        <v>14</v>
      </c>
      <c r="R48" s="44">
        <v>10</v>
      </c>
      <c r="S48" s="47">
        <v>20</v>
      </c>
    </row>
    <row r="49" spans="1:20" x14ac:dyDescent="0.25">
      <c r="A49" s="7">
        <v>46</v>
      </c>
      <c r="D49" s="9" t="s">
        <v>11</v>
      </c>
      <c r="E49" s="10"/>
      <c r="F49" s="10"/>
      <c r="G49" s="11"/>
      <c r="H49" s="12">
        <f>'KASIM 2 HAFTA '!P49</f>
        <v>0</v>
      </c>
      <c r="I49" s="7" t="s">
        <v>1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4">
        <f t="shared" si="0"/>
        <v>0</v>
      </c>
      <c r="Q49" s="1" t="s">
        <v>14</v>
      </c>
      <c r="R49" s="44">
        <v>20</v>
      </c>
      <c r="S49" s="47">
        <v>100</v>
      </c>
      <c r="T49" t="s">
        <v>75</v>
      </c>
    </row>
    <row r="50" spans="1:20" x14ac:dyDescent="0.25">
      <c r="A50" s="7">
        <v>47</v>
      </c>
      <c r="D50" s="16" t="s">
        <v>50</v>
      </c>
      <c r="E50" s="17"/>
      <c r="F50" s="17"/>
      <c r="G50" s="18"/>
      <c r="H50" s="12">
        <f>'KASIM 2 HAFTA '!P50</f>
        <v>180</v>
      </c>
      <c r="I50" s="7" t="s">
        <v>2</v>
      </c>
      <c r="J50" s="3">
        <v>0</v>
      </c>
      <c r="K50" s="3">
        <v>0</v>
      </c>
      <c r="L50" s="3">
        <v>0</v>
      </c>
      <c r="M50" s="3">
        <v>0</v>
      </c>
      <c r="N50" s="3">
        <v>6</v>
      </c>
      <c r="O50" s="3">
        <v>2</v>
      </c>
      <c r="P50" s="4">
        <f t="shared" si="0"/>
        <v>172</v>
      </c>
      <c r="Q50" s="1" t="s">
        <v>14</v>
      </c>
      <c r="R50" s="44">
        <v>30</v>
      </c>
      <c r="S50" s="47">
        <v>100</v>
      </c>
    </row>
    <row r="51" spans="1:20" x14ac:dyDescent="0.25">
      <c r="A51" s="7">
        <v>48</v>
      </c>
      <c r="D51" s="9" t="s">
        <v>51</v>
      </c>
      <c r="E51" s="10"/>
      <c r="F51" s="10"/>
      <c r="G51" s="11"/>
      <c r="H51" s="12">
        <f>'KASIM 2 HAFTA '!P51</f>
        <v>103</v>
      </c>
      <c r="I51" s="7" t="s">
        <v>2</v>
      </c>
      <c r="J51" s="3">
        <v>0</v>
      </c>
      <c r="K51" s="3">
        <v>0</v>
      </c>
      <c r="L51" s="3">
        <v>0</v>
      </c>
      <c r="M51" s="3">
        <v>7</v>
      </c>
      <c r="N51" s="3">
        <v>0</v>
      </c>
      <c r="O51" s="3">
        <v>0</v>
      </c>
      <c r="P51" s="4">
        <f t="shared" si="0"/>
        <v>96</v>
      </c>
      <c r="Q51" s="1" t="s">
        <v>14</v>
      </c>
      <c r="R51" s="44">
        <v>20</v>
      </c>
      <c r="S51" s="47">
        <v>50</v>
      </c>
    </row>
    <row r="52" spans="1:20" x14ac:dyDescent="0.25">
      <c r="A52" s="7">
        <v>49</v>
      </c>
      <c r="D52" s="16" t="s">
        <v>52</v>
      </c>
      <c r="E52" s="17"/>
      <c r="F52" s="17"/>
      <c r="G52" s="18"/>
      <c r="H52" s="12">
        <f>'KASIM 2 HAFTA '!P52</f>
        <v>49</v>
      </c>
      <c r="I52" s="7" t="s">
        <v>2</v>
      </c>
      <c r="J52" s="3">
        <v>0</v>
      </c>
      <c r="K52" s="3">
        <v>0</v>
      </c>
      <c r="L52" s="3">
        <v>0</v>
      </c>
      <c r="M52" s="3">
        <v>7</v>
      </c>
      <c r="N52" s="3">
        <v>0</v>
      </c>
      <c r="O52" s="3">
        <v>0</v>
      </c>
      <c r="P52" s="4">
        <f t="shared" si="0"/>
        <v>42</v>
      </c>
      <c r="Q52" s="1" t="s">
        <v>14</v>
      </c>
      <c r="R52" s="44">
        <v>20</v>
      </c>
      <c r="S52" s="47">
        <v>50</v>
      </c>
    </row>
    <row r="53" spans="1:20" x14ac:dyDescent="0.25">
      <c r="A53" s="7">
        <v>50</v>
      </c>
      <c r="D53" s="9" t="s">
        <v>53</v>
      </c>
      <c r="E53" s="10"/>
      <c r="F53" s="10"/>
      <c r="G53" s="11"/>
      <c r="H53" s="12">
        <f>'KASIM 2 HAFTA '!P53</f>
        <v>49</v>
      </c>
      <c r="I53" s="7" t="s">
        <v>2</v>
      </c>
      <c r="J53" s="3">
        <v>0</v>
      </c>
      <c r="K53" s="3">
        <v>0</v>
      </c>
      <c r="L53" s="3">
        <v>0</v>
      </c>
      <c r="M53" s="3">
        <v>7</v>
      </c>
      <c r="N53" s="3">
        <v>0</v>
      </c>
      <c r="O53" s="3">
        <v>0</v>
      </c>
      <c r="P53" s="4">
        <f t="shared" si="0"/>
        <v>42</v>
      </c>
      <c r="Q53" s="1" t="s">
        <v>14</v>
      </c>
      <c r="R53" s="44">
        <v>20</v>
      </c>
      <c r="S53" s="47">
        <v>50</v>
      </c>
    </row>
    <row r="54" spans="1:20" x14ac:dyDescent="0.25">
      <c r="A54" s="7">
        <v>51</v>
      </c>
      <c r="D54" s="16" t="s">
        <v>54</v>
      </c>
      <c r="E54" s="17"/>
      <c r="F54" s="17"/>
      <c r="G54" s="18"/>
      <c r="H54" s="12">
        <v>300</v>
      </c>
      <c r="I54" s="7" t="s">
        <v>1</v>
      </c>
      <c r="J54" s="3">
        <v>135</v>
      </c>
      <c r="K54" s="3">
        <v>30</v>
      </c>
      <c r="L54" s="3">
        <v>45</v>
      </c>
      <c r="M54" s="3">
        <v>60</v>
      </c>
      <c r="N54" s="3">
        <v>30</v>
      </c>
      <c r="O54" s="3">
        <v>30</v>
      </c>
      <c r="P54" s="4">
        <f t="shared" si="0"/>
        <v>240</v>
      </c>
      <c r="Q54" s="1" t="s">
        <v>68</v>
      </c>
      <c r="R54" s="44">
        <v>250</v>
      </c>
      <c r="S54" s="47">
        <v>750</v>
      </c>
      <c r="T54" t="s">
        <v>75</v>
      </c>
    </row>
    <row r="55" spans="1:20" x14ac:dyDescent="0.25">
      <c r="A55" s="7">
        <v>52</v>
      </c>
      <c r="D55" s="9" t="s">
        <v>55</v>
      </c>
      <c r="E55" s="10"/>
      <c r="F55" s="10"/>
      <c r="G55" s="11"/>
      <c r="H55" s="12">
        <f>'KASIM 2 HAFTA '!P55</f>
        <v>4500</v>
      </c>
      <c r="I55" s="7" t="s">
        <v>2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  <c r="P55" s="4">
        <f t="shared" si="0"/>
        <v>4500</v>
      </c>
      <c r="Q55" s="1" t="s">
        <v>14</v>
      </c>
      <c r="R55" s="44">
        <v>0</v>
      </c>
      <c r="S55" s="46"/>
    </row>
    <row r="56" spans="1:20" x14ac:dyDescent="0.25">
      <c r="A56" s="7">
        <v>53</v>
      </c>
      <c r="D56" s="16" t="s">
        <v>56</v>
      </c>
      <c r="E56" s="17"/>
      <c r="F56" s="17"/>
      <c r="G56" s="18"/>
      <c r="H56" s="12">
        <f>'KASIM 2 HAFTA '!P56</f>
        <v>2000</v>
      </c>
      <c r="I56" s="7" t="s">
        <v>2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  <c r="P56" s="4">
        <f t="shared" si="0"/>
        <v>2000</v>
      </c>
      <c r="Q56" s="1" t="s">
        <v>14</v>
      </c>
      <c r="R56" s="44">
        <v>0</v>
      </c>
      <c r="S56" s="46"/>
    </row>
    <row r="57" spans="1:20" x14ac:dyDescent="0.25">
      <c r="A57" s="7">
        <v>54</v>
      </c>
      <c r="D57" s="9" t="s">
        <v>12</v>
      </c>
      <c r="E57" s="10"/>
      <c r="F57" s="10"/>
      <c r="G57" s="11"/>
      <c r="H57" s="12">
        <f>'KASIM 2 HAFTA '!P57</f>
        <v>2800</v>
      </c>
      <c r="I57" s="7" t="s">
        <v>2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  <c r="P57" s="4">
        <f t="shared" si="0"/>
        <v>2800</v>
      </c>
      <c r="Q57" s="1" t="s">
        <v>14</v>
      </c>
      <c r="R57" s="44">
        <v>0</v>
      </c>
      <c r="S57" s="46"/>
    </row>
    <row r="58" spans="1:20" x14ac:dyDescent="0.25">
      <c r="A58" s="7">
        <v>55</v>
      </c>
      <c r="D58" s="16" t="s">
        <v>57</v>
      </c>
      <c r="E58" s="17"/>
      <c r="F58" s="17"/>
      <c r="G58" s="18"/>
      <c r="H58" s="12">
        <f>'KASIM 2 HAFTA '!P58</f>
        <v>3000</v>
      </c>
      <c r="I58" s="7" t="s">
        <v>2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4">
        <f t="shared" si="0"/>
        <v>3000</v>
      </c>
      <c r="Q58" s="1" t="s">
        <v>14</v>
      </c>
      <c r="R58" s="44">
        <v>0</v>
      </c>
      <c r="S58" s="46"/>
    </row>
    <row r="59" spans="1:20" x14ac:dyDescent="0.25">
      <c r="A59" s="7">
        <v>56</v>
      </c>
      <c r="D59" s="9" t="s">
        <v>58</v>
      </c>
      <c r="E59" s="10"/>
      <c r="F59" s="10"/>
      <c r="G59" s="11"/>
      <c r="H59" s="12">
        <f>'KASIM 2 HAFTA '!P59</f>
        <v>5000</v>
      </c>
      <c r="I59" s="7" t="s">
        <v>2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  <c r="P59" s="4">
        <f t="shared" si="0"/>
        <v>5000</v>
      </c>
      <c r="Q59" s="1" t="s">
        <v>14</v>
      </c>
      <c r="R59" s="44">
        <v>0</v>
      </c>
      <c r="S59" s="46"/>
    </row>
    <row r="60" spans="1:20" x14ac:dyDescent="0.25">
      <c r="A60" s="7">
        <v>57</v>
      </c>
      <c r="D60" s="16" t="s">
        <v>59</v>
      </c>
      <c r="E60" s="17"/>
      <c r="F60" s="17"/>
      <c r="G60" s="18"/>
      <c r="H60" s="12">
        <f>'KASIM 2 HAFTA '!P60</f>
        <v>3000</v>
      </c>
      <c r="I60" s="7" t="s">
        <v>2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4">
        <f t="shared" si="0"/>
        <v>3000</v>
      </c>
      <c r="Q60" s="1" t="s">
        <v>14</v>
      </c>
      <c r="R60" s="44">
        <v>0</v>
      </c>
      <c r="S60" s="46"/>
    </row>
    <row r="61" spans="1:20" x14ac:dyDescent="0.25">
      <c r="A61" s="7">
        <v>58</v>
      </c>
      <c r="D61" s="9" t="s">
        <v>60</v>
      </c>
      <c r="E61" s="10"/>
      <c r="F61" s="10"/>
      <c r="G61" s="11"/>
      <c r="H61" s="12">
        <f>'KASIM 2 HAFTA '!P61</f>
        <v>5000</v>
      </c>
      <c r="I61" s="7" t="s">
        <v>2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4">
        <f t="shared" si="0"/>
        <v>5000</v>
      </c>
      <c r="Q61" s="1" t="s">
        <v>14</v>
      </c>
      <c r="R61" s="44">
        <v>0</v>
      </c>
      <c r="S61" s="46"/>
    </row>
    <row r="62" spans="1:20" x14ac:dyDescent="0.25">
      <c r="A62" s="7">
        <v>59</v>
      </c>
      <c r="D62" s="16" t="s">
        <v>61</v>
      </c>
      <c r="E62" s="17"/>
      <c r="F62" s="17"/>
      <c r="G62" s="18"/>
      <c r="H62" s="12">
        <f>'KASIM 2 HAFTA '!P62</f>
        <v>494</v>
      </c>
      <c r="I62" s="7" t="s">
        <v>2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4">
        <f t="shared" si="0"/>
        <v>494</v>
      </c>
      <c r="Q62" s="1" t="s">
        <v>14</v>
      </c>
      <c r="R62" s="44">
        <v>0</v>
      </c>
      <c r="S62" s="46"/>
    </row>
    <row r="63" spans="1:20" x14ac:dyDescent="0.25">
      <c r="A63" s="7">
        <v>60</v>
      </c>
      <c r="D63" s="9" t="s">
        <v>62</v>
      </c>
      <c r="E63" s="10"/>
      <c r="F63" s="10"/>
      <c r="G63" s="11"/>
      <c r="H63" s="12">
        <f>'KASIM 2 HAFTA '!P63</f>
        <v>1284</v>
      </c>
      <c r="I63" s="7" t="s">
        <v>2</v>
      </c>
      <c r="J63" s="3">
        <v>0</v>
      </c>
      <c r="K63" s="3">
        <v>0</v>
      </c>
      <c r="L63" s="3">
        <v>0</v>
      </c>
      <c r="M63" s="3">
        <v>100</v>
      </c>
      <c r="N63" s="3">
        <v>0</v>
      </c>
      <c r="O63" s="3">
        <v>0</v>
      </c>
      <c r="P63" s="4">
        <f t="shared" si="0"/>
        <v>1184</v>
      </c>
      <c r="Q63" s="1" t="s">
        <v>14</v>
      </c>
      <c r="R63" s="44">
        <v>200</v>
      </c>
      <c r="S63" s="47">
        <v>1000</v>
      </c>
    </row>
    <row r="64" spans="1:20" x14ac:dyDescent="0.25">
      <c r="A64" s="7">
        <v>61</v>
      </c>
      <c r="D64" s="16" t="s">
        <v>13</v>
      </c>
      <c r="E64" s="17"/>
      <c r="F64" s="17"/>
      <c r="G64" s="18"/>
      <c r="H64" s="12">
        <f>'KASIM 2 HAFTA '!P64</f>
        <v>447</v>
      </c>
      <c r="I64" s="7" t="s">
        <v>2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4">
        <f t="shared" si="0"/>
        <v>447</v>
      </c>
      <c r="Q64" s="1" t="s">
        <v>14</v>
      </c>
      <c r="R64" s="44">
        <v>100</v>
      </c>
      <c r="S64" s="47">
        <v>300</v>
      </c>
    </row>
    <row r="65" spans="1:20" x14ac:dyDescent="0.25">
      <c r="A65" s="7">
        <v>62</v>
      </c>
      <c r="D65" s="9" t="s">
        <v>72</v>
      </c>
      <c r="E65" s="10"/>
      <c r="F65" s="10"/>
      <c r="G65" s="11"/>
      <c r="H65" s="12">
        <f>'KASIM 2 HAFTA '!P65</f>
        <v>315</v>
      </c>
      <c r="I65" s="7" t="s">
        <v>2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4">
        <f t="shared" si="0"/>
        <v>315</v>
      </c>
      <c r="Q65" s="1" t="s">
        <v>14</v>
      </c>
      <c r="R65" s="44">
        <v>100</v>
      </c>
      <c r="S65" s="47">
        <v>300</v>
      </c>
    </row>
    <row r="66" spans="1:20" x14ac:dyDescent="0.25">
      <c r="A66" s="7">
        <v>63</v>
      </c>
      <c r="D66" s="16" t="s">
        <v>63</v>
      </c>
      <c r="E66" s="17"/>
      <c r="F66" s="17"/>
      <c r="G66" s="18"/>
      <c r="H66" s="12">
        <f>'KASIM 2 HAFTA '!P66</f>
        <v>350</v>
      </c>
      <c r="I66" s="7" t="s">
        <v>2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  <c r="P66" s="4">
        <f t="shared" si="0"/>
        <v>350</v>
      </c>
      <c r="Q66" s="1" t="s">
        <v>14</v>
      </c>
      <c r="R66" s="44">
        <v>100</v>
      </c>
      <c r="S66" s="47">
        <v>300</v>
      </c>
    </row>
    <row r="67" spans="1:20" x14ac:dyDescent="0.25">
      <c r="A67" s="7">
        <v>64</v>
      </c>
      <c r="D67" s="9" t="s">
        <v>77</v>
      </c>
      <c r="E67" s="10"/>
      <c r="F67" s="10"/>
      <c r="G67" s="11"/>
      <c r="H67" s="12">
        <f>'KASIM 2 HAFTA '!P67</f>
        <v>1382</v>
      </c>
      <c r="I67" s="7" t="s">
        <v>2</v>
      </c>
      <c r="J67" s="3">
        <v>0</v>
      </c>
      <c r="K67" s="3">
        <v>0</v>
      </c>
      <c r="L67" s="3">
        <v>0</v>
      </c>
      <c r="M67" s="3">
        <v>0</v>
      </c>
      <c r="N67" s="3">
        <v>208</v>
      </c>
      <c r="O67" s="3">
        <v>12</v>
      </c>
      <c r="P67" s="4">
        <f t="shared" si="0"/>
        <v>1162</v>
      </c>
      <c r="Q67" s="1" t="s">
        <v>14</v>
      </c>
      <c r="R67" s="44">
        <v>100</v>
      </c>
      <c r="S67" s="47">
        <v>300</v>
      </c>
    </row>
    <row r="68" spans="1:20" x14ac:dyDescent="0.25">
      <c r="A68" s="7">
        <v>65</v>
      </c>
      <c r="D68" s="16" t="s">
        <v>87</v>
      </c>
      <c r="E68" s="17"/>
      <c r="F68" s="17"/>
      <c r="G68" s="18"/>
      <c r="H68" s="12">
        <f>'KASIM 2 HAFTA '!P68</f>
        <v>515</v>
      </c>
      <c r="I68" s="7" t="s">
        <v>2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4">
        <f t="shared" ref="P68:P83" si="1">+H68+J68-K68-L68-M68-N68-O68</f>
        <v>515</v>
      </c>
      <c r="Q68" s="1" t="s">
        <v>14</v>
      </c>
      <c r="R68" s="44">
        <v>0</v>
      </c>
      <c r="S68" s="46"/>
    </row>
    <row r="69" spans="1:20" x14ac:dyDescent="0.25">
      <c r="A69" s="7">
        <v>66</v>
      </c>
      <c r="D69" s="9" t="s">
        <v>64</v>
      </c>
      <c r="E69" s="10"/>
      <c r="F69" s="10"/>
      <c r="G69" s="11"/>
      <c r="H69" s="12">
        <f>'KASIM 2 HAFTA '!P69</f>
        <v>328</v>
      </c>
      <c r="I69" s="7" t="s">
        <v>2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4">
        <f t="shared" si="1"/>
        <v>328</v>
      </c>
      <c r="Q69" s="1" t="s">
        <v>14</v>
      </c>
      <c r="R69" s="44">
        <v>50</v>
      </c>
      <c r="S69" s="47">
        <v>100</v>
      </c>
    </row>
    <row r="70" spans="1:20" x14ac:dyDescent="0.25">
      <c r="A70" s="7">
        <v>67</v>
      </c>
      <c r="D70" s="16" t="s">
        <v>65</v>
      </c>
      <c r="E70" s="17"/>
      <c r="F70" s="17"/>
      <c r="G70" s="18"/>
      <c r="H70" s="12">
        <f>'KASIM 2 HAFTA '!P70</f>
        <v>60</v>
      </c>
      <c r="I70" s="7" t="s">
        <v>2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4">
        <f t="shared" si="1"/>
        <v>60</v>
      </c>
      <c r="Q70" s="1" t="s">
        <v>14</v>
      </c>
      <c r="R70" s="44">
        <v>0</v>
      </c>
      <c r="S70" s="46"/>
    </row>
    <row r="71" spans="1:20" x14ac:dyDescent="0.25">
      <c r="A71" s="7">
        <v>68</v>
      </c>
      <c r="D71" s="9" t="s">
        <v>66</v>
      </c>
      <c r="E71" s="10"/>
      <c r="F71" s="10"/>
      <c r="G71" s="11"/>
      <c r="H71" s="12">
        <f>'KASIM 2 HAFTA '!P71</f>
        <v>500</v>
      </c>
      <c r="I71" s="7" t="s">
        <v>2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4">
        <f t="shared" si="1"/>
        <v>500</v>
      </c>
      <c r="Q71" s="1" t="s">
        <v>14</v>
      </c>
      <c r="R71" s="44">
        <v>300</v>
      </c>
      <c r="S71" s="47">
        <v>1000</v>
      </c>
    </row>
    <row r="72" spans="1:20" x14ac:dyDescent="0.25">
      <c r="A72" s="7">
        <v>69</v>
      </c>
      <c r="D72" s="19" t="s">
        <v>86</v>
      </c>
      <c r="E72" s="20"/>
      <c r="F72" s="20"/>
      <c r="G72" s="21"/>
      <c r="H72" s="12">
        <f>'KASIM 2 HAFTA '!P72</f>
        <v>0</v>
      </c>
      <c r="I72" s="7" t="s">
        <v>2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  <c r="P72" s="4">
        <f t="shared" si="1"/>
        <v>0</v>
      </c>
      <c r="Q72" s="1" t="s">
        <v>14</v>
      </c>
      <c r="R72" s="44">
        <v>50</v>
      </c>
      <c r="S72" s="47">
        <v>150</v>
      </c>
    </row>
    <row r="73" spans="1:20" x14ac:dyDescent="0.25">
      <c r="A73" s="7">
        <v>70</v>
      </c>
      <c r="D73" s="22" t="s">
        <v>74</v>
      </c>
      <c r="E73" s="10"/>
      <c r="F73" s="10"/>
      <c r="G73" s="11"/>
      <c r="H73" s="12">
        <f>'KASIM 2 HAFTA '!P73</f>
        <v>32</v>
      </c>
      <c r="I73" s="8" t="s">
        <v>75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4">
        <f t="shared" si="1"/>
        <v>32</v>
      </c>
      <c r="Q73" s="1" t="s">
        <v>91</v>
      </c>
      <c r="R73" s="44">
        <v>65</v>
      </c>
      <c r="S73" s="47">
        <v>150</v>
      </c>
    </row>
    <row r="74" spans="1:20" x14ac:dyDescent="0.25">
      <c r="A74" s="7">
        <v>71</v>
      </c>
      <c r="C74" s="1" t="s">
        <v>14</v>
      </c>
      <c r="D74" s="22" t="s">
        <v>76</v>
      </c>
      <c r="E74" s="10"/>
      <c r="F74" s="10"/>
      <c r="G74" s="11"/>
      <c r="H74" s="12">
        <f>'KASIM 2 HAFTA '!P74</f>
        <v>142</v>
      </c>
      <c r="I74" s="8" t="s">
        <v>2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4">
        <f t="shared" si="1"/>
        <v>142</v>
      </c>
      <c r="Q74" s="1" t="s">
        <v>14</v>
      </c>
      <c r="R74" s="44">
        <v>50</v>
      </c>
      <c r="S74" s="47">
        <v>100</v>
      </c>
    </row>
    <row r="75" spans="1:20" x14ac:dyDescent="0.25">
      <c r="A75" s="7">
        <v>72</v>
      </c>
      <c r="D75" s="25" t="s">
        <v>78</v>
      </c>
      <c r="H75" s="12">
        <f>'KASIM 2 HAFTA '!P75</f>
        <v>32</v>
      </c>
      <c r="I75" s="30" t="s">
        <v>2</v>
      </c>
      <c r="J75" s="3">
        <v>100</v>
      </c>
      <c r="K75" s="3">
        <v>0</v>
      </c>
      <c r="L75" s="3">
        <v>5</v>
      </c>
      <c r="M75" s="3">
        <v>106</v>
      </c>
      <c r="N75" s="3">
        <v>0</v>
      </c>
      <c r="O75" s="3">
        <v>0</v>
      </c>
      <c r="P75" s="4">
        <f t="shared" si="1"/>
        <v>21</v>
      </c>
      <c r="Q75" s="1" t="s">
        <v>14</v>
      </c>
      <c r="R75" s="44">
        <v>50</v>
      </c>
      <c r="S75" s="47">
        <v>100</v>
      </c>
    </row>
    <row r="76" spans="1:20" x14ac:dyDescent="0.25">
      <c r="A76" s="7">
        <v>73</v>
      </c>
      <c r="D76" s="26" t="s">
        <v>80</v>
      </c>
      <c r="E76" s="27"/>
      <c r="F76" s="27"/>
      <c r="G76" s="28"/>
      <c r="H76" s="12">
        <f>'KASIM 2 HAFTA '!P76</f>
        <v>37</v>
      </c>
      <c r="I76" s="8" t="s">
        <v>2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  <c r="P76" s="4">
        <f t="shared" si="1"/>
        <v>37</v>
      </c>
      <c r="Q76" s="1" t="s">
        <v>14</v>
      </c>
      <c r="R76" s="44">
        <v>0</v>
      </c>
      <c r="S76" s="46"/>
    </row>
    <row r="77" spans="1:20" x14ac:dyDescent="0.25">
      <c r="A77" s="7">
        <v>74</v>
      </c>
      <c r="D77" s="26" t="s">
        <v>84</v>
      </c>
      <c r="E77" s="27"/>
      <c r="F77" s="27"/>
      <c r="G77" s="28"/>
      <c r="H77" s="12">
        <f>'KASIM 2 HAFTA '!P77</f>
        <v>50</v>
      </c>
      <c r="I77" s="8" t="s">
        <v>2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4">
        <f t="shared" si="1"/>
        <v>50</v>
      </c>
      <c r="Q77" s="1" t="s">
        <v>14</v>
      </c>
      <c r="R77" s="44">
        <v>100</v>
      </c>
      <c r="S77" s="47">
        <v>200</v>
      </c>
    </row>
    <row r="78" spans="1:20" x14ac:dyDescent="0.25">
      <c r="A78" s="7">
        <v>75</v>
      </c>
      <c r="D78" s="26" t="s">
        <v>85</v>
      </c>
      <c r="E78" s="27"/>
      <c r="F78" s="27"/>
      <c r="G78" s="28"/>
      <c r="H78" s="12">
        <f>'KASIM 2 HAFTA '!P78</f>
        <v>0</v>
      </c>
      <c r="I78" s="8" t="s">
        <v>2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  <c r="P78" s="4">
        <f t="shared" si="1"/>
        <v>0</v>
      </c>
      <c r="R78" s="44">
        <v>0</v>
      </c>
      <c r="S78" s="46"/>
    </row>
    <row r="79" spans="1:20" x14ac:dyDescent="0.25">
      <c r="A79" s="8">
        <v>76</v>
      </c>
      <c r="D79" s="37" t="s">
        <v>99</v>
      </c>
      <c r="E79" s="17"/>
      <c r="F79" s="33"/>
      <c r="G79" s="33"/>
      <c r="H79" s="12">
        <f>'KASIM 2 HAFTA '!P79</f>
        <v>221</v>
      </c>
      <c r="I79" s="8" t="s">
        <v>2</v>
      </c>
      <c r="J79" s="3">
        <v>0</v>
      </c>
      <c r="K79" s="3">
        <v>0</v>
      </c>
      <c r="L79" s="3">
        <v>25</v>
      </c>
      <c r="M79" s="3">
        <v>0</v>
      </c>
      <c r="N79" s="3">
        <v>0</v>
      </c>
      <c r="O79" s="3">
        <v>25</v>
      </c>
      <c r="P79" s="4">
        <f t="shared" si="1"/>
        <v>171</v>
      </c>
      <c r="Q79" s="1" t="s">
        <v>14</v>
      </c>
      <c r="R79" s="44">
        <v>100</v>
      </c>
      <c r="S79" s="47">
        <v>500</v>
      </c>
      <c r="T79" t="s">
        <v>75</v>
      </c>
    </row>
    <row r="80" spans="1:20" x14ac:dyDescent="0.25">
      <c r="A80" s="8">
        <v>77</v>
      </c>
      <c r="D80" s="22" t="s">
        <v>100</v>
      </c>
      <c r="E80" s="10"/>
      <c r="F80" s="10"/>
      <c r="G80" s="28"/>
      <c r="H80" s="12">
        <f>'KASIM 2 HAFTA '!P80</f>
        <v>40</v>
      </c>
      <c r="I80" s="8" t="s">
        <v>2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  <c r="P80" s="4">
        <f t="shared" si="1"/>
        <v>40</v>
      </c>
      <c r="R80" s="44">
        <v>0</v>
      </c>
      <c r="S80" s="46"/>
    </row>
    <row r="81" spans="1:19" x14ac:dyDescent="0.25">
      <c r="A81" s="8">
        <v>78</v>
      </c>
      <c r="D81" s="37" t="s">
        <v>102</v>
      </c>
      <c r="E81" s="17"/>
      <c r="F81" s="17"/>
      <c r="G81" s="33"/>
      <c r="H81" s="12">
        <f>'KASIM 2 HAFTA '!P81</f>
        <v>78</v>
      </c>
      <c r="I81" s="8" t="s">
        <v>2</v>
      </c>
      <c r="J81" s="3">
        <v>0</v>
      </c>
      <c r="K81" s="3">
        <v>12</v>
      </c>
      <c r="L81" s="3">
        <v>0</v>
      </c>
      <c r="M81" s="3">
        <v>10</v>
      </c>
      <c r="N81" s="3">
        <v>0</v>
      </c>
      <c r="O81" s="3">
        <v>20</v>
      </c>
      <c r="P81" s="4">
        <f t="shared" si="1"/>
        <v>36</v>
      </c>
      <c r="R81" s="44">
        <v>30</v>
      </c>
      <c r="S81" s="47">
        <v>100</v>
      </c>
    </row>
    <row r="82" spans="1:19" x14ac:dyDescent="0.25">
      <c r="A82" s="8">
        <v>79</v>
      </c>
      <c r="D82" s="22" t="s">
        <v>103</v>
      </c>
      <c r="E82" s="10"/>
      <c r="F82" s="10"/>
      <c r="G82" s="11"/>
      <c r="H82" s="12">
        <f>'KASIM 2 HAFTA '!P82</f>
        <v>300</v>
      </c>
      <c r="I82" s="8" t="s">
        <v>2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  <c r="P82" s="4">
        <f t="shared" si="1"/>
        <v>300</v>
      </c>
      <c r="R82" s="44">
        <v>60</v>
      </c>
      <c r="S82" s="47">
        <v>100</v>
      </c>
    </row>
    <row r="83" spans="1:19" x14ac:dyDescent="0.25">
      <c r="A83" s="8">
        <v>80</v>
      </c>
      <c r="D83" s="49" t="s">
        <v>108</v>
      </c>
      <c r="E83" s="20"/>
      <c r="F83" s="20"/>
      <c r="G83" s="20"/>
      <c r="H83" s="12">
        <v>4000</v>
      </c>
      <c r="I83" s="8" t="s">
        <v>110</v>
      </c>
      <c r="J83" s="3">
        <v>0</v>
      </c>
      <c r="K83" s="3">
        <v>0</v>
      </c>
      <c r="L83" s="3">
        <v>0</v>
      </c>
      <c r="M83" s="3">
        <v>500</v>
      </c>
      <c r="N83" s="3">
        <v>500</v>
      </c>
      <c r="O83" s="3">
        <v>0</v>
      </c>
      <c r="P83" s="4">
        <f t="shared" si="1"/>
        <v>3000</v>
      </c>
      <c r="R83" s="43">
        <v>1000</v>
      </c>
      <c r="S83" s="46">
        <v>10000</v>
      </c>
    </row>
  </sheetData>
  <pageMargins left="0.75" right="0.75" top="1" bottom="1" header="0.5" footer="0.5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T83"/>
  <sheetViews>
    <sheetView workbookViewId="0">
      <selection activeCell="O17" sqref="O17"/>
    </sheetView>
  </sheetViews>
  <sheetFormatPr defaultRowHeight="15" x14ac:dyDescent="0.25"/>
  <cols>
    <col min="1" max="1" width="5.5703125" customWidth="1"/>
    <col min="2" max="3" width="9.140625" hidden="1" customWidth="1"/>
    <col min="11" max="15" width="10.140625" bestFit="1" customWidth="1"/>
    <col min="17" max="17" width="3.5703125" customWidth="1"/>
    <col min="18" max="18" width="10" customWidth="1"/>
    <col min="19" max="19" width="11.140625" customWidth="1"/>
  </cols>
  <sheetData>
    <row r="1" spans="1:20" x14ac:dyDescent="0.25">
      <c r="G1" s="1"/>
      <c r="P1">
        <f>+H1+J1-K1-L1-M1-N1-O1</f>
        <v>0</v>
      </c>
    </row>
    <row r="2" spans="1:20" x14ac:dyDescent="0.25">
      <c r="A2" t="s">
        <v>14</v>
      </c>
      <c r="O2" s="38" t="s">
        <v>14</v>
      </c>
      <c r="S2" s="50">
        <v>44837</v>
      </c>
    </row>
    <row r="3" spans="1:20" x14ac:dyDescent="0.25">
      <c r="A3" s="1" t="s">
        <v>15</v>
      </c>
      <c r="D3" s="9" t="s">
        <v>17</v>
      </c>
      <c r="E3" s="10"/>
      <c r="F3" s="10"/>
      <c r="G3" s="11"/>
      <c r="H3" s="12" t="s">
        <v>18</v>
      </c>
      <c r="I3" s="4" t="s">
        <v>19</v>
      </c>
      <c r="J3" s="3" t="s">
        <v>20</v>
      </c>
      <c r="K3" s="5">
        <v>44886</v>
      </c>
      <c r="L3" s="6">
        <v>44887</v>
      </c>
      <c r="M3" s="5">
        <v>44888</v>
      </c>
      <c r="N3" s="5">
        <v>44889</v>
      </c>
      <c r="O3" s="6">
        <v>44890</v>
      </c>
      <c r="P3" s="3" t="s">
        <v>21</v>
      </c>
      <c r="R3" s="42" t="s">
        <v>105</v>
      </c>
      <c r="S3" s="45" t="s">
        <v>104</v>
      </c>
    </row>
    <row r="4" spans="1:20" x14ac:dyDescent="0.25">
      <c r="A4" s="2">
        <v>1</v>
      </c>
      <c r="D4" s="13" t="s">
        <v>16</v>
      </c>
      <c r="E4" s="14"/>
      <c r="F4" s="14"/>
      <c r="G4" s="15"/>
      <c r="H4" s="12">
        <f>'KASIM 3 HAFTA '!P4</f>
        <v>181</v>
      </c>
      <c r="I4" s="7" t="s">
        <v>1</v>
      </c>
      <c r="J4" s="3">
        <v>0</v>
      </c>
      <c r="K4" s="3">
        <v>0</v>
      </c>
      <c r="L4" s="3">
        <v>0</v>
      </c>
      <c r="M4" s="3">
        <v>17</v>
      </c>
      <c r="N4" s="3">
        <v>0</v>
      </c>
      <c r="O4" s="3">
        <v>0</v>
      </c>
      <c r="P4" s="4">
        <f t="shared" ref="P4:P67" si="0">+H4+J4-K4-L4-M4-N4-O4</f>
        <v>164</v>
      </c>
      <c r="Q4" t="s">
        <v>67</v>
      </c>
      <c r="R4" s="43">
        <v>100</v>
      </c>
      <c r="S4" s="46">
        <v>500</v>
      </c>
      <c r="T4" t="s">
        <v>75</v>
      </c>
    </row>
    <row r="5" spans="1:20" x14ac:dyDescent="0.25">
      <c r="A5" s="2">
        <v>2</v>
      </c>
      <c r="D5" s="9" t="s">
        <v>22</v>
      </c>
      <c r="E5" s="10"/>
      <c r="F5" s="10"/>
      <c r="G5" s="11"/>
      <c r="H5" s="12">
        <f>'KASIM 3 HAFTA '!P5</f>
        <v>28</v>
      </c>
      <c r="I5" s="7" t="s">
        <v>2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4">
        <f t="shared" si="0"/>
        <v>28</v>
      </c>
      <c r="Q5" s="1" t="s">
        <v>14</v>
      </c>
      <c r="R5" s="44">
        <v>6</v>
      </c>
      <c r="S5" s="47">
        <v>10</v>
      </c>
    </row>
    <row r="6" spans="1:20" x14ac:dyDescent="0.25">
      <c r="A6" s="2">
        <v>3</v>
      </c>
      <c r="D6" s="16" t="s">
        <v>23</v>
      </c>
      <c r="E6" s="17"/>
      <c r="F6" s="17"/>
      <c r="G6" s="18"/>
      <c r="H6" s="12">
        <f>'KASIM 3 HAFTA '!P6</f>
        <v>14</v>
      </c>
      <c r="I6" s="7" t="s">
        <v>2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4">
        <f t="shared" si="0"/>
        <v>14</v>
      </c>
      <c r="Q6" s="1" t="s">
        <v>14</v>
      </c>
      <c r="R6" s="44">
        <v>6</v>
      </c>
      <c r="S6" s="47">
        <v>10</v>
      </c>
    </row>
    <row r="7" spans="1:20" x14ac:dyDescent="0.25">
      <c r="A7" s="2">
        <v>4</v>
      </c>
      <c r="D7" s="9" t="s">
        <v>3</v>
      </c>
      <c r="E7" s="10"/>
      <c r="F7" s="10"/>
      <c r="G7" s="11"/>
      <c r="H7" s="12">
        <f>'KASIM 3 HAFTA '!P7</f>
        <v>58</v>
      </c>
      <c r="I7" s="7" t="s">
        <v>2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4">
        <f t="shared" si="0"/>
        <v>58</v>
      </c>
      <c r="Q7" s="1" t="s">
        <v>14</v>
      </c>
      <c r="R7" s="44">
        <v>6</v>
      </c>
      <c r="S7" s="47">
        <v>10</v>
      </c>
    </row>
    <row r="8" spans="1:20" x14ac:dyDescent="0.25">
      <c r="A8" s="2">
        <v>5</v>
      </c>
      <c r="D8" s="16" t="s">
        <v>4</v>
      </c>
      <c r="E8" s="17"/>
      <c r="F8" s="17"/>
      <c r="G8" s="18"/>
      <c r="H8" s="12">
        <f>'KASIM 3 HAFTA '!P8</f>
        <v>126</v>
      </c>
      <c r="I8" s="7" t="s">
        <v>2</v>
      </c>
      <c r="J8" s="3">
        <v>0</v>
      </c>
      <c r="K8" s="3">
        <v>0</v>
      </c>
      <c r="L8" s="3">
        <v>0</v>
      </c>
      <c r="M8" s="3">
        <v>0</v>
      </c>
      <c r="N8" s="3">
        <v>4</v>
      </c>
      <c r="O8" s="3">
        <v>0</v>
      </c>
      <c r="P8" s="4">
        <f t="shared" si="0"/>
        <v>122</v>
      </c>
      <c r="Q8" s="1" t="s">
        <v>14</v>
      </c>
      <c r="R8" s="44">
        <v>100</v>
      </c>
      <c r="S8" s="47">
        <v>400</v>
      </c>
    </row>
    <row r="9" spans="1:20" x14ac:dyDescent="0.25">
      <c r="A9" s="2">
        <v>6</v>
      </c>
      <c r="D9" s="9" t="s">
        <v>24</v>
      </c>
      <c r="E9" s="10"/>
      <c r="F9" s="10"/>
      <c r="G9" s="11"/>
      <c r="H9" s="12">
        <f>'KASIM 3 HAFTA '!P9</f>
        <v>160</v>
      </c>
      <c r="I9" s="7" t="s">
        <v>2</v>
      </c>
      <c r="J9" s="3">
        <v>0</v>
      </c>
      <c r="K9" s="3">
        <v>0</v>
      </c>
      <c r="L9" s="3">
        <v>0</v>
      </c>
      <c r="M9" s="3">
        <v>20</v>
      </c>
      <c r="N9" s="3">
        <v>0</v>
      </c>
      <c r="O9" s="3">
        <v>0</v>
      </c>
      <c r="P9" s="4">
        <f t="shared" si="0"/>
        <v>140</v>
      </c>
      <c r="Q9" s="1" t="s">
        <v>14</v>
      </c>
      <c r="R9" s="44">
        <v>60</v>
      </c>
      <c r="S9" s="47">
        <v>200</v>
      </c>
    </row>
    <row r="10" spans="1:20" x14ac:dyDescent="0.25">
      <c r="A10" s="2">
        <v>7</v>
      </c>
      <c r="D10" s="16" t="s">
        <v>101</v>
      </c>
      <c r="E10" s="17"/>
      <c r="F10" s="17"/>
      <c r="G10" s="18"/>
      <c r="H10" s="12">
        <f>'KASIM 3 HAFTA '!P10</f>
        <v>1867</v>
      </c>
      <c r="I10" s="7" t="s">
        <v>2</v>
      </c>
      <c r="J10" s="3">
        <v>0</v>
      </c>
      <c r="K10" s="3">
        <v>20</v>
      </c>
      <c r="L10" s="3">
        <v>0</v>
      </c>
      <c r="M10" s="3">
        <v>0</v>
      </c>
      <c r="N10" s="3">
        <v>0</v>
      </c>
      <c r="O10" s="3">
        <v>40</v>
      </c>
      <c r="P10" s="4">
        <f t="shared" si="0"/>
        <v>1807</v>
      </c>
      <c r="Q10" s="1" t="s">
        <v>14</v>
      </c>
      <c r="R10" s="44">
        <v>200</v>
      </c>
      <c r="S10" s="47">
        <v>500</v>
      </c>
    </row>
    <row r="11" spans="1:20" x14ac:dyDescent="0.25">
      <c r="A11" s="2">
        <v>8</v>
      </c>
      <c r="D11" s="9" t="s">
        <v>25</v>
      </c>
      <c r="E11" s="10"/>
      <c r="F11" s="10"/>
      <c r="G11" s="11"/>
      <c r="H11" s="12">
        <f>'KASIM 3 HAFTA '!P11</f>
        <v>496</v>
      </c>
      <c r="I11" s="7" t="s">
        <v>2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4">
        <f t="shared" si="0"/>
        <v>496</v>
      </c>
      <c r="Q11" s="1" t="s">
        <v>14</v>
      </c>
      <c r="R11" s="44">
        <v>0</v>
      </c>
      <c r="S11" s="47">
        <v>0</v>
      </c>
    </row>
    <row r="12" spans="1:20" x14ac:dyDescent="0.25">
      <c r="A12" s="2">
        <v>9</v>
      </c>
      <c r="D12" s="16" t="s">
        <v>26</v>
      </c>
      <c r="E12" s="17"/>
      <c r="F12" s="17"/>
      <c r="G12" s="18"/>
      <c r="H12" s="12">
        <f>'KASIM 3 HAFTA '!P12</f>
        <v>60</v>
      </c>
      <c r="I12" s="7" t="s">
        <v>2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4">
        <f t="shared" si="0"/>
        <v>60</v>
      </c>
      <c r="Q12" s="1" t="s">
        <v>14</v>
      </c>
      <c r="R12" s="44">
        <v>200</v>
      </c>
      <c r="S12" s="47">
        <v>400</v>
      </c>
    </row>
    <row r="13" spans="1:20" x14ac:dyDescent="0.25">
      <c r="A13" s="2">
        <v>10</v>
      </c>
      <c r="D13" s="9" t="s">
        <v>6</v>
      </c>
      <c r="E13" s="10"/>
      <c r="F13" s="10"/>
      <c r="G13" s="11"/>
      <c r="H13" s="12">
        <f>'KASIM 3 HAFTA '!P13</f>
        <v>42</v>
      </c>
      <c r="I13" s="7" t="s">
        <v>2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4">
        <f t="shared" si="0"/>
        <v>42</v>
      </c>
      <c r="Q13" s="1" t="s">
        <v>14</v>
      </c>
      <c r="R13" s="44">
        <v>0</v>
      </c>
      <c r="S13" s="46"/>
    </row>
    <row r="14" spans="1:20" x14ac:dyDescent="0.25">
      <c r="A14" s="2">
        <v>11</v>
      </c>
      <c r="D14" s="16" t="s">
        <v>7</v>
      </c>
      <c r="E14" s="17"/>
      <c r="F14" s="17"/>
      <c r="G14" s="18"/>
      <c r="H14" s="12">
        <f>'KASIM 3 HAFTA '!P14</f>
        <v>0</v>
      </c>
      <c r="I14" s="7" t="s">
        <v>2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4">
        <f t="shared" si="0"/>
        <v>0</v>
      </c>
      <c r="Q14" s="1" t="s">
        <v>14</v>
      </c>
      <c r="R14" s="44">
        <v>20</v>
      </c>
      <c r="S14" s="47">
        <v>50</v>
      </c>
    </row>
    <row r="15" spans="1:20" x14ac:dyDescent="0.25">
      <c r="A15" s="2">
        <v>12</v>
      </c>
      <c r="D15" s="9" t="s">
        <v>69</v>
      </c>
      <c r="E15" s="10"/>
      <c r="F15" s="10"/>
      <c r="G15" s="11"/>
      <c r="H15" s="12">
        <f>'KASIM 3 HAFTA '!P15</f>
        <v>26</v>
      </c>
      <c r="I15" s="7" t="s">
        <v>2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4">
        <f t="shared" si="0"/>
        <v>26</v>
      </c>
      <c r="Q15" s="1" t="s">
        <v>14</v>
      </c>
      <c r="R15" s="44">
        <v>100</v>
      </c>
      <c r="S15" s="47">
        <v>200</v>
      </c>
    </row>
    <row r="16" spans="1:20" x14ac:dyDescent="0.25">
      <c r="A16" s="2">
        <v>13</v>
      </c>
      <c r="D16" s="16" t="s">
        <v>27</v>
      </c>
      <c r="E16" s="17"/>
      <c r="F16" s="17"/>
      <c r="G16" s="18"/>
      <c r="H16" s="12">
        <f>'KASIM 3 HAFTA '!P16</f>
        <v>90</v>
      </c>
      <c r="I16" s="7" t="s">
        <v>2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4">
        <f t="shared" si="0"/>
        <v>90</v>
      </c>
      <c r="Q16" s="1" t="s">
        <v>14</v>
      </c>
      <c r="R16" s="44">
        <v>0</v>
      </c>
      <c r="S16" s="46"/>
    </row>
    <row r="17" spans="1:19" x14ac:dyDescent="0.25">
      <c r="A17" s="2">
        <v>14</v>
      </c>
      <c r="D17" s="9" t="s">
        <v>73</v>
      </c>
      <c r="E17" s="10"/>
      <c r="F17" s="10"/>
      <c r="G17" s="11"/>
      <c r="H17" s="12">
        <f>'KASIM 3 HAFTA '!P17</f>
        <v>800</v>
      </c>
      <c r="I17" s="7" t="s">
        <v>2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4">
        <f t="shared" si="0"/>
        <v>800</v>
      </c>
      <c r="Q17" s="1" t="s">
        <v>14</v>
      </c>
      <c r="R17" s="44">
        <v>0</v>
      </c>
      <c r="S17" s="46"/>
    </row>
    <row r="18" spans="1:19" x14ac:dyDescent="0.25">
      <c r="A18" s="2">
        <v>15</v>
      </c>
      <c r="D18" s="16" t="s">
        <v>28</v>
      </c>
      <c r="E18" s="17"/>
      <c r="F18" s="17"/>
      <c r="G18" s="18"/>
      <c r="H18" s="12">
        <f>'KASIM 3 HAFTA '!P18</f>
        <v>62</v>
      </c>
      <c r="I18" s="7" t="s">
        <v>2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4">
        <f t="shared" si="0"/>
        <v>62</v>
      </c>
      <c r="Q18" s="1" t="s">
        <v>14</v>
      </c>
      <c r="R18" s="44">
        <v>20</v>
      </c>
      <c r="S18" s="47">
        <v>50</v>
      </c>
    </row>
    <row r="19" spans="1:19" x14ac:dyDescent="0.25">
      <c r="A19" s="2">
        <v>16</v>
      </c>
      <c r="D19" s="9" t="s">
        <v>29</v>
      </c>
      <c r="E19" s="10"/>
      <c r="F19" s="10"/>
      <c r="G19" s="11"/>
      <c r="H19" s="12">
        <f>'KASIM 3 HAFTA '!P19</f>
        <v>62</v>
      </c>
      <c r="I19" s="7" t="s">
        <v>2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4">
        <f t="shared" si="0"/>
        <v>62</v>
      </c>
      <c r="Q19" s="1" t="s">
        <v>14</v>
      </c>
      <c r="R19" s="44">
        <v>20</v>
      </c>
      <c r="S19" s="47">
        <v>50</v>
      </c>
    </row>
    <row r="20" spans="1:19" x14ac:dyDescent="0.25">
      <c r="A20" s="2">
        <v>17</v>
      </c>
      <c r="D20" s="16" t="s">
        <v>30</v>
      </c>
      <c r="E20" s="17"/>
      <c r="F20" s="17"/>
      <c r="G20" s="18"/>
      <c r="H20" s="12">
        <f>'KASIM 3 HAFTA '!P20</f>
        <v>94</v>
      </c>
      <c r="I20" s="7" t="s">
        <v>2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4">
        <f t="shared" si="0"/>
        <v>94</v>
      </c>
      <c r="Q20" s="1" t="s">
        <v>14</v>
      </c>
      <c r="R20" s="44">
        <v>20</v>
      </c>
      <c r="S20" s="47">
        <v>50</v>
      </c>
    </row>
    <row r="21" spans="1:19" x14ac:dyDescent="0.25">
      <c r="A21" s="2">
        <v>18</v>
      </c>
      <c r="D21" s="9" t="s">
        <v>31</v>
      </c>
      <c r="E21" s="10"/>
      <c r="F21" s="10"/>
      <c r="G21" s="11"/>
      <c r="H21" s="12">
        <f>'KASIM 3 HAFTA '!P21</f>
        <v>33</v>
      </c>
      <c r="I21" s="7" t="s">
        <v>2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4">
        <f t="shared" si="0"/>
        <v>33</v>
      </c>
      <c r="Q21" s="1" t="s">
        <v>14</v>
      </c>
      <c r="R21" s="44">
        <v>0</v>
      </c>
      <c r="S21" s="46"/>
    </row>
    <row r="22" spans="1:19" x14ac:dyDescent="0.25">
      <c r="A22" s="2">
        <v>19</v>
      </c>
      <c r="D22" s="16" t="s">
        <v>8</v>
      </c>
      <c r="E22" s="17"/>
      <c r="F22" s="17"/>
      <c r="G22" s="18"/>
      <c r="H22" s="12">
        <f>'KASIM 3 HAFTA '!P22</f>
        <v>130</v>
      </c>
      <c r="I22" s="7" t="s">
        <v>1</v>
      </c>
      <c r="J22" s="3">
        <v>0</v>
      </c>
      <c r="K22" s="3">
        <v>10</v>
      </c>
      <c r="L22" s="3">
        <v>0</v>
      </c>
      <c r="M22" s="3">
        <v>0</v>
      </c>
      <c r="N22" s="3">
        <v>20</v>
      </c>
      <c r="O22" s="3">
        <v>10</v>
      </c>
      <c r="P22" s="4">
        <f t="shared" si="0"/>
        <v>90</v>
      </c>
      <c r="Q22" s="1" t="s">
        <v>14</v>
      </c>
      <c r="R22" s="44">
        <v>50</v>
      </c>
      <c r="S22" s="47">
        <v>200</v>
      </c>
    </row>
    <row r="23" spans="1:19" x14ac:dyDescent="0.25">
      <c r="A23" s="2">
        <v>20</v>
      </c>
      <c r="D23" s="9" t="s">
        <v>32</v>
      </c>
      <c r="E23" s="10"/>
      <c r="F23" s="10"/>
      <c r="G23" s="11"/>
      <c r="H23" s="12">
        <f>'KASIM 3 HAFTA '!P23</f>
        <v>2000</v>
      </c>
      <c r="I23" s="7" t="s">
        <v>2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4">
        <f t="shared" si="0"/>
        <v>2000</v>
      </c>
      <c r="Q23" s="1" t="s">
        <v>14</v>
      </c>
      <c r="R23" s="44">
        <v>0</v>
      </c>
      <c r="S23" s="46"/>
    </row>
    <row r="24" spans="1:19" x14ac:dyDescent="0.25">
      <c r="A24" s="2">
        <v>21</v>
      </c>
      <c r="D24" s="16" t="s">
        <v>33</v>
      </c>
      <c r="E24" s="17"/>
      <c r="F24" s="17"/>
      <c r="G24" s="18"/>
      <c r="H24" s="12">
        <f>'KASIM 3 HAFTA '!P24</f>
        <v>273</v>
      </c>
      <c r="I24" s="7" t="s">
        <v>2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4">
        <f t="shared" si="0"/>
        <v>273</v>
      </c>
      <c r="Q24" s="1" t="s">
        <v>14</v>
      </c>
      <c r="R24" s="44">
        <v>0</v>
      </c>
      <c r="S24" s="46"/>
    </row>
    <row r="25" spans="1:19" x14ac:dyDescent="0.25">
      <c r="A25" s="2">
        <v>22</v>
      </c>
      <c r="D25" s="9" t="s">
        <v>34</v>
      </c>
      <c r="E25" s="10"/>
      <c r="F25" s="10"/>
      <c r="G25" s="11"/>
      <c r="H25" s="12">
        <f>'KASIM 3 HAFTA '!P25</f>
        <v>40</v>
      </c>
      <c r="I25" s="7" t="s">
        <v>2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4">
        <f t="shared" si="0"/>
        <v>40</v>
      </c>
      <c r="Q25" s="1" t="s">
        <v>14</v>
      </c>
      <c r="R25" s="44">
        <v>0</v>
      </c>
      <c r="S25" s="46"/>
    </row>
    <row r="26" spans="1:19" x14ac:dyDescent="0.25">
      <c r="A26" s="2">
        <v>23</v>
      </c>
      <c r="D26" s="16" t="s">
        <v>82</v>
      </c>
      <c r="E26" s="17"/>
      <c r="F26" s="17"/>
      <c r="G26" s="18"/>
      <c r="H26" s="12">
        <f>'KASIM 3 HAFTA '!P26</f>
        <v>168</v>
      </c>
      <c r="I26" s="7" t="s">
        <v>2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4">
        <f t="shared" si="0"/>
        <v>168</v>
      </c>
      <c r="Q26" s="1" t="s">
        <v>14</v>
      </c>
      <c r="R26" s="44">
        <v>20</v>
      </c>
      <c r="S26" s="47">
        <v>50</v>
      </c>
    </row>
    <row r="27" spans="1:19" x14ac:dyDescent="0.25">
      <c r="A27" s="2">
        <v>24</v>
      </c>
      <c r="D27" s="9" t="s">
        <v>81</v>
      </c>
      <c r="E27" s="10"/>
      <c r="F27" s="10"/>
      <c r="G27" s="11"/>
      <c r="H27" s="12">
        <f>'KASIM 3 HAFTA '!P27</f>
        <v>42</v>
      </c>
      <c r="I27" s="7" t="s">
        <v>2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  <c r="P27" s="4">
        <f t="shared" si="0"/>
        <v>42</v>
      </c>
      <c r="Q27" s="1" t="s">
        <v>14</v>
      </c>
      <c r="R27" s="44">
        <v>20</v>
      </c>
      <c r="S27" s="47">
        <v>50</v>
      </c>
    </row>
    <row r="28" spans="1:19" x14ac:dyDescent="0.25">
      <c r="A28" s="2">
        <v>25</v>
      </c>
      <c r="D28" s="16" t="s">
        <v>35</v>
      </c>
      <c r="E28" s="17"/>
      <c r="F28" s="17"/>
      <c r="G28" s="18"/>
      <c r="H28" s="12">
        <f>'KASIM 3 HAFTA '!P28</f>
        <v>50</v>
      </c>
      <c r="I28" s="7" t="s">
        <v>2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40</v>
      </c>
      <c r="P28" s="4">
        <f t="shared" si="0"/>
        <v>10</v>
      </c>
      <c r="Q28" s="1" t="s">
        <v>14</v>
      </c>
      <c r="R28" s="44">
        <v>50</v>
      </c>
      <c r="S28" s="47">
        <v>100</v>
      </c>
    </row>
    <row r="29" spans="1:19" x14ac:dyDescent="0.25">
      <c r="A29" s="2">
        <v>26</v>
      </c>
      <c r="D29" s="9" t="s">
        <v>36</v>
      </c>
      <c r="E29" s="10"/>
      <c r="F29" s="10"/>
      <c r="G29" s="11"/>
      <c r="H29" s="12">
        <f>'KASIM 3 HAFTA '!P29</f>
        <v>65</v>
      </c>
      <c r="I29" s="7" t="s">
        <v>2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40</v>
      </c>
      <c r="P29" s="4">
        <f t="shared" si="0"/>
        <v>25</v>
      </c>
      <c r="Q29" s="1" t="s">
        <v>14</v>
      </c>
      <c r="R29" s="44">
        <v>50</v>
      </c>
      <c r="S29" s="47">
        <v>100</v>
      </c>
    </row>
    <row r="30" spans="1:19" x14ac:dyDescent="0.25">
      <c r="A30" s="2">
        <v>27</v>
      </c>
      <c r="D30" s="16" t="s">
        <v>37</v>
      </c>
      <c r="E30" s="17"/>
      <c r="F30" s="17"/>
      <c r="G30" s="18"/>
      <c r="H30" s="12">
        <f>'KASIM 3 HAFTA '!P30</f>
        <v>232</v>
      </c>
      <c r="I30" s="7" t="s">
        <v>2</v>
      </c>
      <c r="J30" s="3">
        <v>0</v>
      </c>
      <c r="K30" s="3">
        <v>0</v>
      </c>
      <c r="L30" s="3">
        <v>0</v>
      </c>
      <c r="M30" s="3">
        <v>0</v>
      </c>
      <c r="N30" s="3">
        <v>2</v>
      </c>
      <c r="O30" s="3">
        <v>0</v>
      </c>
      <c r="P30" s="4">
        <f t="shared" si="0"/>
        <v>230</v>
      </c>
      <c r="Q30" s="1" t="s">
        <v>14</v>
      </c>
      <c r="R30" s="44">
        <v>20</v>
      </c>
      <c r="S30" s="47">
        <v>50</v>
      </c>
    </row>
    <row r="31" spans="1:19" x14ac:dyDescent="0.25">
      <c r="A31" s="2">
        <v>28</v>
      </c>
      <c r="D31" s="9" t="s">
        <v>38</v>
      </c>
      <c r="E31" s="10"/>
      <c r="F31" s="10"/>
      <c r="G31" s="11"/>
      <c r="H31" s="12">
        <f>'KASIM 3 HAFTA '!P31</f>
        <v>556</v>
      </c>
      <c r="I31" s="7" t="s">
        <v>2</v>
      </c>
      <c r="J31" s="3">
        <v>0</v>
      </c>
      <c r="K31" s="3">
        <v>5</v>
      </c>
      <c r="L31" s="3">
        <v>0</v>
      </c>
      <c r="M31" s="3">
        <v>0</v>
      </c>
      <c r="N31" s="3">
        <v>0</v>
      </c>
      <c r="O31" s="3">
        <v>0</v>
      </c>
      <c r="P31" s="4">
        <f t="shared" si="0"/>
        <v>551</v>
      </c>
      <c r="Q31" s="1" t="s">
        <v>14</v>
      </c>
      <c r="R31" s="44">
        <v>50</v>
      </c>
      <c r="S31" s="47">
        <v>100</v>
      </c>
    </row>
    <row r="32" spans="1:19" x14ac:dyDescent="0.25">
      <c r="A32" s="2">
        <v>29</v>
      </c>
      <c r="D32" s="16" t="s">
        <v>39</v>
      </c>
      <c r="E32" s="17"/>
      <c r="F32" s="17"/>
      <c r="G32" s="18"/>
      <c r="H32" s="12">
        <f>'KASIM 3 HAFTA '!P32</f>
        <v>50</v>
      </c>
      <c r="I32" s="7" t="s">
        <v>2</v>
      </c>
      <c r="J32" s="3">
        <v>0</v>
      </c>
      <c r="K32" s="3">
        <v>0</v>
      </c>
      <c r="L32" s="3">
        <v>0</v>
      </c>
      <c r="M32" s="3">
        <v>0</v>
      </c>
      <c r="N32" s="3">
        <v>2</v>
      </c>
      <c r="O32" s="3">
        <v>0</v>
      </c>
      <c r="P32" s="4">
        <f t="shared" si="0"/>
        <v>48</v>
      </c>
      <c r="Q32" s="1" t="s">
        <v>14</v>
      </c>
      <c r="R32" s="44">
        <v>20</v>
      </c>
      <c r="S32" s="47">
        <v>50</v>
      </c>
    </row>
    <row r="33" spans="1:19" x14ac:dyDescent="0.25">
      <c r="A33" s="2">
        <v>30</v>
      </c>
      <c r="D33" s="9" t="s">
        <v>40</v>
      </c>
      <c r="E33" s="10"/>
      <c r="F33" s="10"/>
      <c r="G33" s="11"/>
      <c r="H33" s="12">
        <f>'KASIM 3 HAFTA '!P33</f>
        <v>1115</v>
      </c>
      <c r="I33" s="7" t="s">
        <v>2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40</v>
      </c>
      <c r="P33" s="4">
        <f t="shared" si="0"/>
        <v>1075</v>
      </c>
      <c r="Q33" s="1" t="s">
        <v>14</v>
      </c>
      <c r="R33" s="44">
        <v>0</v>
      </c>
      <c r="S33" s="46"/>
    </row>
    <row r="34" spans="1:19" x14ac:dyDescent="0.25">
      <c r="A34" s="2">
        <v>31</v>
      </c>
      <c r="D34" s="16" t="s">
        <v>9</v>
      </c>
      <c r="E34" s="17"/>
      <c r="F34" s="17"/>
      <c r="G34" s="18"/>
      <c r="H34" s="12">
        <f>'KASIM 3 HAFTA '!P34</f>
        <v>546</v>
      </c>
      <c r="I34" s="7" t="s">
        <v>2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4">
        <f t="shared" si="0"/>
        <v>546</v>
      </c>
      <c r="Q34" s="1" t="s">
        <v>14</v>
      </c>
      <c r="R34" s="44">
        <v>50</v>
      </c>
      <c r="S34" s="47">
        <v>100</v>
      </c>
    </row>
    <row r="35" spans="1:19" x14ac:dyDescent="0.25">
      <c r="A35" s="2">
        <v>32</v>
      </c>
      <c r="D35" s="9" t="s">
        <v>83</v>
      </c>
      <c r="E35" s="10"/>
      <c r="F35" s="10"/>
      <c r="G35" s="11"/>
      <c r="H35" s="12">
        <f>'KASIM 3 HAFTA '!P35</f>
        <v>94</v>
      </c>
      <c r="I35" s="7" t="s">
        <v>2</v>
      </c>
      <c r="J35" s="3">
        <v>0</v>
      </c>
      <c r="K35" s="3">
        <v>0</v>
      </c>
      <c r="L35" s="3">
        <v>0</v>
      </c>
      <c r="M35" s="3">
        <v>0</v>
      </c>
      <c r="N35" s="3">
        <v>2</v>
      </c>
      <c r="O35" s="3">
        <v>0</v>
      </c>
      <c r="P35" s="4">
        <f t="shared" si="0"/>
        <v>92</v>
      </c>
      <c r="Q35" s="1" t="s">
        <v>14</v>
      </c>
      <c r="R35" s="44">
        <v>20</v>
      </c>
      <c r="S35" s="47">
        <v>50</v>
      </c>
    </row>
    <row r="36" spans="1:19" x14ac:dyDescent="0.25">
      <c r="A36" s="2">
        <v>33</v>
      </c>
      <c r="D36" s="16" t="s">
        <v>70</v>
      </c>
      <c r="E36" s="17"/>
      <c r="F36" s="17"/>
      <c r="G36" s="18"/>
      <c r="H36" s="12">
        <f>'KASIM 3 HAFTA '!P36</f>
        <v>934</v>
      </c>
      <c r="I36" s="7" t="s">
        <v>2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4">
        <f t="shared" si="0"/>
        <v>934</v>
      </c>
      <c r="Q36" s="1" t="s">
        <v>14</v>
      </c>
      <c r="R36" s="44">
        <v>0</v>
      </c>
      <c r="S36" s="46"/>
    </row>
    <row r="37" spans="1:19" x14ac:dyDescent="0.25">
      <c r="A37" s="2">
        <v>34</v>
      </c>
      <c r="D37" s="9" t="s">
        <v>41</v>
      </c>
      <c r="E37" s="10"/>
      <c r="F37" s="10"/>
      <c r="G37" s="11"/>
      <c r="H37" s="12">
        <f>'KASIM 3 HAFTA '!P37</f>
        <v>283</v>
      </c>
      <c r="I37" s="7" t="s">
        <v>2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4">
        <f t="shared" si="0"/>
        <v>283</v>
      </c>
      <c r="Q37" s="1" t="s">
        <v>14</v>
      </c>
      <c r="R37" s="44">
        <v>50</v>
      </c>
      <c r="S37" s="47">
        <v>100</v>
      </c>
    </row>
    <row r="38" spans="1:19" x14ac:dyDescent="0.25">
      <c r="A38" s="2">
        <v>35</v>
      </c>
      <c r="D38" s="16" t="s">
        <v>42</v>
      </c>
      <c r="E38" s="17"/>
      <c r="F38" s="17"/>
      <c r="G38" s="18"/>
      <c r="H38" s="12">
        <f>'KASIM 3 HAFTA '!P38</f>
        <v>287</v>
      </c>
      <c r="I38" s="7" t="s">
        <v>2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4">
        <f t="shared" si="0"/>
        <v>287</v>
      </c>
      <c r="Q38" s="1" t="s">
        <v>14</v>
      </c>
      <c r="R38" s="44">
        <v>50</v>
      </c>
      <c r="S38" s="47">
        <v>100</v>
      </c>
    </row>
    <row r="39" spans="1:19" x14ac:dyDescent="0.25">
      <c r="A39" s="2">
        <v>36</v>
      </c>
      <c r="D39" s="9" t="s">
        <v>43</v>
      </c>
      <c r="E39" s="10"/>
      <c r="F39" s="10"/>
      <c r="G39" s="11"/>
      <c r="H39" s="12">
        <f>'KASIM 3 HAFTA '!P39</f>
        <v>27</v>
      </c>
      <c r="I39" s="7" t="s">
        <v>2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4">
        <f t="shared" si="0"/>
        <v>27</v>
      </c>
      <c r="Q39" s="1" t="s">
        <v>14</v>
      </c>
      <c r="R39" s="44">
        <v>50</v>
      </c>
      <c r="S39" s="47">
        <v>100</v>
      </c>
    </row>
    <row r="40" spans="1:19" x14ac:dyDescent="0.25">
      <c r="A40" s="2">
        <v>37</v>
      </c>
      <c r="D40" s="16" t="s">
        <v>44</v>
      </c>
      <c r="E40" s="17"/>
      <c r="F40" s="17"/>
      <c r="G40" s="18"/>
      <c r="H40" s="12">
        <v>10</v>
      </c>
      <c r="I40" s="7" t="s">
        <v>2</v>
      </c>
      <c r="J40" s="3">
        <v>0</v>
      </c>
      <c r="K40" s="3">
        <v>8</v>
      </c>
      <c r="L40" s="3">
        <v>0</v>
      </c>
      <c r="M40" s="3">
        <v>0</v>
      </c>
      <c r="N40" s="3">
        <v>0</v>
      </c>
      <c r="O40" s="3">
        <v>1</v>
      </c>
      <c r="P40" s="4">
        <f t="shared" si="0"/>
        <v>1</v>
      </c>
      <c r="Q40" s="1" t="s">
        <v>14</v>
      </c>
      <c r="R40" s="44">
        <v>0</v>
      </c>
      <c r="S40" s="46"/>
    </row>
    <row r="41" spans="1:19" x14ac:dyDescent="0.25">
      <c r="A41" s="2">
        <v>38</v>
      </c>
      <c r="D41" s="9" t="s">
        <v>71</v>
      </c>
      <c r="E41" s="10"/>
      <c r="F41" s="10"/>
      <c r="G41" s="11"/>
      <c r="H41" s="12">
        <f>'KASIM 3 HAFTA '!P41</f>
        <v>20</v>
      </c>
      <c r="I41" s="7" t="s">
        <v>2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4">
        <f t="shared" si="0"/>
        <v>20</v>
      </c>
      <c r="Q41" s="1" t="s">
        <v>14</v>
      </c>
      <c r="R41" s="44">
        <v>5</v>
      </c>
      <c r="S41" s="47">
        <v>10</v>
      </c>
    </row>
    <row r="42" spans="1:19" x14ac:dyDescent="0.25">
      <c r="A42" s="2">
        <v>39</v>
      </c>
      <c r="D42" s="16" t="s">
        <v>10</v>
      </c>
      <c r="E42" s="17"/>
      <c r="F42" s="17"/>
      <c r="G42" s="18"/>
      <c r="H42" s="12">
        <f>'KASIM 3 HAFTA '!P42</f>
        <v>120</v>
      </c>
      <c r="I42" s="7" t="s">
        <v>2</v>
      </c>
      <c r="J42" s="3">
        <v>0</v>
      </c>
      <c r="K42" s="3">
        <v>10</v>
      </c>
      <c r="L42" s="3">
        <v>0</v>
      </c>
      <c r="M42" s="3">
        <v>0</v>
      </c>
      <c r="N42" s="3">
        <v>0</v>
      </c>
      <c r="O42" s="3">
        <v>0</v>
      </c>
      <c r="P42" s="4">
        <f t="shared" si="0"/>
        <v>110</v>
      </c>
      <c r="Q42" s="1" t="s">
        <v>14</v>
      </c>
      <c r="R42" s="44">
        <v>40</v>
      </c>
      <c r="S42" s="47">
        <v>100</v>
      </c>
    </row>
    <row r="43" spans="1:19" x14ac:dyDescent="0.25">
      <c r="A43" s="2">
        <v>40</v>
      </c>
      <c r="D43" s="9" t="s">
        <v>45</v>
      </c>
      <c r="E43" s="10"/>
      <c r="F43" s="10"/>
      <c r="G43" s="11"/>
      <c r="H43" s="12">
        <f>'KASIM 3 HAFTA '!P43</f>
        <v>127</v>
      </c>
      <c r="I43" s="7" t="s">
        <v>2</v>
      </c>
      <c r="J43" s="3">
        <v>0</v>
      </c>
      <c r="K43" s="3">
        <v>5</v>
      </c>
      <c r="L43" s="3">
        <v>0</v>
      </c>
      <c r="M43" s="3">
        <v>0</v>
      </c>
      <c r="N43" s="3">
        <v>0</v>
      </c>
      <c r="O43" s="3">
        <v>0</v>
      </c>
      <c r="P43" s="4">
        <f t="shared" si="0"/>
        <v>122</v>
      </c>
      <c r="Q43" s="1" t="s">
        <v>14</v>
      </c>
      <c r="R43" s="44">
        <v>20</v>
      </c>
      <c r="S43" s="47">
        <v>50</v>
      </c>
    </row>
    <row r="44" spans="1:19" x14ac:dyDescent="0.25">
      <c r="A44" s="2">
        <v>41</v>
      </c>
      <c r="D44" s="16" t="s">
        <v>46</v>
      </c>
      <c r="E44" s="17"/>
      <c r="F44" s="17"/>
      <c r="G44" s="18"/>
      <c r="H44" s="12">
        <f>'KASIM 3 HAFTA '!P44</f>
        <v>125</v>
      </c>
      <c r="I44" s="7" t="s">
        <v>2</v>
      </c>
      <c r="J44" s="3">
        <v>0</v>
      </c>
      <c r="K44" s="3">
        <v>5</v>
      </c>
      <c r="L44" s="3">
        <v>0</v>
      </c>
      <c r="M44" s="3">
        <v>0</v>
      </c>
      <c r="N44" s="3">
        <v>0</v>
      </c>
      <c r="O44" s="3">
        <v>0</v>
      </c>
      <c r="P44" s="4">
        <f t="shared" si="0"/>
        <v>120</v>
      </c>
      <c r="Q44" s="1" t="s">
        <v>14</v>
      </c>
      <c r="R44" s="44">
        <v>20</v>
      </c>
      <c r="S44" s="47">
        <v>50</v>
      </c>
    </row>
    <row r="45" spans="1:19" x14ac:dyDescent="0.25">
      <c r="A45" s="2">
        <v>42</v>
      </c>
      <c r="D45" s="9" t="s">
        <v>47</v>
      </c>
      <c r="E45" s="10"/>
      <c r="F45" s="10"/>
      <c r="G45" s="11"/>
      <c r="H45" s="12">
        <f>'KASIM 3 HAFTA '!P45</f>
        <v>140</v>
      </c>
      <c r="I45" s="7" t="s">
        <v>2</v>
      </c>
      <c r="J45" s="3">
        <v>0</v>
      </c>
      <c r="K45" s="3">
        <v>5</v>
      </c>
      <c r="L45" s="3">
        <v>0</v>
      </c>
      <c r="M45" s="3">
        <v>0</v>
      </c>
      <c r="N45" s="3">
        <v>0</v>
      </c>
      <c r="O45" s="3">
        <v>0</v>
      </c>
      <c r="P45" s="4">
        <f t="shared" si="0"/>
        <v>135</v>
      </c>
      <c r="Q45" s="1" t="s">
        <v>14</v>
      </c>
      <c r="R45" s="44">
        <v>20</v>
      </c>
      <c r="S45" s="47">
        <v>50</v>
      </c>
    </row>
    <row r="46" spans="1:19" x14ac:dyDescent="0.25">
      <c r="A46" s="2">
        <v>43</v>
      </c>
      <c r="D46" s="16" t="s">
        <v>79</v>
      </c>
      <c r="E46" s="17"/>
      <c r="F46" s="17"/>
      <c r="G46" s="18"/>
      <c r="H46" s="12">
        <f>'KASIM 3 HAFTA '!P46</f>
        <v>63</v>
      </c>
      <c r="I46" s="7" t="s">
        <v>2</v>
      </c>
      <c r="J46" s="3">
        <v>0</v>
      </c>
      <c r="K46" s="3">
        <v>6</v>
      </c>
      <c r="L46" s="3">
        <v>0</v>
      </c>
      <c r="M46" s="3">
        <v>0</v>
      </c>
      <c r="N46" s="3">
        <v>1</v>
      </c>
      <c r="O46" s="3">
        <v>0</v>
      </c>
      <c r="P46" s="4">
        <f t="shared" si="0"/>
        <v>56</v>
      </c>
      <c r="Q46" s="1" t="s">
        <v>14</v>
      </c>
      <c r="R46" s="44">
        <v>10</v>
      </c>
      <c r="S46" s="47">
        <v>20</v>
      </c>
    </row>
    <row r="47" spans="1:19" x14ac:dyDescent="0.25">
      <c r="A47" s="2">
        <v>44</v>
      </c>
      <c r="D47" s="9" t="s">
        <v>48</v>
      </c>
      <c r="E47" s="10"/>
      <c r="F47" s="10"/>
      <c r="G47" s="11"/>
      <c r="H47" s="12">
        <f>'KASIM 3 HAFTA '!P47</f>
        <v>38</v>
      </c>
      <c r="I47" s="7" t="s">
        <v>2</v>
      </c>
      <c r="J47" s="3">
        <v>0</v>
      </c>
      <c r="K47" s="3">
        <v>6</v>
      </c>
      <c r="L47" s="3">
        <v>0</v>
      </c>
      <c r="M47" s="3">
        <v>0</v>
      </c>
      <c r="N47" s="3">
        <v>1</v>
      </c>
      <c r="O47" s="3">
        <v>0</v>
      </c>
      <c r="P47" s="4">
        <f t="shared" si="0"/>
        <v>31</v>
      </c>
      <c r="Q47" s="1" t="s">
        <v>14</v>
      </c>
      <c r="R47" s="44">
        <v>10</v>
      </c>
      <c r="S47" s="47">
        <v>20</v>
      </c>
    </row>
    <row r="48" spans="1:19" x14ac:dyDescent="0.25">
      <c r="A48" s="2">
        <v>45</v>
      </c>
      <c r="D48" s="16" t="s">
        <v>49</v>
      </c>
      <c r="E48" s="17"/>
      <c r="F48" s="17"/>
      <c r="G48" s="18"/>
      <c r="H48" s="12">
        <f>'KASIM 3 HAFTA '!P48</f>
        <v>0</v>
      </c>
      <c r="I48" s="7" t="s">
        <v>2</v>
      </c>
      <c r="J48" s="3">
        <v>0</v>
      </c>
      <c r="K48" s="3">
        <v>0</v>
      </c>
      <c r="L48" s="3">
        <v>0</v>
      </c>
      <c r="M48" s="3">
        <v>0</v>
      </c>
      <c r="N48" s="3">
        <v>1</v>
      </c>
      <c r="O48" s="3">
        <v>0</v>
      </c>
      <c r="P48" s="4">
        <f t="shared" si="0"/>
        <v>-1</v>
      </c>
      <c r="Q48" s="1" t="s">
        <v>14</v>
      </c>
      <c r="R48" s="44">
        <v>10</v>
      </c>
      <c r="S48" s="47">
        <v>20</v>
      </c>
    </row>
    <row r="49" spans="1:20" x14ac:dyDescent="0.25">
      <c r="A49" s="2">
        <v>46</v>
      </c>
      <c r="D49" s="9" t="s">
        <v>11</v>
      </c>
      <c r="E49" s="10"/>
      <c r="F49" s="10"/>
      <c r="G49" s="11"/>
      <c r="H49" s="12">
        <f>'KASIM 3 HAFTA '!P49</f>
        <v>0</v>
      </c>
      <c r="I49" s="7" t="s">
        <v>1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4">
        <f t="shared" si="0"/>
        <v>0</v>
      </c>
      <c r="Q49" s="1" t="s">
        <v>14</v>
      </c>
      <c r="R49" s="44">
        <v>20</v>
      </c>
      <c r="S49" s="47">
        <v>100</v>
      </c>
      <c r="T49" t="s">
        <v>75</v>
      </c>
    </row>
    <row r="50" spans="1:20" x14ac:dyDescent="0.25">
      <c r="A50" s="2">
        <v>47</v>
      </c>
      <c r="D50" s="16" t="s">
        <v>111</v>
      </c>
      <c r="E50" s="17"/>
      <c r="F50" s="17"/>
      <c r="G50" s="18"/>
      <c r="H50" s="12">
        <f>'KASIM 3 HAFTA '!P50</f>
        <v>172</v>
      </c>
      <c r="I50" s="7" t="s">
        <v>2</v>
      </c>
      <c r="J50" s="3">
        <v>0</v>
      </c>
      <c r="K50" s="3">
        <v>14</v>
      </c>
      <c r="L50" s="3">
        <v>0</v>
      </c>
      <c r="M50" s="3">
        <v>0</v>
      </c>
      <c r="N50" s="3">
        <v>0</v>
      </c>
      <c r="O50" s="3">
        <v>0</v>
      </c>
      <c r="P50" s="4">
        <f t="shared" si="0"/>
        <v>158</v>
      </c>
      <c r="Q50" s="1" t="s">
        <v>14</v>
      </c>
      <c r="R50" s="44">
        <v>30</v>
      </c>
      <c r="S50" s="47">
        <v>100</v>
      </c>
    </row>
    <row r="51" spans="1:20" x14ac:dyDescent="0.25">
      <c r="A51" s="2">
        <v>48</v>
      </c>
      <c r="D51" s="9" t="s">
        <v>51</v>
      </c>
      <c r="E51" s="10"/>
      <c r="F51" s="10"/>
      <c r="G51" s="11"/>
      <c r="H51" s="12">
        <f>'KASIM 3 HAFTA '!P51</f>
        <v>96</v>
      </c>
      <c r="I51" s="7" t="s">
        <v>2</v>
      </c>
      <c r="J51" s="3">
        <v>0</v>
      </c>
      <c r="K51" s="3">
        <v>0</v>
      </c>
      <c r="L51" s="3">
        <v>0</v>
      </c>
      <c r="M51" s="3">
        <v>0</v>
      </c>
      <c r="N51" s="3">
        <v>2</v>
      </c>
      <c r="O51" s="3">
        <v>0</v>
      </c>
      <c r="P51" s="4">
        <f t="shared" si="0"/>
        <v>94</v>
      </c>
      <c r="Q51" s="1" t="s">
        <v>14</v>
      </c>
      <c r="R51" s="44">
        <v>20</v>
      </c>
      <c r="S51" s="47">
        <v>50</v>
      </c>
    </row>
    <row r="52" spans="1:20" x14ac:dyDescent="0.25">
      <c r="A52" s="2">
        <v>49</v>
      </c>
      <c r="D52" s="16" t="s">
        <v>52</v>
      </c>
      <c r="E52" s="17"/>
      <c r="F52" s="17"/>
      <c r="G52" s="18"/>
      <c r="H52" s="12">
        <f>'KASIM 3 HAFTA '!P52</f>
        <v>42</v>
      </c>
      <c r="I52" s="7" t="s">
        <v>2</v>
      </c>
      <c r="J52" s="3">
        <v>0</v>
      </c>
      <c r="K52" s="3">
        <v>0</v>
      </c>
      <c r="L52" s="3">
        <v>0</v>
      </c>
      <c r="M52" s="3">
        <v>0</v>
      </c>
      <c r="N52" s="3">
        <v>2</v>
      </c>
      <c r="O52" s="3">
        <v>0</v>
      </c>
      <c r="P52" s="4">
        <f t="shared" si="0"/>
        <v>40</v>
      </c>
      <c r="Q52" s="1" t="s">
        <v>14</v>
      </c>
      <c r="R52" s="44">
        <v>20</v>
      </c>
      <c r="S52" s="47">
        <v>50</v>
      </c>
    </row>
    <row r="53" spans="1:20" x14ac:dyDescent="0.25">
      <c r="A53" s="2">
        <v>50</v>
      </c>
      <c r="D53" s="9" t="s">
        <v>53</v>
      </c>
      <c r="E53" s="10"/>
      <c r="F53" s="10"/>
      <c r="G53" s="11"/>
      <c r="H53" s="12">
        <f>'KASIM 3 HAFTA '!P53</f>
        <v>42</v>
      </c>
      <c r="I53" s="7" t="s">
        <v>2</v>
      </c>
      <c r="J53" s="3">
        <v>0</v>
      </c>
      <c r="K53" s="3">
        <v>0</v>
      </c>
      <c r="L53" s="3">
        <v>0</v>
      </c>
      <c r="M53" s="3">
        <v>0</v>
      </c>
      <c r="N53" s="3">
        <v>2</v>
      </c>
      <c r="O53" s="3">
        <v>0</v>
      </c>
      <c r="P53" s="4">
        <f t="shared" si="0"/>
        <v>40</v>
      </c>
      <c r="Q53" s="1" t="s">
        <v>14</v>
      </c>
      <c r="R53" s="44">
        <v>20</v>
      </c>
      <c r="S53" s="47">
        <v>50</v>
      </c>
    </row>
    <row r="54" spans="1:20" x14ac:dyDescent="0.25">
      <c r="A54" s="2">
        <v>51</v>
      </c>
      <c r="D54" s="16" t="s">
        <v>54</v>
      </c>
      <c r="E54" s="17"/>
      <c r="F54" s="17"/>
      <c r="G54" s="18"/>
      <c r="H54" s="12">
        <f>'KASIM 3 HAFTA '!P54</f>
        <v>240</v>
      </c>
      <c r="I54" s="7" t="s">
        <v>1</v>
      </c>
      <c r="J54" s="3">
        <v>900</v>
      </c>
      <c r="K54" s="3">
        <v>30</v>
      </c>
      <c r="L54" s="3">
        <v>0</v>
      </c>
      <c r="M54" s="3">
        <v>30</v>
      </c>
      <c r="N54" s="3">
        <v>15</v>
      </c>
      <c r="O54" s="3">
        <v>30</v>
      </c>
      <c r="P54" s="4">
        <f t="shared" si="0"/>
        <v>1035</v>
      </c>
      <c r="Q54" s="1" t="s">
        <v>68</v>
      </c>
      <c r="R54" s="44">
        <v>250</v>
      </c>
      <c r="S54" s="47">
        <v>750</v>
      </c>
      <c r="T54" t="s">
        <v>75</v>
      </c>
    </row>
    <row r="55" spans="1:20" x14ac:dyDescent="0.25">
      <c r="A55" s="2">
        <v>52</v>
      </c>
      <c r="D55" s="9" t="s">
        <v>55</v>
      </c>
      <c r="E55" s="10"/>
      <c r="F55" s="10"/>
      <c r="G55" s="11"/>
      <c r="H55" s="12">
        <f>'KASIM 3 HAFTA '!P55</f>
        <v>4500</v>
      </c>
      <c r="I55" s="7" t="s">
        <v>2</v>
      </c>
      <c r="J55" s="3">
        <v>0</v>
      </c>
      <c r="K55" s="3">
        <v>0</v>
      </c>
      <c r="L55" s="3">
        <v>500</v>
      </c>
      <c r="M55" s="3">
        <v>0</v>
      </c>
      <c r="N55" s="3">
        <v>0</v>
      </c>
      <c r="O55" s="3">
        <v>0</v>
      </c>
      <c r="P55" s="4">
        <f t="shared" si="0"/>
        <v>4000</v>
      </c>
      <c r="Q55" s="1" t="s">
        <v>14</v>
      </c>
      <c r="R55" s="44">
        <v>0</v>
      </c>
      <c r="S55" s="46"/>
    </row>
    <row r="56" spans="1:20" x14ac:dyDescent="0.25">
      <c r="A56" s="2">
        <v>53</v>
      </c>
      <c r="D56" s="16" t="s">
        <v>56</v>
      </c>
      <c r="E56" s="17"/>
      <c r="F56" s="17"/>
      <c r="G56" s="18"/>
      <c r="H56" s="12">
        <f>'KASIM 3 HAFTA '!P56</f>
        <v>2000</v>
      </c>
      <c r="I56" s="7" t="s">
        <v>2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  <c r="P56" s="4">
        <f t="shared" si="0"/>
        <v>2000</v>
      </c>
      <c r="Q56" s="1" t="s">
        <v>14</v>
      </c>
      <c r="R56" s="44">
        <v>0</v>
      </c>
      <c r="S56" s="46"/>
    </row>
    <row r="57" spans="1:20" x14ac:dyDescent="0.25">
      <c r="A57" s="2">
        <v>54</v>
      </c>
      <c r="D57" s="9" t="s">
        <v>12</v>
      </c>
      <c r="E57" s="10"/>
      <c r="F57" s="10"/>
      <c r="G57" s="11"/>
      <c r="H57" s="12">
        <f>'KASIM 3 HAFTA '!P57</f>
        <v>2800</v>
      </c>
      <c r="I57" s="7" t="s">
        <v>2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  <c r="P57" s="4">
        <f t="shared" si="0"/>
        <v>2800</v>
      </c>
      <c r="Q57" s="1" t="s">
        <v>14</v>
      </c>
      <c r="R57" s="44">
        <v>0</v>
      </c>
      <c r="S57" s="46"/>
    </row>
    <row r="58" spans="1:20" x14ac:dyDescent="0.25">
      <c r="A58" s="2">
        <v>55</v>
      </c>
      <c r="D58" s="16" t="s">
        <v>57</v>
      </c>
      <c r="E58" s="17"/>
      <c r="F58" s="17"/>
      <c r="G58" s="18"/>
      <c r="H58" s="12">
        <f>'KASIM 3 HAFTA '!P58</f>
        <v>3000</v>
      </c>
      <c r="I58" s="7" t="s">
        <v>2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4">
        <f t="shared" si="0"/>
        <v>3000</v>
      </c>
      <c r="Q58" s="1" t="s">
        <v>14</v>
      </c>
      <c r="R58" s="44">
        <v>0</v>
      </c>
      <c r="S58" s="46"/>
    </row>
    <row r="59" spans="1:20" x14ac:dyDescent="0.25">
      <c r="A59" s="2">
        <v>56</v>
      </c>
      <c r="D59" s="9" t="s">
        <v>58</v>
      </c>
      <c r="E59" s="10"/>
      <c r="F59" s="10"/>
      <c r="G59" s="11"/>
      <c r="H59" s="12">
        <f>'KASIM 3 HAFTA '!P59</f>
        <v>5000</v>
      </c>
      <c r="I59" s="7" t="s">
        <v>2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  <c r="P59" s="4">
        <f t="shared" si="0"/>
        <v>5000</v>
      </c>
      <c r="Q59" s="1" t="s">
        <v>14</v>
      </c>
      <c r="R59" s="44">
        <v>0</v>
      </c>
      <c r="S59" s="46"/>
    </row>
    <row r="60" spans="1:20" x14ac:dyDescent="0.25">
      <c r="A60" s="2">
        <v>57</v>
      </c>
      <c r="D60" s="16" t="s">
        <v>59</v>
      </c>
      <c r="E60" s="17"/>
      <c r="F60" s="17"/>
      <c r="G60" s="18"/>
      <c r="H60" s="12">
        <f>'KASIM 3 HAFTA '!P60</f>
        <v>3000</v>
      </c>
      <c r="I60" s="7" t="s">
        <v>2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4">
        <f t="shared" si="0"/>
        <v>3000</v>
      </c>
      <c r="Q60" s="1" t="s">
        <v>14</v>
      </c>
      <c r="R60" s="44">
        <v>0</v>
      </c>
      <c r="S60" s="46"/>
    </row>
    <row r="61" spans="1:20" x14ac:dyDescent="0.25">
      <c r="A61" s="2">
        <v>58</v>
      </c>
      <c r="D61" s="9" t="s">
        <v>60</v>
      </c>
      <c r="E61" s="10"/>
      <c r="F61" s="10"/>
      <c r="G61" s="11"/>
      <c r="H61" s="12">
        <f>'KASIM 3 HAFTA '!P61</f>
        <v>5000</v>
      </c>
      <c r="I61" s="7" t="s">
        <v>2</v>
      </c>
      <c r="J61" s="3">
        <v>0</v>
      </c>
      <c r="K61" s="3">
        <v>300</v>
      </c>
      <c r="L61" s="3">
        <v>0</v>
      </c>
      <c r="M61" s="3">
        <v>0</v>
      </c>
      <c r="N61" s="3">
        <v>0</v>
      </c>
      <c r="O61" s="3">
        <v>0</v>
      </c>
      <c r="P61" s="4">
        <f t="shared" si="0"/>
        <v>4700</v>
      </c>
      <c r="Q61" s="1" t="s">
        <v>14</v>
      </c>
      <c r="R61" s="44">
        <v>0</v>
      </c>
      <c r="S61" s="46"/>
    </row>
    <row r="62" spans="1:20" x14ac:dyDescent="0.25">
      <c r="A62" s="2">
        <v>59</v>
      </c>
      <c r="D62" s="16" t="s">
        <v>61</v>
      </c>
      <c r="E62" s="17"/>
      <c r="F62" s="17"/>
      <c r="G62" s="18"/>
      <c r="H62" s="12">
        <f>'KASIM 3 HAFTA '!P62</f>
        <v>494</v>
      </c>
      <c r="I62" s="7" t="s">
        <v>2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4">
        <f t="shared" si="0"/>
        <v>494</v>
      </c>
      <c r="Q62" s="1" t="s">
        <v>14</v>
      </c>
      <c r="R62" s="44">
        <v>0</v>
      </c>
      <c r="S62" s="46"/>
    </row>
    <row r="63" spans="1:20" x14ac:dyDescent="0.25">
      <c r="A63" s="2">
        <v>60</v>
      </c>
      <c r="D63" s="9" t="s">
        <v>62</v>
      </c>
      <c r="E63" s="10"/>
      <c r="F63" s="10"/>
      <c r="G63" s="11"/>
      <c r="H63" s="12">
        <f>'KASIM 3 HAFTA '!P63</f>
        <v>1184</v>
      </c>
      <c r="I63" s="7" t="s">
        <v>2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4">
        <f t="shared" si="0"/>
        <v>1184</v>
      </c>
      <c r="Q63" s="1" t="s">
        <v>14</v>
      </c>
      <c r="R63" s="44">
        <v>200</v>
      </c>
      <c r="S63" s="47">
        <v>1000</v>
      </c>
    </row>
    <row r="64" spans="1:20" x14ac:dyDescent="0.25">
      <c r="A64" s="2">
        <v>61</v>
      </c>
      <c r="D64" s="16" t="s">
        <v>13</v>
      </c>
      <c r="E64" s="17"/>
      <c r="F64" s="17"/>
      <c r="G64" s="18"/>
      <c r="H64" s="12">
        <f>'KASIM 3 HAFTA '!P64</f>
        <v>447</v>
      </c>
      <c r="I64" s="7" t="s">
        <v>2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4">
        <f t="shared" si="0"/>
        <v>447</v>
      </c>
      <c r="Q64" s="1" t="s">
        <v>14</v>
      </c>
      <c r="R64" s="44">
        <v>100</v>
      </c>
      <c r="S64" s="47">
        <v>300</v>
      </c>
    </row>
    <row r="65" spans="1:20" x14ac:dyDescent="0.25">
      <c r="A65" s="2">
        <v>62</v>
      </c>
      <c r="D65" s="9" t="s">
        <v>72</v>
      </c>
      <c r="E65" s="10"/>
      <c r="F65" s="10"/>
      <c r="G65" s="11"/>
      <c r="H65" s="12">
        <f>'KASIM 3 HAFTA '!P65</f>
        <v>315</v>
      </c>
      <c r="I65" s="7" t="s">
        <v>2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4">
        <f t="shared" si="0"/>
        <v>315</v>
      </c>
      <c r="Q65" s="1" t="s">
        <v>14</v>
      </c>
      <c r="R65" s="44">
        <v>100</v>
      </c>
      <c r="S65" s="47">
        <v>300</v>
      </c>
    </row>
    <row r="66" spans="1:20" x14ac:dyDescent="0.25">
      <c r="A66" s="2">
        <v>63</v>
      </c>
      <c r="D66" s="16" t="s">
        <v>63</v>
      </c>
      <c r="E66" s="17"/>
      <c r="F66" s="17"/>
      <c r="G66" s="18"/>
      <c r="H66" s="12">
        <f>'KASIM 3 HAFTA '!P66</f>
        <v>350</v>
      </c>
      <c r="I66" s="7" t="s">
        <v>2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  <c r="P66" s="4">
        <f t="shared" si="0"/>
        <v>350</v>
      </c>
      <c r="Q66" s="1" t="s">
        <v>14</v>
      </c>
      <c r="R66" s="44">
        <v>100</v>
      </c>
      <c r="S66" s="47">
        <v>300</v>
      </c>
    </row>
    <row r="67" spans="1:20" x14ac:dyDescent="0.25">
      <c r="A67" s="2">
        <v>64</v>
      </c>
      <c r="D67" s="9" t="s">
        <v>77</v>
      </c>
      <c r="E67" s="10"/>
      <c r="F67" s="10"/>
      <c r="G67" s="11"/>
      <c r="H67" s="12">
        <f>'KASIM 3 HAFTA '!P67</f>
        <v>1162</v>
      </c>
      <c r="I67" s="7" t="s">
        <v>2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  <c r="P67" s="4">
        <f t="shared" si="0"/>
        <v>1162</v>
      </c>
      <c r="Q67" s="1" t="s">
        <v>14</v>
      </c>
      <c r="R67" s="44">
        <v>100</v>
      </c>
      <c r="S67" s="47">
        <v>300</v>
      </c>
    </row>
    <row r="68" spans="1:20" x14ac:dyDescent="0.25">
      <c r="A68" s="2">
        <v>65</v>
      </c>
      <c r="D68" s="16" t="s">
        <v>87</v>
      </c>
      <c r="E68" s="17"/>
      <c r="F68" s="17"/>
      <c r="G68" s="18"/>
      <c r="H68" s="12">
        <f>'KASIM 3 HAFTA '!P68</f>
        <v>515</v>
      </c>
      <c r="I68" s="7" t="s">
        <v>2</v>
      </c>
      <c r="J68" s="3">
        <v>0</v>
      </c>
      <c r="K68" s="3">
        <v>4</v>
      </c>
      <c r="L68" s="3">
        <v>0</v>
      </c>
      <c r="M68" s="3">
        <v>0</v>
      </c>
      <c r="N68" s="3">
        <v>0</v>
      </c>
      <c r="O68" s="3">
        <v>0</v>
      </c>
      <c r="P68" s="4">
        <f t="shared" ref="P68:P83" si="1">+H68+J68-K68-L68-M68-N68-O68</f>
        <v>511</v>
      </c>
      <c r="Q68" s="1" t="s">
        <v>14</v>
      </c>
      <c r="R68" s="44">
        <v>0</v>
      </c>
      <c r="S68" s="46"/>
    </row>
    <row r="69" spans="1:20" x14ac:dyDescent="0.25">
      <c r="A69" s="2">
        <v>66</v>
      </c>
      <c r="D69" s="9" t="s">
        <v>64</v>
      </c>
      <c r="E69" s="10"/>
      <c r="F69" s="10"/>
      <c r="G69" s="11"/>
      <c r="H69" s="12">
        <f>'KASIM 3 HAFTA '!P69</f>
        <v>328</v>
      </c>
      <c r="I69" s="7" t="s">
        <v>2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4">
        <f t="shared" si="1"/>
        <v>328</v>
      </c>
      <c r="Q69" s="1" t="s">
        <v>14</v>
      </c>
      <c r="R69" s="44">
        <v>50</v>
      </c>
      <c r="S69" s="47">
        <v>100</v>
      </c>
    </row>
    <row r="70" spans="1:20" x14ac:dyDescent="0.25">
      <c r="A70" s="2">
        <v>67</v>
      </c>
      <c r="D70" s="16" t="s">
        <v>65</v>
      </c>
      <c r="E70" s="17"/>
      <c r="F70" s="17"/>
      <c r="G70" s="18"/>
      <c r="H70" s="12">
        <f>'KASIM 3 HAFTA '!P70</f>
        <v>60</v>
      </c>
      <c r="I70" s="7" t="s">
        <v>2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4">
        <f t="shared" si="1"/>
        <v>60</v>
      </c>
      <c r="Q70" s="1" t="s">
        <v>14</v>
      </c>
      <c r="R70" s="44">
        <v>0</v>
      </c>
      <c r="S70" s="46"/>
    </row>
    <row r="71" spans="1:20" x14ac:dyDescent="0.25">
      <c r="A71" s="2">
        <v>68</v>
      </c>
      <c r="D71" s="9" t="s">
        <v>66</v>
      </c>
      <c r="E71" s="10"/>
      <c r="F71" s="10"/>
      <c r="G71" s="11"/>
      <c r="H71" s="12">
        <f>'KASIM 3 HAFTA '!P71</f>
        <v>500</v>
      </c>
      <c r="I71" s="7" t="s">
        <v>2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4">
        <f t="shared" si="1"/>
        <v>500</v>
      </c>
      <c r="Q71" s="1" t="s">
        <v>14</v>
      </c>
      <c r="R71" s="44">
        <v>300</v>
      </c>
      <c r="S71" s="47">
        <v>1000</v>
      </c>
    </row>
    <row r="72" spans="1:20" x14ac:dyDescent="0.25">
      <c r="A72" s="2">
        <v>69</v>
      </c>
      <c r="D72" s="19" t="s">
        <v>86</v>
      </c>
      <c r="E72" s="20"/>
      <c r="F72" s="20"/>
      <c r="G72" s="21"/>
      <c r="H72" s="12">
        <f>'KASIM 3 HAFTA '!P72</f>
        <v>0</v>
      </c>
      <c r="I72" s="7" t="s">
        <v>2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  <c r="P72" s="4">
        <f t="shared" si="1"/>
        <v>0</v>
      </c>
      <c r="Q72" s="1" t="s">
        <v>14</v>
      </c>
      <c r="R72" s="44">
        <v>50</v>
      </c>
      <c r="S72" s="47">
        <v>150</v>
      </c>
    </row>
    <row r="73" spans="1:20" x14ac:dyDescent="0.25">
      <c r="A73" s="2">
        <v>70</v>
      </c>
      <c r="D73" s="22" t="s">
        <v>74</v>
      </c>
      <c r="E73" s="10"/>
      <c r="F73" s="10"/>
      <c r="G73" s="11"/>
      <c r="H73" s="12">
        <f>'KASIM 3 HAFTA '!P73</f>
        <v>32</v>
      </c>
      <c r="I73" s="8" t="s">
        <v>75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4">
        <f t="shared" si="1"/>
        <v>32</v>
      </c>
      <c r="Q73" s="1" t="s">
        <v>91</v>
      </c>
      <c r="R73" s="44">
        <v>65</v>
      </c>
      <c r="S73" s="47">
        <v>150</v>
      </c>
    </row>
    <row r="74" spans="1:20" x14ac:dyDescent="0.25">
      <c r="A74" s="2">
        <v>71</v>
      </c>
      <c r="C74" s="1" t="s">
        <v>14</v>
      </c>
      <c r="D74" s="22" t="s">
        <v>76</v>
      </c>
      <c r="E74" s="10"/>
      <c r="F74" s="10"/>
      <c r="G74" s="11"/>
      <c r="H74" s="12">
        <f>'KASIM 3 HAFTA '!P74</f>
        <v>142</v>
      </c>
      <c r="I74" s="8" t="s">
        <v>2</v>
      </c>
      <c r="J74" s="3">
        <v>0</v>
      </c>
      <c r="K74" s="3">
        <v>20</v>
      </c>
      <c r="L74" s="3">
        <v>0</v>
      </c>
      <c r="M74" s="3">
        <v>0</v>
      </c>
      <c r="N74" s="3">
        <v>0</v>
      </c>
      <c r="O74" s="3">
        <v>0</v>
      </c>
      <c r="P74" s="4">
        <f t="shared" si="1"/>
        <v>122</v>
      </c>
      <c r="Q74" s="1" t="s">
        <v>14</v>
      </c>
      <c r="R74" s="44">
        <v>50</v>
      </c>
      <c r="S74" s="47">
        <v>100</v>
      </c>
    </row>
    <row r="75" spans="1:20" x14ac:dyDescent="0.25">
      <c r="A75" s="2">
        <v>72</v>
      </c>
      <c r="D75" s="25" t="s">
        <v>78</v>
      </c>
      <c r="H75" s="12">
        <f>'KASIM 3 HAFTA '!P75</f>
        <v>21</v>
      </c>
      <c r="I75" s="30" t="s">
        <v>2</v>
      </c>
      <c r="J75" s="3">
        <v>0</v>
      </c>
      <c r="K75" s="3">
        <v>4</v>
      </c>
      <c r="L75" s="3">
        <v>0</v>
      </c>
      <c r="M75" s="3">
        <v>0</v>
      </c>
      <c r="N75" s="3">
        <v>0</v>
      </c>
      <c r="O75" s="3">
        <v>0</v>
      </c>
      <c r="P75" s="4">
        <f t="shared" si="1"/>
        <v>17</v>
      </c>
      <c r="Q75" s="1" t="s">
        <v>14</v>
      </c>
      <c r="R75" s="44">
        <v>50</v>
      </c>
      <c r="S75" s="47">
        <v>100</v>
      </c>
    </row>
    <row r="76" spans="1:20" x14ac:dyDescent="0.25">
      <c r="A76" s="2">
        <v>73</v>
      </c>
      <c r="D76" s="26" t="s">
        <v>80</v>
      </c>
      <c r="E76" s="27"/>
      <c r="F76" s="27"/>
      <c r="G76" s="28"/>
      <c r="H76" s="12">
        <f>'KASIM 3 HAFTA '!P76</f>
        <v>37</v>
      </c>
      <c r="I76" s="8" t="s">
        <v>2</v>
      </c>
      <c r="J76" s="3">
        <v>0</v>
      </c>
      <c r="K76" s="3">
        <v>4</v>
      </c>
      <c r="L76" s="3">
        <v>0</v>
      </c>
      <c r="M76" s="3">
        <v>0</v>
      </c>
      <c r="N76" s="3">
        <v>0</v>
      </c>
      <c r="O76" s="3">
        <v>0</v>
      </c>
      <c r="P76" s="4">
        <f t="shared" si="1"/>
        <v>33</v>
      </c>
      <c r="Q76" s="1" t="s">
        <v>14</v>
      </c>
      <c r="R76" s="44">
        <v>0</v>
      </c>
      <c r="S76" s="46"/>
    </row>
    <row r="77" spans="1:20" x14ac:dyDescent="0.25">
      <c r="A77" s="2">
        <v>74</v>
      </c>
      <c r="D77" s="26" t="s">
        <v>84</v>
      </c>
      <c r="E77" s="27"/>
      <c r="F77" s="27"/>
      <c r="G77" s="28"/>
      <c r="H77" s="12">
        <f>'KASIM 3 HAFTA '!P77</f>
        <v>50</v>
      </c>
      <c r="I77" s="8" t="s">
        <v>2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4">
        <f t="shared" si="1"/>
        <v>50</v>
      </c>
      <c r="Q77" s="1" t="s">
        <v>14</v>
      </c>
      <c r="R77" s="44">
        <v>100</v>
      </c>
      <c r="S77" s="47">
        <v>200</v>
      </c>
    </row>
    <row r="78" spans="1:20" x14ac:dyDescent="0.25">
      <c r="A78" s="2">
        <v>75</v>
      </c>
      <c r="D78" s="26" t="s">
        <v>85</v>
      </c>
      <c r="E78" s="27"/>
      <c r="F78" s="27"/>
      <c r="G78" s="28"/>
      <c r="H78" s="12">
        <f>'KASIM 3 HAFTA '!P78</f>
        <v>0</v>
      </c>
      <c r="I78" s="8" t="s">
        <v>2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  <c r="P78" s="4">
        <f t="shared" si="1"/>
        <v>0</v>
      </c>
      <c r="R78" s="44">
        <v>0</v>
      </c>
      <c r="S78" s="46"/>
    </row>
    <row r="79" spans="1:20" x14ac:dyDescent="0.25">
      <c r="A79" s="2">
        <v>76</v>
      </c>
      <c r="D79" s="37" t="s">
        <v>99</v>
      </c>
      <c r="E79" s="17"/>
      <c r="F79" s="33"/>
      <c r="G79" s="33"/>
      <c r="H79" s="12">
        <f>'KASIM 3 HAFTA '!P79</f>
        <v>171</v>
      </c>
      <c r="I79" s="8" t="s">
        <v>2</v>
      </c>
      <c r="J79" s="3">
        <v>0</v>
      </c>
      <c r="K79" s="3">
        <v>25</v>
      </c>
      <c r="L79" s="3">
        <v>0</v>
      </c>
      <c r="M79" s="3">
        <v>0</v>
      </c>
      <c r="N79" s="3">
        <v>0</v>
      </c>
      <c r="O79" s="3">
        <v>0</v>
      </c>
      <c r="P79" s="4">
        <f t="shared" si="1"/>
        <v>146</v>
      </c>
      <c r="Q79" s="1" t="s">
        <v>14</v>
      </c>
      <c r="R79" s="44">
        <v>100</v>
      </c>
      <c r="S79" s="47">
        <v>500</v>
      </c>
      <c r="T79" t="s">
        <v>75</v>
      </c>
    </row>
    <row r="80" spans="1:20" x14ac:dyDescent="0.25">
      <c r="A80" s="2">
        <v>77</v>
      </c>
      <c r="D80" s="22" t="s">
        <v>100</v>
      </c>
      <c r="E80" s="10"/>
      <c r="F80" s="10"/>
      <c r="G80" s="28"/>
      <c r="H80" s="12">
        <f>'KASIM 3 HAFTA '!P80</f>
        <v>40</v>
      </c>
      <c r="I80" s="8" t="s">
        <v>2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  <c r="P80" s="4">
        <f t="shared" si="1"/>
        <v>40</v>
      </c>
      <c r="R80" s="44">
        <v>0</v>
      </c>
      <c r="S80" s="46"/>
    </row>
    <row r="81" spans="1:19" x14ac:dyDescent="0.25">
      <c r="A81" s="2">
        <v>78</v>
      </c>
      <c r="D81" s="37" t="s">
        <v>113</v>
      </c>
      <c r="E81" s="17"/>
      <c r="F81" s="17"/>
      <c r="G81" s="33"/>
      <c r="H81" s="12">
        <f>'KASIM 3 HAFTA '!P81</f>
        <v>36</v>
      </c>
      <c r="I81" s="8" t="s">
        <v>2</v>
      </c>
      <c r="J81" s="3">
        <v>138</v>
      </c>
      <c r="K81" s="3">
        <v>0</v>
      </c>
      <c r="L81" s="3">
        <v>4</v>
      </c>
      <c r="M81" s="3">
        <v>0</v>
      </c>
      <c r="N81" s="3">
        <v>26</v>
      </c>
      <c r="O81" s="3">
        <v>0</v>
      </c>
      <c r="P81" s="4">
        <f t="shared" si="1"/>
        <v>144</v>
      </c>
      <c r="Q81" s="51" t="s">
        <v>112</v>
      </c>
      <c r="R81" s="44">
        <v>30</v>
      </c>
      <c r="S81" s="47">
        <v>100</v>
      </c>
    </row>
    <row r="82" spans="1:19" x14ac:dyDescent="0.25">
      <c r="A82" s="2">
        <v>79</v>
      </c>
      <c r="D82" s="22" t="s">
        <v>103</v>
      </c>
      <c r="E82" s="10"/>
      <c r="F82" s="10"/>
      <c r="G82" s="28"/>
      <c r="H82" s="12">
        <f>'KASIM 3 HAFTA '!P82</f>
        <v>300</v>
      </c>
      <c r="I82" s="8" t="s">
        <v>2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38</v>
      </c>
      <c r="P82" s="4">
        <f t="shared" si="1"/>
        <v>262</v>
      </c>
      <c r="R82" s="44">
        <v>60</v>
      </c>
      <c r="S82" s="47">
        <v>100</v>
      </c>
    </row>
    <row r="83" spans="1:19" x14ac:dyDescent="0.25">
      <c r="A83" s="8">
        <v>80</v>
      </c>
      <c r="D83" s="49" t="s">
        <v>108</v>
      </c>
      <c r="E83" s="20"/>
      <c r="F83" s="20"/>
      <c r="G83" s="20"/>
      <c r="H83" s="12">
        <v>3000</v>
      </c>
      <c r="I83" s="8" t="s">
        <v>110</v>
      </c>
      <c r="J83" s="3">
        <v>5000</v>
      </c>
      <c r="K83" s="3">
        <v>500</v>
      </c>
      <c r="L83" s="3">
        <v>500</v>
      </c>
      <c r="M83" s="3">
        <v>500</v>
      </c>
      <c r="N83" s="3">
        <v>1500</v>
      </c>
      <c r="O83" s="3">
        <v>1000</v>
      </c>
      <c r="P83" s="4">
        <f t="shared" si="1"/>
        <v>4000</v>
      </c>
      <c r="R83" s="43">
        <v>1000</v>
      </c>
      <c r="S83" s="46">
        <v>10000</v>
      </c>
    </row>
  </sheetData>
  <pageMargins left="0.75" right="0.75" top="1" bottom="1" header="0.5" footer="0.5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T84"/>
  <sheetViews>
    <sheetView topLeftCell="A48" workbookViewId="0">
      <selection activeCell="O50" sqref="O50"/>
    </sheetView>
  </sheetViews>
  <sheetFormatPr defaultRowHeight="15" x14ac:dyDescent="0.25"/>
  <cols>
    <col min="1" max="1" width="5.5703125" customWidth="1"/>
    <col min="2" max="3" width="9.140625" hidden="1" customWidth="1"/>
    <col min="11" max="15" width="10.140625" bestFit="1" customWidth="1"/>
    <col min="17" max="17" width="3.5703125" customWidth="1"/>
    <col min="18" max="18" width="10" customWidth="1"/>
    <col min="19" max="19" width="11.140625" customWidth="1"/>
  </cols>
  <sheetData>
    <row r="1" spans="1:20" x14ac:dyDescent="0.25">
      <c r="G1" s="1"/>
      <c r="P1">
        <f>+H1+J1-K1-L1-M1-N1-O1</f>
        <v>0</v>
      </c>
    </row>
    <row r="2" spans="1:20" x14ac:dyDescent="0.25">
      <c r="A2" t="s">
        <v>14</v>
      </c>
      <c r="O2" s="38" t="s">
        <v>14</v>
      </c>
      <c r="S2" s="50">
        <v>44837</v>
      </c>
    </row>
    <row r="3" spans="1:20" x14ac:dyDescent="0.25">
      <c r="A3" s="1" t="s">
        <v>15</v>
      </c>
      <c r="D3" s="9" t="s">
        <v>17</v>
      </c>
      <c r="E3" s="10"/>
      <c r="F3" s="10"/>
      <c r="G3" s="11"/>
      <c r="H3" s="12" t="s">
        <v>18</v>
      </c>
      <c r="I3" s="4" t="s">
        <v>19</v>
      </c>
      <c r="J3" s="3" t="s">
        <v>20</v>
      </c>
      <c r="K3" s="5">
        <v>44893</v>
      </c>
      <c r="L3" s="6">
        <v>44894</v>
      </c>
      <c r="M3" s="5">
        <v>44895</v>
      </c>
      <c r="N3" s="5">
        <v>44896</v>
      </c>
      <c r="O3" s="6">
        <v>44897</v>
      </c>
      <c r="P3" s="3" t="s">
        <v>21</v>
      </c>
      <c r="R3" s="42" t="s">
        <v>105</v>
      </c>
      <c r="S3" s="45" t="s">
        <v>104</v>
      </c>
    </row>
    <row r="4" spans="1:20" x14ac:dyDescent="0.25">
      <c r="A4" s="2">
        <v>1</v>
      </c>
      <c r="D4" s="13" t="s">
        <v>16</v>
      </c>
      <c r="E4" s="14"/>
      <c r="F4" s="14"/>
      <c r="G4" s="15"/>
      <c r="H4" s="12">
        <v>164</v>
      </c>
      <c r="I4" s="7" t="s">
        <v>1</v>
      </c>
      <c r="J4" s="3">
        <v>0</v>
      </c>
      <c r="K4" s="3">
        <v>0</v>
      </c>
      <c r="L4" s="3">
        <v>34</v>
      </c>
      <c r="M4" s="3">
        <v>17</v>
      </c>
      <c r="N4" s="3">
        <v>0</v>
      </c>
      <c r="O4" s="3">
        <v>0</v>
      </c>
      <c r="P4" s="4">
        <f t="shared" ref="P4:P67" si="0">+H4+J4-K4-L4-M4-N4-O4</f>
        <v>113</v>
      </c>
      <c r="Q4" t="s">
        <v>67</v>
      </c>
      <c r="R4" s="43">
        <v>100</v>
      </c>
      <c r="S4" s="46">
        <v>500</v>
      </c>
      <c r="T4" t="s">
        <v>75</v>
      </c>
    </row>
    <row r="5" spans="1:20" x14ac:dyDescent="0.25">
      <c r="A5" s="2">
        <v>2</v>
      </c>
      <c r="D5" s="9" t="s">
        <v>22</v>
      </c>
      <c r="E5" s="10"/>
      <c r="F5" s="10"/>
      <c r="G5" s="11"/>
      <c r="H5" s="12">
        <f>'KASIM 3 HAFTA '!P5</f>
        <v>28</v>
      </c>
      <c r="I5" s="7" t="s">
        <v>2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4">
        <f t="shared" si="0"/>
        <v>28</v>
      </c>
      <c r="Q5" s="1" t="s">
        <v>14</v>
      </c>
      <c r="R5" s="44">
        <v>6</v>
      </c>
      <c r="S5" s="47">
        <v>10</v>
      </c>
    </row>
    <row r="6" spans="1:20" x14ac:dyDescent="0.25">
      <c r="A6" s="2">
        <v>3</v>
      </c>
      <c r="D6" s="16" t="s">
        <v>23</v>
      </c>
      <c r="E6" s="17"/>
      <c r="F6" s="17"/>
      <c r="G6" s="18"/>
      <c r="H6" s="12">
        <f>'KASIM 3 HAFTA '!P6</f>
        <v>14</v>
      </c>
      <c r="I6" s="7" t="s">
        <v>2</v>
      </c>
      <c r="J6" s="3">
        <v>20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4">
        <f t="shared" si="0"/>
        <v>34</v>
      </c>
      <c r="Q6" s="1" t="s">
        <v>14</v>
      </c>
      <c r="R6" s="44">
        <v>6</v>
      </c>
      <c r="S6" s="47">
        <v>10</v>
      </c>
    </row>
    <row r="7" spans="1:20" x14ac:dyDescent="0.25">
      <c r="A7" s="2">
        <v>4</v>
      </c>
      <c r="D7" s="9" t="s">
        <v>3</v>
      </c>
      <c r="E7" s="10"/>
      <c r="F7" s="10"/>
      <c r="G7" s="11"/>
      <c r="H7" s="12">
        <f>'KASIM 3 HAFTA '!P7</f>
        <v>58</v>
      </c>
      <c r="I7" s="7" t="s">
        <v>2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4">
        <f t="shared" si="0"/>
        <v>58</v>
      </c>
      <c r="Q7" s="1" t="s">
        <v>14</v>
      </c>
      <c r="R7" s="44">
        <v>6</v>
      </c>
      <c r="S7" s="47">
        <v>10</v>
      </c>
    </row>
    <row r="8" spans="1:20" x14ac:dyDescent="0.25">
      <c r="A8" s="2">
        <v>5</v>
      </c>
      <c r="D8" s="16" t="s">
        <v>4</v>
      </c>
      <c r="E8" s="17"/>
      <c r="F8" s="17"/>
      <c r="G8" s="18"/>
      <c r="H8" s="12">
        <v>126</v>
      </c>
      <c r="I8" s="7" t="s">
        <v>2</v>
      </c>
      <c r="J8" s="3">
        <v>0</v>
      </c>
      <c r="K8" s="3">
        <v>0</v>
      </c>
      <c r="L8" s="3">
        <v>0</v>
      </c>
      <c r="M8" s="3">
        <v>0</v>
      </c>
      <c r="N8" s="3">
        <v>6</v>
      </c>
      <c r="O8" s="3">
        <v>6</v>
      </c>
      <c r="P8" s="4">
        <f t="shared" si="0"/>
        <v>114</v>
      </c>
      <c r="Q8" s="1" t="s">
        <v>14</v>
      </c>
      <c r="R8" s="44">
        <v>100</v>
      </c>
      <c r="S8" s="47">
        <v>400</v>
      </c>
    </row>
    <row r="9" spans="1:20" x14ac:dyDescent="0.25">
      <c r="A9" s="2">
        <v>6</v>
      </c>
      <c r="D9" s="9" t="s">
        <v>24</v>
      </c>
      <c r="E9" s="10"/>
      <c r="F9" s="10"/>
      <c r="G9" s="11"/>
      <c r="H9" s="12">
        <v>140</v>
      </c>
      <c r="I9" s="7" t="s">
        <v>2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20</v>
      </c>
      <c r="P9" s="4">
        <f t="shared" si="0"/>
        <v>120</v>
      </c>
      <c r="Q9" s="1" t="s">
        <v>14</v>
      </c>
      <c r="R9" s="44">
        <v>60</v>
      </c>
      <c r="S9" s="47">
        <v>200</v>
      </c>
    </row>
    <row r="10" spans="1:20" x14ac:dyDescent="0.25">
      <c r="A10" s="2">
        <v>7</v>
      </c>
      <c r="D10" s="16" t="s">
        <v>101</v>
      </c>
      <c r="E10" s="17"/>
      <c r="F10" s="17"/>
      <c r="G10" s="18"/>
      <c r="H10" s="12">
        <v>1807</v>
      </c>
      <c r="I10" s="7" t="s">
        <v>2</v>
      </c>
      <c r="J10" s="3">
        <v>0</v>
      </c>
      <c r="K10" s="3">
        <v>0</v>
      </c>
      <c r="L10" s="3">
        <v>0</v>
      </c>
      <c r="M10" s="3">
        <v>16</v>
      </c>
      <c r="N10" s="3">
        <v>20</v>
      </c>
      <c r="O10" s="3">
        <v>0</v>
      </c>
      <c r="P10" s="4">
        <f t="shared" si="0"/>
        <v>1771</v>
      </c>
      <c r="Q10" s="1" t="s">
        <v>14</v>
      </c>
      <c r="R10" s="44">
        <v>200</v>
      </c>
      <c r="S10" s="47">
        <v>500</v>
      </c>
    </row>
    <row r="11" spans="1:20" x14ac:dyDescent="0.25">
      <c r="A11" s="2">
        <v>8</v>
      </c>
      <c r="D11" s="9" t="s">
        <v>25</v>
      </c>
      <c r="E11" s="10"/>
      <c r="F11" s="10"/>
      <c r="G11" s="11"/>
      <c r="H11" s="12">
        <f>'KASIM 3 HAFTA '!P11</f>
        <v>496</v>
      </c>
      <c r="I11" s="7" t="s">
        <v>2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4">
        <f t="shared" si="0"/>
        <v>496</v>
      </c>
      <c r="Q11" s="1" t="s">
        <v>14</v>
      </c>
      <c r="R11" s="44">
        <v>0</v>
      </c>
      <c r="S11" s="47">
        <v>0</v>
      </c>
    </row>
    <row r="12" spans="1:20" x14ac:dyDescent="0.25">
      <c r="A12" s="2">
        <v>9</v>
      </c>
      <c r="D12" s="16" t="s">
        <v>26</v>
      </c>
      <c r="E12" s="17"/>
      <c r="F12" s="17"/>
      <c r="G12" s="18"/>
      <c r="H12" s="12">
        <f>'KASIM 3 HAFTA '!P12</f>
        <v>60</v>
      </c>
      <c r="I12" s="7" t="s">
        <v>2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4">
        <f t="shared" si="0"/>
        <v>60</v>
      </c>
      <c r="Q12" s="1" t="s">
        <v>14</v>
      </c>
      <c r="R12" s="44">
        <v>200</v>
      </c>
      <c r="S12" s="47">
        <v>400</v>
      </c>
    </row>
    <row r="13" spans="1:20" x14ac:dyDescent="0.25">
      <c r="A13" s="2">
        <v>10</v>
      </c>
      <c r="D13" s="9" t="s">
        <v>6</v>
      </c>
      <c r="E13" s="10"/>
      <c r="F13" s="10"/>
      <c r="G13" s="11"/>
      <c r="H13" s="12">
        <f>'KASIM 3 HAFTA '!P13</f>
        <v>42</v>
      </c>
      <c r="I13" s="7" t="s">
        <v>2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4">
        <f t="shared" si="0"/>
        <v>42</v>
      </c>
      <c r="Q13" s="1" t="s">
        <v>14</v>
      </c>
      <c r="R13" s="44">
        <v>0</v>
      </c>
      <c r="S13" s="46"/>
    </row>
    <row r="14" spans="1:20" x14ac:dyDescent="0.25">
      <c r="A14" s="2">
        <v>11</v>
      </c>
      <c r="D14" s="16" t="s">
        <v>7</v>
      </c>
      <c r="E14" s="17"/>
      <c r="F14" s="17"/>
      <c r="G14" s="18"/>
      <c r="H14" s="12">
        <f>'KASIM 3 HAFTA '!P14</f>
        <v>0</v>
      </c>
      <c r="I14" s="7" t="s">
        <v>2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4">
        <f t="shared" si="0"/>
        <v>0</v>
      </c>
      <c r="Q14" s="1" t="s">
        <v>14</v>
      </c>
      <c r="R14" s="44">
        <v>20</v>
      </c>
      <c r="S14" s="47">
        <v>50</v>
      </c>
    </row>
    <row r="15" spans="1:20" x14ac:dyDescent="0.25">
      <c r="A15" s="2">
        <v>12</v>
      </c>
      <c r="D15" s="9" t="s">
        <v>69</v>
      </c>
      <c r="E15" s="10"/>
      <c r="F15" s="10"/>
      <c r="G15" s="11"/>
      <c r="H15" s="12">
        <f>'KASIM 3 HAFTA '!P15</f>
        <v>26</v>
      </c>
      <c r="I15" s="7" t="s">
        <v>2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4">
        <f t="shared" si="0"/>
        <v>26</v>
      </c>
      <c r="Q15" s="1" t="s">
        <v>14</v>
      </c>
      <c r="R15" s="44">
        <v>100</v>
      </c>
      <c r="S15" s="47">
        <v>200</v>
      </c>
    </row>
    <row r="16" spans="1:20" x14ac:dyDescent="0.25">
      <c r="A16" s="2">
        <v>13</v>
      </c>
      <c r="D16" s="16" t="s">
        <v>27</v>
      </c>
      <c r="E16" s="17"/>
      <c r="F16" s="17"/>
      <c r="G16" s="18"/>
      <c r="H16" s="12">
        <f>'KASIM 3 HAFTA '!P16</f>
        <v>90</v>
      </c>
      <c r="I16" s="7" t="s">
        <v>2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4">
        <f t="shared" si="0"/>
        <v>90</v>
      </c>
      <c r="Q16" s="1" t="s">
        <v>14</v>
      </c>
      <c r="R16" s="44">
        <v>0</v>
      </c>
      <c r="S16" s="46"/>
    </row>
    <row r="17" spans="1:19" x14ac:dyDescent="0.25">
      <c r="A17" s="2">
        <v>14</v>
      </c>
      <c r="D17" s="9" t="s">
        <v>73</v>
      </c>
      <c r="E17" s="10"/>
      <c r="F17" s="10"/>
      <c r="G17" s="11"/>
      <c r="H17" s="12">
        <f>'KASIM 3 HAFTA '!P17</f>
        <v>800</v>
      </c>
      <c r="I17" s="7" t="s">
        <v>2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4">
        <f t="shared" si="0"/>
        <v>800</v>
      </c>
      <c r="Q17" s="1" t="s">
        <v>14</v>
      </c>
      <c r="R17" s="44">
        <v>0</v>
      </c>
      <c r="S17" s="46"/>
    </row>
    <row r="18" spans="1:19" x14ac:dyDescent="0.25">
      <c r="A18" s="2">
        <v>15</v>
      </c>
      <c r="D18" s="16" t="s">
        <v>28</v>
      </c>
      <c r="E18" s="17"/>
      <c r="F18" s="17"/>
      <c r="G18" s="18"/>
      <c r="H18" s="12">
        <f>'KASIM 3 HAFTA '!P18</f>
        <v>62</v>
      </c>
      <c r="I18" s="7" t="s">
        <v>2</v>
      </c>
      <c r="J18" s="3">
        <v>0</v>
      </c>
      <c r="K18" s="3">
        <v>0</v>
      </c>
      <c r="L18" s="3">
        <v>0</v>
      </c>
      <c r="M18" s="3">
        <v>2</v>
      </c>
      <c r="N18" s="3">
        <v>0</v>
      </c>
      <c r="O18" s="3">
        <v>4</v>
      </c>
      <c r="P18" s="4">
        <f t="shared" si="0"/>
        <v>56</v>
      </c>
      <c r="Q18" s="1" t="s">
        <v>14</v>
      </c>
      <c r="R18" s="44">
        <v>20</v>
      </c>
      <c r="S18" s="47">
        <v>50</v>
      </c>
    </row>
    <row r="19" spans="1:19" x14ac:dyDescent="0.25">
      <c r="A19" s="2">
        <v>16</v>
      </c>
      <c r="D19" s="9" t="s">
        <v>29</v>
      </c>
      <c r="E19" s="10"/>
      <c r="F19" s="10"/>
      <c r="G19" s="11"/>
      <c r="H19" s="12">
        <f>'KASIM 3 HAFTA '!P19</f>
        <v>62</v>
      </c>
      <c r="I19" s="7" t="s">
        <v>2</v>
      </c>
      <c r="J19" s="3">
        <v>0</v>
      </c>
      <c r="K19" s="3">
        <v>0</v>
      </c>
      <c r="L19" s="3">
        <v>0</v>
      </c>
      <c r="M19" s="3">
        <v>2</v>
      </c>
      <c r="N19" s="3">
        <v>0</v>
      </c>
      <c r="O19" s="3">
        <v>4</v>
      </c>
      <c r="P19" s="4">
        <f t="shared" si="0"/>
        <v>56</v>
      </c>
      <c r="Q19" s="1" t="s">
        <v>14</v>
      </c>
      <c r="R19" s="44">
        <v>20</v>
      </c>
      <c r="S19" s="47">
        <v>50</v>
      </c>
    </row>
    <row r="20" spans="1:19" x14ac:dyDescent="0.25">
      <c r="A20" s="2">
        <v>17</v>
      </c>
      <c r="D20" s="16" t="s">
        <v>30</v>
      </c>
      <c r="E20" s="17"/>
      <c r="F20" s="17"/>
      <c r="G20" s="18"/>
      <c r="H20" s="12">
        <f>'KASIM 3 HAFTA '!P20</f>
        <v>94</v>
      </c>
      <c r="I20" s="7" t="s">
        <v>2</v>
      </c>
      <c r="J20" s="3">
        <v>0</v>
      </c>
      <c r="K20" s="3">
        <v>0</v>
      </c>
      <c r="L20" s="3">
        <v>0</v>
      </c>
      <c r="M20" s="3">
        <v>2</v>
      </c>
      <c r="N20" s="3">
        <v>0</v>
      </c>
      <c r="O20" s="3">
        <v>4</v>
      </c>
      <c r="P20" s="4">
        <f t="shared" si="0"/>
        <v>88</v>
      </c>
      <c r="Q20" s="1" t="s">
        <v>14</v>
      </c>
      <c r="R20" s="44">
        <v>20</v>
      </c>
      <c r="S20" s="47">
        <v>50</v>
      </c>
    </row>
    <row r="21" spans="1:19" x14ac:dyDescent="0.25">
      <c r="A21" s="2">
        <v>18</v>
      </c>
      <c r="D21" s="9" t="s">
        <v>31</v>
      </c>
      <c r="E21" s="10"/>
      <c r="F21" s="10"/>
      <c r="G21" s="11"/>
      <c r="H21" s="12">
        <f>'KASIM 3 HAFTA '!P21</f>
        <v>33</v>
      </c>
      <c r="I21" s="7" t="s">
        <v>2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4">
        <f t="shared" si="0"/>
        <v>33</v>
      </c>
      <c r="Q21" s="1" t="s">
        <v>14</v>
      </c>
      <c r="R21" s="44">
        <v>0</v>
      </c>
      <c r="S21" s="46"/>
    </row>
    <row r="22" spans="1:19" x14ac:dyDescent="0.25">
      <c r="A22" s="2">
        <v>19</v>
      </c>
      <c r="D22" s="16" t="s">
        <v>8</v>
      </c>
      <c r="E22" s="17"/>
      <c r="F22" s="17"/>
      <c r="G22" s="18"/>
      <c r="H22" s="12">
        <v>90</v>
      </c>
      <c r="I22" s="7" t="s">
        <v>1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4">
        <f t="shared" si="0"/>
        <v>90</v>
      </c>
      <c r="Q22" s="1" t="s">
        <v>14</v>
      </c>
      <c r="R22" s="44">
        <v>50</v>
      </c>
      <c r="S22" s="47">
        <v>200</v>
      </c>
    </row>
    <row r="23" spans="1:19" x14ac:dyDescent="0.25">
      <c r="A23" s="2">
        <v>20</v>
      </c>
      <c r="D23" s="9" t="s">
        <v>32</v>
      </c>
      <c r="E23" s="10"/>
      <c r="F23" s="10"/>
      <c r="G23" s="11"/>
      <c r="H23" s="12">
        <f>'KASIM 3 HAFTA '!P23</f>
        <v>2000</v>
      </c>
      <c r="I23" s="7" t="s">
        <v>2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4">
        <f t="shared" si="0"/>
        <v>2000</v>
      </c>
      <c r="Q23" s="1" t="s">
        <v>14</v>
      </c>
      <c r="R23" s="44">
        <v>0</v>
      </c>
      <c r="S23" s="46"/>
    </row>
    <row r="24" spans="1:19" x14ac:dyDescent="0.25">
      <c r="A24" s="2">
        <v>21</v>
      </c>
      <c r="D24" s="16" t="s">
        <v>33</v>
      </c>
      <c r="E24" s="17"/>
      <c r="F24" s="17"/>
      <c r="G24" s="18"/>
      <c r="H24" s="12">
        <f>'KASIM 3 HAFTA '!P24</f>
        <v>273</v>
      </c>
      <c r="I24" s="7" t="s">
        <v>2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4">
        <f t="shared" si="0"/>
        <v>273</v>
      </c>
      <c r="Q24" s="1" t="s">
        <v>14</v>
      </c>
      <c r="R24" s="44">
        <v>0</v>
      </c>
      <c r="S24" s="46"/>
    </row>
    <row r="25" spans="1:19" x14ac:dyDescent="0.25">
      <c r="A25" s="2">
        <v>22</v>
      </c>
      <c r="D25" s="9" t="s">
        <v>34</v>
      </c>
      <c r="E25" s="10"/>
      <c r="F25" s="10"/>
      <c r="G25" s="11"/>
      <c r="H25" s="12">
        <f>'KASIM 3 HAFTA '!P25</f>
        <v>40</v>
      </c>
      <c r="I25" s="7" t="s">
        <v>2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4">
        <f t="shared" si="0"/>
        <v>40</v>
      </c>
      <c r="Q25" s="1" t="s">
        <v>14</v>
      </c>
      <c r="R25" s="44">
        <v>0</v>
      </c>
      <c r="S25" s="46"/>
    </row>
    <row r="26" spans="1:19" x14ac:dyDescent="0.25">
      <c r="A26" s="2">
        <v>23</v>
      </c>
      <c r="D26" s="16" t="s">
        <v>82</v>
      </c>
      <c r="E26" s="17"/>
      <c r="F26" s="17"/>
      <c r="G26" s="18"/>
      <c r="H26" s="12">
        <f>'KASIM 3 HAFTA '!P26</f>
        <v>168</v>
      </c>
      <c r="I26" s="7" t="s">
        <v>2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4">
        <f t="shared" si="0"/>
        <v>168</v>
      </c>
      <c r="Q26" s="1" t="s">
        <v>14</v>
      </c>
      <c r="R26" s="44">
        <v>20</v>
      </c>
      <c r="S26" s="47">
        <v>50</v>
      </c>
    </row>
    <row r="27" spans="1:19" x14ac:dyDescent="0.25">
      <c r="A27" s="2">
        <v>24</v>
      </c>
      <c r="D27" s="9" t="s">
        <v>81</v>
      </c>
      <c r="E27" s="10"/>
      <c r="F27" s="10"/>
      <c r="G27" s="11"/>
      <c r="H27" s="12">
        <f>'KASIM 3 HAFTA '!P27</f>
        <v>42</v>
      </c>
      <c r="I27" s="7" t="s">
        <v>2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  <c r="P27" s="4">
        <f t="shared" si="0"/>
        <v>42</v>
      </c>
      <c r="Q27" s="1" t="s">
        <v>14</v>
      </c>
      <c r="R27" s="44">
        <v>20</v>
      </c>
      <c r="S27" s="47">
        <v>50</v>
      </c>
    </row>
    <row r="28" spans="1:19" x14ac:dyDescent="0.25">
      <c r="A28" s="2">
        <v>25</v>
      </c>
      <c r="D28" s="16" t="s">
        <v>35</v>
      </c>
      <c r="E28" s="17"/>
      <c r="F28" s="17"/>
      <c r="G28" s="18"/>
      <c r="H28" s="12">
        <v>50</v>
      </c>
      <c r="I28" s="7" t="s">
        <v>2</v>
      </c>
      <c r="J28" s="3">
        <v>0</v>
      </c>
      <c r="K28" s="3">
        <v>0</v>
      </c>
      <c r="L28" s="3">
        <v>50</v>
      </c>
      <c r="M28" s="3">
        <v>0</v>
      </c>
      <c r="N28" s="3">
        <v>0</v>
      </c>
      <c r="O28" s="3">
        <v>0</v>
      </c>
      <c r="P28" s="4">
        <f t="shared" si="0"/>
        <v>0</v>
      </c>
      <c r="Q28" s="1" t="s">
        <v>14</v>
      </c>
      <c r="R28" s="44">
        <v>50</v>
      </c>
      <c r="S28" s="47">
        <v>100</v>
      </c>
    </row>
    <row r="29" spans="1:19" x14ac:dyDescent="0.25">
      <c r="A29" s="2">
        <v>26</v>
      </c>
      <c r="D29" s="9" t="s">
        <v>36</v>
      </c>
      <c r="E29" s="10"/>
      <c r="F29" s="10"/>
      <c r="G29" s="11"/>
      <c r="H29" s="12">
        <v>25</v>
      </c>
      <c r="I29" s="7" t="s">
        <v>2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4">
        <f t="shared" si="0"/>
        <v>25</v>
      </c>
      <c r="Q29" s="1" t="s">
        <v>14</v>
      </c>
      <c r="R29" s="44">
        <v>50</v>
      </c>
      <c r="S29" s="47">
        <v>100</v>
      </c>
    </row>
    <row r="30" spans="1:19" x14ac:dyDescent="0.25">
      <c r="A30" s="2">
        <v>27</v>
      </c>
      <c r="D30" s="16" t="s">
        <v>37</v>
      </c>
      <c r="E30" s="17"/>
      <c r="F30" s="17"/>
      <c r="G30" s="18"/>
      <c r="H30" s="12">
        <v>230</v>
      </c>
      <c r="I30" s="7" t="s">
        <v>2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4">
        <f t="shared" si="0"/>
        <v>230</v>
      </c>
      <c r="Q30" s="1" t="s">
        <v>14</v>
      </c>
      <c r="R30" s="44">
        <v>20</v>
      </c>
      <c r="S30" s="47">
        <v>50</v>
      </c>
    </row>
    <row r="31" spans="1:19" x14ac:dyDescent="0.25">
      <c r="A31" s="2">
        <v>28</v>
      </c>
      <c r="D31" s="9" t="s">
        <v>38</v>
      </c>
      <c r="E31" s="10"/>
      <c r="F31" s="10"/>
      <c r="G31" s="11"/>
      <c r="H31" s="12">
        <v>551</v>
      </c>
      <c r="I31" s="7" t="s">
        <v>2</v>
      </c>
      <c r="J31" s="3">
        <v>0</v>
      </c>
      <c r="K31" s="3">
        <v>0</v>
      </c>
      <c r="L31" s="3">
        <v>0</v>
      </c>
      <c r="M31" s="3">
        <v>11</v>
      </c>
      <c r="N31" s="3">
        <v>0</v>
      </c>
      <c r="O31" s="3">
        <v>5</v>
      </c>
      <c r="P31" s="4">
        <f t="shared" si="0"/>
        <v>535</v>
      </c>
      <c r="Q31" s="1" t="s">
        <v>14</v>
      </c>
      <c r="R31" s="44">
        <v>50</v>
      </c>
      <c r="S31" s="47">
        <v>100</v>
      </c>
    </row>
    <row r="32" spans="1:19" x14ac:dyDescent="0.25">
      <c r="A32" s="2">
        <v>29</v>
      </c>
      <c r="D32" s="16" t="s">
        <v>39</v>
      </c>
      <c r="E32" s="17"/>
      <c r="F32" s="17"/>
      <c r="G32" s="18"/>
      <c r="H32" s="12">
        <v>48</v>
      </c>
      <c r="I32" s="7" t="s">
        <v>2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4">
        <f t="shared" si="0"/>
        <v>48</v>
      </c>
      <c r="Q32" s="1" t="s">
        <v>14</v>
      </c>
      <c r="R32" s="44">
        <v>20</v>
      </c>
      <c r="S32" s="47">
        <v>50</v>
      </c>
    </row>
    <row r="33" spans="1:19" x14ac:dyDescent="0.25">
      <c r="A33" s="2">
        <v>30</v>
      </c>
      <c r="D33" s="9" t="s">
        <v>40</v>
      </c>
      <c r="E33" s="10"/>
      <c r="F33" s="10"/>
      <c r="G33" s="11"/>
      <c r="H33" s="12">
        <v>1075</v>
      </c>
      <c r="I33" s="7" t="s">
        <v>2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4">
        <f t="shared" si="0"/>
        <v>1075</v>
      </c>
      <c r="Q33" s="1" t="s">
        <v>14</v>
      </c>
      <c r="R33" s="44">
        <v>0</v>
      </c>
      <c r="S33" s="46"/>
    </row>
    <row r="34" spans="1:19" x14ac:dyDescent="0.25">
      <c r="A34" s="2">
        <v>31</v>
      </c>
      <c r="D34" s="16" t="s">
        <v>9</v>
      </c>
      <c r="E34" s="17"/>
      <c r="F34" s="17"/>
      <c r="G34" s="18"/>
      <c r="H34" s="12">
        <f>'KASIM 3 HAFTA '!P34</f>
        <v>546</v>
      </c>
      <c r="I34" s="7" t="s">
        <v>2</v>
      </c>
      <c r="J34" s="3">
        <v>0</v>
      </c>
      <c r="K34" s="3">
        <v>0</v>
      </c>
      <c r="L34" s="3">
        <v>0</v>
      </c>
      <c r="M34" s="3">
        <v>22</v>
      </c>
      <c r="N34" s="3">
        <v>0</v>
      </c>
      <c r="O34" s="3">
        <v>0</v>
      </c>
      <c r="P34" s="4">
        <f t="shared" si="0"/>
        <v>524</v>
      </c>
      <c r="Q34" s="1" t="s">
        <v>14</v>
      </c>
      <c r="R34" s="44">
        <v>50</v>
      </c>
      <c r="S34" s="47">
        <v>100</v>
      </c>
    </row>
    <row r="35" spans="1:19" x14ac:dyDescent="0.25">
      <c r="A35" s="2">
        <v>32</v>
      </c>
      <c r="D35" s="9" t="s">
        <v>83</v>
      </c>
      <c r="E35" s="10"/>
      <c r="F35" s="10"/>
      <c r="G35" s="11"/>
      <c r="H35" s="12">
        <v>94</v>
      </c>
      <c r="I35" s="7" t="s">
        <v>2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4">
        <f t="shared" si="0"/>
        <v>94</v>
      </c>
      <c r="Q35" s="1" t="s">
        <v>14</v>
      </c>
      <c r="R35" s="44">
        <v>20</v>
      </c>
      <c r="S35" s="47">
        <v>50</v>
      </c>
    </row>
    <row r="36" spans="1:19" x14ac:dyDescent="0.25">
      <c r="A36" s="2">
        <v>33</v>
      </c>
      <c r="D36" s="16" t="s">
        <v>70</v>
      </c>
      <c r="E36" s="17"/>
      <c r="F36" s="17"/>
      <c r="G36" s="18"/>
      <c r="H36" s="12">
        <f>'KASIM 3 HAFTA '!P36</f>
        <v>934</v>
      </c>
      <c r="I36" s="7" t="s">
        <v>2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4">
        <f t="shared" si="0"/>
        <v>934</v>
      </c>
      <c r="Q36" s="1" t="s">
        <v>14</v>
      </c>
      <c r="R36" s="44">
        <v>0</v>
      </c>
      <c r="S36" s="46"/>
    </row>
    <row r="37" spans="1:19" x14ac:dyDescent="0.25">
      <c r="A37" s="2">
        <v>34</v>
      </c>
      <c r="D37" s="9" t="s">
        <v>41</v>
      </c>
      <c r="E37" s="10"/>
      <c r="F37" s="10"/>
      <c r="G37" s="11"/>
      <c r="H37" s="12">
        <f>'KASIM 3 HAFTA '!P37</f>
        <v>283</v>
      </c>
      <c r="I37" s="7" t="s">
        <v>2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4">
        <f t="shared" si="0"/>
        <v>283</v>
      </c>
      <c r="Q37" s="1" t="s">
        <v>14</v>
      </c>
      <c r="R37" s="44">
        <v>50</v>
      </c>
      <c r="S37" s="47">
        <v>100</v>
      </c>
    </row>
    <row r="38" spans="1:19" x14ac:dyDescent="0.25">
      <c r="A38" s="2">
        <v>35</v>
      </c>
      <c r="D38" s="16" t="s">
        <v>42</v>
      </c>
      <c r="E38" s="17"/>
      <c r="F38" s="17"/>
      <c r="G38" s="18"/>
      <c r="H38" s="12">
        <f>'KASIM 3 HAFTA '!P38</f>
        <v>287</v>
      </c>
      <c r="I38" s="7" t="s">
        <v>2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4">
        <f t="shared" si="0"/>
        <v>287</v>
      </c>
      <c r="Q38" s="1" t="s">
        <v>14</v>
      </c>
      <c r="R38" s="44">
        <v>50</v>
      </c>
      <c r="S38" s="47">
        <v>100</v>
      </c>
    </row>
    <row r="39" spans="1:19" x14ac:dyDescent="0.25">
      <c r="A39" s="2">
        <v>36</v>
      </c>
      <c r="D39" s="9" t="s">
        <v>43</v>
      </c>
      <c r="E39" s="10"/>
      <c r="F39" s="10"/>
      <c r="G39" s="11"/>
      <c r="H39" s="12">
        <f>'KASIM 3 HAFTA '!P39</f>
        <v>27</v>
      </c>
      <c r="I39" s="7" t="s">
        <v>2</v>
      </c>
      <c r="J39" s="3">
        <v>0</v>
      </c>
      <c r="K39" s="3">
        <v>0</v>
      </c>
      <c r="L39" s="3">
        <v>0</v>
      </c>
      <c r="M39" s="3">
        <v>11</v>
      </c>
      <c r="N39" s="3">
        <v>0</v>
      </c>
      <c r="O39" s="3">
        <v>0</v>
      </c>
      <c r="P39" s="4">
        <f t="shared" si="0"/>
        <v>16</v>
      </c>
      <c r="Q39" s="1" t="s">
        <v>14</v>
      </c>
      <c r="R39" s="44">
        <v>50</v>
      </c>
      <c r="S39" s="47">
        <v>100</v>
      </c>
    </row>
    <row r="40" spans="1:19" x14ac:dyDescent="0.25">
      <c r="A40" s="2">
        <v>37</v>
      </c>
      <c r="D40" s="16" t="s">
        <v>44</v>
      </c>
      <c r="E40" s="17"/>
      <c r="F40" s="17"/>
      <c r="G40" s="18"/>
      <c r="H40" s="12">
        <v>1</v>
      </c>
      <c r="I40" s="7" t="s">
        <v>2</v>
      </c>
      <c r="J40" s="3">
        <v>50</v>
      </c>
      <c r="K40" s="3">
        <v>0</v>
      </c>
      <c r="L40" s="3">
        <v>0</v>
      </c>
      <c r="M40" s="3">
        <v>1</v>
      </c>
      <c r="N40" s="3">
        <v>0</v>
      </c>
      <c r="O40" s="3">
        <v>0</v>
      </c>
      <c r="P40" s="4">
        <f t="shared" si="0"/>
        <v>50</v>
      </c>
      <c r="Q40" s="1" t="s">
        <v>14</v>
      </c>
      <c r="R40" s="44">
        <v>0</v>
      </c>
      <c r="S40" s="46"/>
    </row>
    <row r="41" spans="1:19" x14ac:dyDescent="0.25">
      <c r="A41" s="2">
        <v>38</v>
      </c>
      <c r="D41" s="9" t="s">
        <v>71</v>
      </c>
      <c r="E41" s="10"/>
      <c r="F41" s="10"/>
      <c r="G41" s="11"/>
      <c r="H41" s="12">
        <f>'KASIM 3 HAFTA '!P41</f>
        <v>20</v>
      </c>
      <c r="I41" s="7" t="s">
        <v>2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4">
        <f t="shared" si="0"/>
        <v>20</v>
      </c>
      <c r="Q41" s="1" t="s">
        <v>14</v>
      </c>
      <c r="R41" s="44">
        <v>5</v>
      </c>
      <c r="S41" s="47">
        <v>10</v>
      </c>
    </row>
    <row r="42" spans="1:19" x14ac:dyDescent="0.25">
      <c r="A42" s="2">
        <v>39</v>
      </c>
      <c r="D42" s="16" t="s">
        <v>10</v>
      </c>
      <c r="E42" s="17"/>
      <c r="F42" s="17"/>
      <c r="G42" s="18"/>
      <c r="H42" s="12">
        <v>110</v>
      </c>
      <c r="I42" s="7" t="s">
        <v>2</v>
      </c>
      <c r="J42" s="3">
        <v>0</v>
      </c>
      <c r="K42" s="3">
        <v>80</v>
      </c>
      <c r="L42" s="3">
        <v>0</v>
      </c>
      <c r="M42" s="3">
        <v>0</v>
      </c>
      <c r="N42" s="3">
        <v>0</v>
      </c>
      <c r="O42" s="3">
        <v>0</v>
      </c>
      <c r="P42" s="4">
        <f t="shared" si="0"/>
        <v>30</v>
      </c>
      <c r="Q42" s="1" t="s">
        <v>14</v>
      </c>
      <c r="R42" s="44">
        <v>40</v>
      </c>
      <c r="S42" s="47">
        <v>100</v>
      </c>
    </row>
    <row r="43" spans="1:19" x14ac:dyDescent="0.25">
      <c r="A43" s="2">
        <v>40</v>
      </c>
      <c r="D43" s="9" t="s">
        <v>45</v>
      </c>
      <c r="E43" s="10"/>
      <c r="F43" s="10"/>
      <c r="G43" s="11"/>
      <c r="H43" s="12">
        <v>122</v>
      </c>
      <c r="I43" s="7" t="s">
        <v>2</v>
      </c>
      <c r="J43" s="3">
        <v>0</v>
      </c>
      <c r="K43" s="3">
        <v>40</v>
      </c>
      <c r="L43" s="3">
        <v>0</v>
      </c>
      <c r="M43" s="3">
        <v>2</v>
      </c>
      <c r="N43" s="3">
        <v>0</v>
      </c>
      <c r="O43" s="3">
        <v>0</v>
      </c>
      <c r="P43" s="4">
        <f t="shared" si="0"/>
        <v>80</v>
      </c>
      <c r="Q43" s="1" t="s">
        <v>14</v>
      </c>
      <c r="R43" s="44">
        <v>20</v>
      </c>
      <c r="S43" s="47">
        <v>50</v>
      </c>
    </row>
    <row r="44" spans="1:19" x14ac:dyDescent="0.25">
      <c r="A44" s="2">
        <v>41</v>
      </c>
      <c r="D44" s="16" t="s">
        <v>46</v>
      </c>
      <c r="E44" s="17"/>
      <c r="F44" s="17"/>
      <c r="G44" s="18"/>
      <c r="H44" s="12">
        <v>120</v>
      </c>
      <c r="I44" s="7" t="s">
        <v>2</v>
      </c>
      <c r="J44" s="3">
        <v>0</v>
      </c>
      <c r="K44" s="3">
        <v>40</v>
      </c>
      <c r="L44" s="3">
        <v>0</v>
      </c>
      <c r="M44" s="3">
        <v>0</v>
      </c>
      <c r="N44" s="3">
        <v>0</v>
      </c>
      <c r="O44" s="3">
        <v>0</v>
      </c>
      <c r="P44" s="4">
        <f t="shared" si="0"/>
        <v>80</v>
      </c>
      <c r="Q44" s="1" t="s">
        <v>14</v>
      </c>
      <c r="R44" s="44">
        <v>20</v>
      </c>
      <c r="S44" s="47">
        <v>50</v>
      </c>
    </row>
    <row r="45" spans="1:19" x14ac:dyDescent="0.25">
      <c r="A45" s="2">
        <v>42</v>
      </c>
      <c r="D45" s="9" t="s">
        <v>47</v>
      </c>
      <c r="E45" s="10"/>
      <c r="F45" s="10"/>
      <c r="G45" s="11"/>
      <c r="H45" s="12">
        <v>135</v>
      </c>
      <c r="I45" s="7" t="s">
        <v>2</v>
      </c>
      <c r="J45" s="3">
        <v>0</v>
      </c>
      <c r="K45" s="3">
        <v>40</v>
      </c>
      <c r="L45" s="3">
        <v>0</v>
      </c>
      <c r="M45" s="3">
        <v>0</v>
      </c>
      <c r="N45" s="3">
        <v>0</v>
      </c>
      <c r="O45" s="3">
        <v>0</v>
      </c>
      <c r="P45" s="4">
        <f t="shared" si="0"/>
        <v>95</v>
      </c>
      <c r="Q45" s="1" t="s">
        <v>14</v>
      </c>
      <c r="R45" s="44">
        <v>20</v>
      </c>
      <c r="S45" s="47">
        <v>50</v>
      </c>
    </row>
    <row r="46" spans="1:19" x14ac:dyDescent="0.25">
      <c r="A46" s="2">
        <v>43</v>
      </c>
      <c r="D46" s="16" t="s">
        <v>79</v>
      </c>
      <c r="E46" s="17"/>
      <c r="F46" s="17"/>
      <c r="G46" s="18"/>
      <c r="H46" s="12">
        <v>56</v>
      </c>
      <c r="I46" s="7" t="s">
        <v>2</v>
      </c>
      <c r="J46" s="3">
        <v>0</v>
      </c>
      <c r="K46" s="3">
        <v>1</v>
      </c>
      <c r="L46" s="3">
        <v>1</v>
      </c>
      <c r="M46" s="3">
        <v>2</v>
      </c>
      <c r="N46" s="3">
        <v>0</v>
      </c>
      <c r="O46" s="3">
        <v>0</v>
      </c>
      <c r="P46" s="4">
        <f t="shared" si="0"/>
        <v>52</v>
      </c>
      <c r="Q46" s="1" t="s">
        <v>14</v>
      </c>
      <c r="R46" s="44">
        <v>10</v>
      </c>
      <c r="S46" s="47">
        <v>20</v>
      </c>
    </row>
    <row r="47" spans="1:19" x14ac:dyDescent="0.25">
      <c r="A47" s="2">
        <v>44</v>
      </c>
      <c r="D47" s="9" t="s">
        <v>48</v>
      </c>
      <c r="E47" s="10"/>
      <c r="F47" s="10"/>
      <c r="G47" s="11"/>
      <c r="H47" s="12">
        <v>31</v>
      </c>
      <c r="I47" s="7" t="s">
        <v>2</v>
      </c>
      <c r="J47" s="3">
        <v>0</v>
      </c>
      <c r="K47" s="3">
        <v>1</v>
      </c>
      <c r="L47" s="3">
        <v>1</v>
      </c>
      <c r="M47" s="3">
        <v>2</v>
      </c>
      <c r="N47" s="3">
        <v>0</v>
      </c>
      <c r="O47" s="3">
        <v>0</v>
      </c>
      <c r="P47" s="4">
        <f t="shared" si="0"/>
        <v>27</v>
      </c>
      <c r="Q47" s="1" t="s">
        <v>14</v>
      </c>
      <c r="R47" s="44">
        <v>10</v>
      </c>
      <c r="S47" s="47">
        <v>20</v>
      </c>
    </row>
    <row r="48" spans="1:19" x14ac:dyDescent="0.25">
      <c r="A48" s="2">
        <v>45</v>
      </c>
      <c r="D48" s="16" t="s">
        <v>49</v>
      </c>
      <c r="E48" s="17"/>
      <c r="F48" s="17"/>
      <c r="G48" s="18"/>
      <c r="H48" s="12">
        <f>'KASIM 3 HAFTA '!P48</f>
        <v>0</v>
      </c>
      <c r="I48" s="7" t="s">
        <v>2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4">
        <f t="shared" si="0"/>
        <v>0</v>
      </c>
      <c r="Q48" s="1" t="s">
        <v>14</v>
      </c>
      <c r="R48" s="44">
        <v>10</v>
      </c>
      <c r="S48" s="47">
        <v>20</v>
      </c>
    </row>
    <row r="49" spans="1:20" x14ac:dyDescent="0.25">
      <c r="A49" s="2">
        <v>46</v>
      </c>
      <c r="D49" s="9" t="s">
        <v>11</v>
      </c>
      <c r="E49" s="10"/>
      <c r="F49" s="10"/>
      <c r="G49" s="11"/>
      <c r="H49" s="12">
        <f>'KASIM 3 HAFTA '!P49</f>
        <v>0</v>
      </c>
      <c r="I49" s="7" t="s">
        <v>1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4">
        <f t="shared" si="0"/>
        <v>0</v>
      </c>
      <c r="Q49" s="1" t="s">
        <v>14</v>
      </c>
      <c r="R49" s="44">
        <v>20</v>
      </c>
      <c r="S49" s="47">
        <v>100</v>
      </c>
      <c r="T49" t="s">
        <v>75</v>
      </c>
    </row>
    <row r="50" spans="1:20" x14ac:dyDescent="0.25">
      <c r="A50" s="2">
        <v>47</v>
      </c>
      <c r="D50" s="16" t="s">
        <v>111</v>
      </c>
      <c r="E50" s="17"/>
      <c r="F50" s="17"/>
      <c r="G50" s="18"/>
      <c r="H50" s="12">
        <v>158</v>
      </c>
      <c r="I50" s="7" t="s">
        <v>2</v>
      </c>
      <c r="J50" s="3">
        <v>6</v>
      </c>
      <c r="K50" s="3">
        <v>0</v>
      </c>
      <c r="L50" s="3">
        <v>0</v>
      </c>
      <c r="M50" s="3">
        <v>0</v>
      </c>
      <c r="N50" s="3">
        <v>0</v>
      </c>
      <c r="O50" s="3">
        <v>15</v>
      </c>
      <c r="P50" s="4">
        <f t="shared" si="0"/>
        <v>149</v>
      </c>
      <c r="Q50" s="1" t="s">
        <v>14</v>
      </c>
      <c r="R50" s="44">
        <v>30</v>
      </c>
      <c r="S50" s="47">
        <v>100</v>
      </c>
    </row>
    <row r="51" spans="1:20" x14ac:dyDescent="0.25">
      <c r="A51" s="2">
        <v>48</v>
      </c>
      <c r="D51" s="9" t="s">
        <v>51</v>
      </c>
      <c r="E51" s="10"/>
      <c r="F51" s="10"/>
      <c r="G51" s="11"/>
      <c r="H51" s="12">
        <v>94</v>
      </c>
      <c r="I51" s="7" t="s">
        <v>2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4">
        <f t="shared" si="0"/>
        <v>94</v>
      </c>
      <c r="Q51" s="1" t="s">
        <v>14</v>
      </c>
      <c r="R51" s="44">
        <v>20</v>
      </c>
      <c r="S51" s="47">
        <v>50</v>
      </c>
    </row>
    <row r="52" spans="1:20" x14ac:dyDescent="0.25">
      <c r="A52" s="2">
        <v>49</v>
      </c>
      <c r="D52" s="16" t="s">
        <v>52</v>
      </c>
      <c r="E52" s="17"/>
      <c r="F52" s="17"/>
      <c r="G52" s="18"/>
      <c r="H52" s="12">
        <v>40</v>
      </c>
      <c r="I52" s="7" t="s">
        <v>2</v>
      </c>
      <c r="J52" s="3">
        <v>50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4">
        <f t="shared" si="0"/>
        <v>90</v>
      </c>
      <c r="Q52" s="1" t="s">
        <v>14</v>
      </c>
      <c r="R52" s="44">
        <v>20</v>
      </c>
      <c r="S52" s="47">
        <v>50</v>
      </c>
    </row>
    <row r="53" spans="1:20" x14ac:dyDescent="0.25">
      <c r="A53" s="2">
        <v>50</v>
      </c>
      <c r="D53" s="9" t="s">
        <v>53</v>
      </c>
      <c r="E53" s="10"/>
      <c r="F53" s="10"/>
      <c r="G53" s="11"/>
      <c r="H53" s="12">
        <v>40</v>
      </c>
      <c r="I53" s="7" t="s">
        <v>2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4">
        <f t="shared" si="0"/>
        <v>40</v>
      </c>
      <c r="Q53" s="1" t="s">
        <v>14</v>
      </c>
      <c r="R53" s="44">
        <v>20</v>
      </c>
      <c r="S53" s="47">
        <v>50</v>
      </c>
    </row>
    <row r="54" spans="1:20" x14ac:dyDescent="0.25">
      <c r="A54" s="2">
        <v>51</v>
      </c>
      <c r="D54" s="16" t="s">
        <v>54</v>
      </c>
      <c r="E54" s="17"/>
      <c r="F54" s="17"/>
      <c r="G54" s="18"/>
      <c r="H54" s="12">
        <v>1035</v>
      </c>
      <c r="I54" s="7" t="s">
        <v>1</v>
      </c>
      <c r="J54" s="3">
        <v>0</v>
      </c>
      <c r="K54" s="3">
        <v>45</v>
      </c>
      <c r="L54" s="3">
        <v>15</v>
      </c>
      <c r="M54" s="3">
        <v>0</v>
      </c>
      <c r="N54" s="3">
        <v>15</v>
      </c>
      <c r="O54" s="3">
        <v>30</v>
      </c>
      <c r="P54" s="4">
        <f t="shared" si="0"/>
        <v>930</v>
      </c>
      <c r="Q54" s="1" t="s">
        <v>68</v>
      </c>
      <c r="R54" s="44">
        <v>250</v>
      </c>
      <c r="S54" s="47">
        <v>750</v>
      </c>
      <c r="T54" t="s">
        <v>75</v>
      </c>
    </row>
    <row r="55" spans="1:20" x14ac:dyDescent="0.25">
      <c r="A55" s="2">
        <v>52</v>
      </c>
      <c r="D55" s="9" t="s">
        <v>55</v>
      </c>
      <c r="E55" s="10"/>
      <c r="F55" s="10"/>
      <c r="G55" s="11"/>
      <c r="H55" s="12">
        <v>4000</v>
      </c>
      <c r="I55" s="7" t="s">
        <v>2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  <c r="P55" s="4">
        <f t="shared" si="0"/>
        <v>4000</v>
      </c>
      <c r="Q55" s="1" t="s">
        <v>14</v>
      </c>
      <c r="R55" s="44">
        <v>0</v>
      </c>
      <c r="S55" s="46"/>
    </row>
    <row r="56" spans="1:20" x14ac:dyDescent="0.25">
      <c r="A56" s="2">
        <v>53</v>
      </c>
      <c r="D56" s="16" t="s">
        <v>56</v>
      </c>
      <c r="E56" s="17"/>
      <c r="F56" s="17"/>
      <c r="G56" s="18"/>
      <c r="H56" s="12">
        <f>'KASIM 3 HAFTA '!P56</f>
        <v>2000</v>
      </c>
      <c r="I56" s="7" t="s">
        <v>2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  <c r="P56" s="4">
        <f t="shared" si="0"/>
        <v>2000</v>
      </c>
      <c r="Q56" s="1" t="s">
        <v>14</v>
      </c>
      <c r="R56" s="44">
        <v>0</v>
      </c>
      <c r="S56" s="46"/>
    </row>
    <row r="57" spans="1:20" x14ac:dyDescent="0.25">
      <c r="A57" s="2">
        <v>54</v>
      </c>
      <c r="D57" s="9" t="s">
        <v>12</v>
      </c>
      <c r="E57" s="10"/>
      <c r="F57" s="10"/>
      <c r="G57" s="11"/>
      <c r="H57" s="12">
        <f>'KASIM 3 HAFTA '!P57</f>
        <v>2800</v>
      </c>
      <c r="I57" s="7" t="s">
        <v>2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  <c r="P57" s="4">
        <f t="shared" si="0"/>
        <v>2800</v>
      </c>
      <c r="Q57" s="1" t="s">
        <v>14</v>
      </c>
      <c r="R57" s="44">
        <v>0</v>
      </c>
      <c r="S57" s="46"/>
    </row>
    <row r="58" spans="1:20" x14ac:dyDescent="0.25">
      <c r="A58" s="2">
        <v>55</v>
      </c>
      <c r="D58" s="16" t="s">
        <v>57</v>
      </c>
      <c r="E58" s="17"/>
      <c r="F58" s="17"/>
      <c r="G58" s="18"/>
      <c r="H58" s="12">
        <f>'KASIM 3 HAFTA '!P58</f>
        <v>3000</v>
      </c>
      <c r="I58" s="7" t="s">
        <v>2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4">
        <f t="shared" si="0"/>
        <v>3000</v>
      </c>
      <c r="Q58" s="1" t="s">
        <v>14</v>
      </c>
      <c r="R58" s="44">
        <v>0</v>
      </c>
      <c r="S58" s="46"/>
    </row>
    <row r="59" spans="1:20" x14ac:dyDescent="0.25">
      <c r="A59" s="2">
        <v>56</v>
      </c>
      <c r="D59" s="9" t="s">
        <v>58</v>
      </c>
      <c r="E59" s="10"/>
      <c r="F59" s="10"/>
      <c r="G59" s="11"/>
      <c r="H59" s="12">
        <f>'KASIM 3 HAFTA '!P59</f>
        <v>5000</v>
      </c>
      <c r="I59" s="7" t="s">
        <v>2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  <c r="P59" s="4">
        <f t="shared" si="0"/>
        <v>5000</v>
      </c>
      <c r="Q59" s="1" t="s">
        <v>14</v>
      </c>
      <c r="R59" s="44">
        <v>0</v>
      </c>
      <c r="S59" s="46"/>
    </row>
    <row r="60" spans="1:20" x14ac:dyDescent="0.25">
      <c r="A60" s="2">
        <v>57</v>
      </c>
      <c r="D60" s="16" t="s">
        <v>59</v>
      </c>
      <c r="E60" s="17"/>
      <c r="F60" s="17"/>
      <c r="G60" s="18"/>
      <c r="H60" s="12">
        <f>'KASIM 3 HAFTA '!P60</f>
        <v>3000</v>
      </c>
      <c r="I60" s="7" t="s">
        <v>2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4">
        <f t="shared" si="0"/>
        <v>3000</v>
      </c>
      <c r="Q60" s="1" t="s">
        <v>14</v>
      </c>
      <c r="R60" s="44">
        <v>0</v>
      </c>
      <c r="S60" s="46"/>
    </row>
    <row r="61" spans="1:20" x14ac:dyDescent="0.25">
      <c r="A61" s="2">
        <v>58</v>
      </c>
      <c r="D61" s="9" t="s">
        <v>60</v>
      </c>
      <c r="E61" s="10"/>
      <c r="F61" s="10"/>
      <c r="G61" s="11"/>
      <c r="H61" s="12">
        <v>4700</v>
      </c>
      <c r="I61" s="7" t="s">
        <v>2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4">
        <f t="shared" si="0"/>
        <v>4700</v>
      </c>
      <c r="Q61" s="1" t="s">
        <v>14</v>
      </c>
      <c r="R61" s="44">
        <v>0</v>
      </c>
      <c r="S61" s="46"/>
    </row>
    <row r="62" spans="1:20" x14ac:dyDescent="0.25">
      <c r="A62" s="2">
        <v>59</v>
      </c>
      <c r="D62" s="16" t="s">
        <v>61</v>
      </c>
      <c r="E62" s="17"/>
      <c r="F62" s="17"/>
      <c r="G62" s="18"/>
      <c r="H62" s="12">
        <f>'KASIM 3 HAFTA '!P62</f>
        <v>494</v>
      </c>
      <c r="I62" s="7" t="s">
        <v>2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4">
        <f t="shared" si="0"/>
        <v>494</v>
      </c>
      <c r="Q62" s="1" t="s">
        <v>14</v>
      </c>
      <c r="R62" s="44">
        <v>0</v>
      </c>
      <c r="S62" s="46"/>
    </row>
    <row r="63" spans="1:20" x14ac:dyDescent="0.25">
      <c r="A63" s="2">
        <v>60</v>
      </c>
      <c r="D63" s="9" t="s">
        <v>62</v>
      </c>
      <c r="E63" s="10"/>
      <c r="F63" s="10"/>
      <c r="G63" s="11"/>
      <c r="H63" s="12">
        <f>'KASIM 3 HAFTA '!P63</f>
        <v>1184</v>
      </c>
      <c r="I63" s="7" t="s">
        <v>2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4">
        <f t="shared" si="0"/>
        <v>1184</v>
      </c>
      <c r="Q63" s="1" t="s">
        <v>14</v>
      </c>
      <c r="R63" s="44">
        <v>200</v>
      </c>
      <c r="S63" s="47">
        <v>1000</v>
      </c>
    </row>
    <row r="64" spans="1:20" x14ac:dyDescent="0.25">
      <c r="A64" s="2">
        <v>61</v>
      </c>
      <c r="D64" s="16" t="s">
        <v>13</v>
      </c>
      <c r="E64" s="17"/>
      <c r="F64" s="17"/>
      <c r="G64" s="18"/>
      <c r="H64" s="12">
        <f>'KASIM 3 HAFTA '!P64</f>
        <v>447</v>
      </c>
      <c r="I64" s="7" t="s">
        <v>2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4">
        <f t="shared" si="0"/>
        <v>447</v>
      </c>
      <c r="Q64" s="1" t="s">
        <v>14</v>
      </c>
      <c r="R64" s="44">
        <v>100</v>
      </c>
      <c r="S64" s="47">
        <v>300</v>
      </c>
    </row>
    <row r="65" spans="1:20" x14ac:dyDescent="0.25">
      <c r="A65" s="2">
        <v>62</v>
      </c>
      <c r="D65" s="9" t="s">
        <v>72</v>
      </c>
      <c r="E65" s="10"/>
      <c r="F65" s="10"/>
      <c r="G65" s="11"/>
      <c r="H65" s="12">
        <f>'KASIM 3 HAFTA '!P65</f>
        <v>315</v>
      </c>
      <c r="I65" s="7" t="s">
        <v>2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4">
        <f t="shared" si="0"/>
        <v>315</v>
      </c>
      <c r="Q65" s="1" t="s">
        <v>14</v>
      </c>
      <c r="R65" s="44">
        <v>100</v>
      </c>
      <c r="S65" s="47">
        <v>300</v>
      </c>
    </row>
    <row r="66" spans="1:20" x14ac:dyDescent="0.25">
      <c r="A66" s="2">
        <v>63</v>
      </c>
      <c r="D66" s="16" t="s">
        <v>63</v>
      </c>
      <c r="E66" s="17"/>
      <c r="F66" s="17"/>
      <c r="G66" s="18"/>
      <c r="H66" s="12">
        <f>'KASIM 3 HAFTA '!P66</f>
        <v>350</v>
      </c>
      <c r="I66" s="7" t="s">
        <v>2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  <c r="P66" s="4">
        <f t="shared" si="0"/>
        <v>350</v>
      </c>
      <c r="Q66" s="1" t="s">
        <v>14</v>
      </c>
      <c r="R66" s="44">
        <v>100</v>
      </c>
      <c r="S66" s="47">
        <v>300</v>
      </c>
    </row>
    <row r="67" spans="1:20" x14ac:dyDescent="0.25">
      <c r="A67" s="2">
        <v>64</v>
      </c>
      <c r="D67" s="9" t="s">
        <v>77</v>
      </c>
      <c r="E67" s="10"/>
      <c r="F67" s="10"/>
      <c r="G67" s="11"/>
      <c r="H67" s="12">
        <f>'KASIM 3 HAFTA '!P67</f>
        <v>1162</v>
      </c>
      <c r="I67" s="7" t="s">
        <v>2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  <c r="P67" s="4">
        <f t="shared" si="0"/>
        <v>1162</v>
      </c>
      <c r="Q67" s="1" t="s">
        <v>14</v>
      </c>
      <c r="R67" s="44">
        <v>100</v>
      </c>
      <c r="S67" s="47">
        <v>300</v>
      </c>
    </row>
    <row r="68" spans="1:20" x14ac:dyDescent="0.25">
      <c r="A68" s="2">
        <v>65</v>
      </c>
      <c r="D68" s="16" t="s">
        <v>87</v>
      </c>
      <c r="E68" s="17"/>
      <c r="F68" s="17"/>
      <c r="G68" s="18"/>
      <c r="H68" s="12">
        <v>511</v>
      </c>
      <c r="I68" s="7" t="s">
        <v>2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4">
        <f t="shared" ref="P68:P84" si="1">+H68+J68-K68-L68-M68-N68-O68</f>
        <v>511</v>
      </c>
      <c r="Q68" s="1" t="s">
        <v>14</v>
      </c>
      <c r="R68" s="44">
        <v>0</v>
      </c>
      <c r="S68" s="46"/>
    </row>
    <row r="69" spans="1:20" x14ac:dyDescent="0.25">
      <c r="A69" s="2">
        <v>66</v>
      </c>
      <c r="D69" s="9" t="s">
        <v>64</v>
      </c>
      <c r="E69" s="10"/>
      <c r="F69" s="10"/>
      <c r="G69" s="11"/>
      <c r="H69" s="12">
        <f>'KASIM 3 HAFTA '!P69</f>
        <v>328</v>
      </c>
      <c r="I69" s="7" t="s">
        <v>2</v>
      </c>
      <c r="J69" s="3">
        <v>0</v>
      </c>
      <c r="K69" s="3">
        <v>0</v>
      </c>
      <c r="L69" s="3">
        <v>0</v>
      </c>
      <c r="M69" s="3">
        <v>11</v>
      </c>
      <c r="N69" s="3">
        <v>0</v>
      </c>
      <c r="O69" s="3">
        <v>0</v>
      </c>
      <c r="P69" s="4">
        <f t="shared" si="1"/>
        <v>317</v>
      </c>
      <c r="Q69" s="1" t="s">
        <v>14</v>
      </c>
      <c r="R69" s="44">
        <v>50</v>
      </c>
      <c r="S69" s="47">
        <v>100</v>
      </c>
    </row>
    <row r="70" spans="1:20" x14ac:dyDescent="0.25">
      <c r="A70" s="2">
        <v>67</v>
      </c>
      <c r="D70" s="16" t="s">
        <v>65</v>
      </c>
      <c r="E70" s="17"/>
      <c r="F70" s="17"/>
      <c r="G70" s="18"/>
      <c r="H70" s="12">
        <f>'KASIM 3 HAFTA '!P70</f>
        <v>60</v>
      </c>
      <c r="I70" s="7" t="s">
        <v>2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4">
        <f t="shared" si="1"/>
        <v>60</v>
      </c>
      <c r="Q70" s="1" t="s">
        <v>14</v>
      </c>
      <c r="R70" s="44">
        <v>0</v>
      </c>
      <c r="S70" s="46"/>
    </row>
    <row r="71" spans="1:20" x14ac:dyDescent="0.25">
      <c r="A71" s="2">
        <v>68</v>
      </c>
      <c r="D71" s="9" t="s">
        <v>66</v>
      </c>
      <c r="E71" s="10"/>
      <c r="F71" s="10"/>
      <c r="G71" s="11"/>
      <c r="H71" s="12">
        <f>'KASIM 3 HAFTA '!P71</f>
        <v>500</v>
      </c>
      <c r="I71" s="7" t="s">
        <v>2</v>
      </c>
      <c r="J71" s="3">
        <v>0</v>
      </c>
      <c r="K71" s="3">
        <v>0</v>
      </c>
      <c r="L71" s="3">
        <v>0</v>
      </c>
      <c r="M71" s="3">
        <v>0</v>
      </c>
      <c r="N71" s="3">
        <v>6</v>
      </c>
      <c r="O71" s="3">
        <v>0</v>
      </c>
      <c r="P71" s="4">
        <f t="shared" si="1"/>
        <v>494</v>
      </c>
      <c r="Q71" s="1" t="s">
        <v>14</v>
      </c>
      <c r="R71" s="44">
        <v>300</v>
      </c>
      <c r="S71" s="47">
        <v>1000</v>
      </c>
    </row>
    <row r="72" spans="1:20" x14ac:dyDescent="0.25">
      <c r="A72" s="2">
        <v>69</v>
      </c>
      <c r="D72" s="19" t="s">
        <v>86</v>
      </c>
      <c r="E72" s="20"/>
      <c r="F72" s="20"/>
      <c r="G72" s="21"/>
      <c r="H72" s="12">
        <f>'KASIM 3 HAFTA '!P72</f>
        <v>0</v>
      </c>
      <c r="I72" s="7" t="s">
        <v>2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  <c r="P72" s="4">
        <f t="shared" si="1"/>
        <v>0</v>
      </c>
      <c r="Q72" s="1" t="s">
        <v>14</v>
      </c>
      <c r="R72" s="44">
        <v>50</v>
      </c>
      <c r="S72" s="47">
        <v>150</v>
      </c>
    </row>
    <row r="73" spans="1:20" x14ac:dyDescent="0.25">
      <c r="A73" s="2">
        <v>70</v>
      </c>
      <c r="D73" s="22" t="s">
        <v>74</v>
      </c>
      <c r="E73" s="10"/>
      <c r="F73" s="10"/>
      <c r="G73" s="11"/>
      <c r="H73" s="12">
        <f>'KASIM 3 HAFTA '!P73</f>
        <v>32</v>
      </c>
      <c r="I73" s="8" t="s">
        <v>75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4">
        <f t="shared" si="1"/>
        <v>32</v>
      </c>
      <c r="Q73" s="1" t="s">
        <v>91</v>
      </c>
      <c r="R73" s="44">
        <v>65</v>
      </c>
      <c r="S73" s="47">
        <v>150</v>
      </c>
    </row>
    <row r="74" spans="1:20" x14ac:dyDescent="0.25">
      <c r="A74" s="2">
        <v>71</v>
      </c>
      <c r="C74" s="1" t="s">
        <v>14</v>
      </c>
      <c r="D74" s="22" t="s">
        <v>76</v>
      </c>
      <c r="E74" s="10"/>
      <c r="F74" s="10"/>
      <c r="G74" s="11"/>
      <c r="H74" s="12">
        <v>122</v>
      </c>
      <c r="I74" s="8" t="s">
        <v>2</v>
      </c>
      <c r="J74" s="3">
        <v>0</v>
      </c>
      <c r="K74" s="3">
        <v>0</v>
      </c>
      <c r="L74" s="3">
        <v>0</v>
      </c>
      <c r="M74" s="3">
        <v>6</v>
      </c>
      <c r="N74" s="3">
        <v>0</v>
      </c>
      <c r="O74" s="3">
        <v>2</v>
      </c>
      <c r="P74" s="4">
        <f t="shared" si="1"/>
        <v>114</v>
      </c>
      <c r="Q74" s="1" t="s">
        <v>14</v>
      </c>
      <c r="R74" s="44">
        <v>50</v>
      </c>
      <c r="S74" s="47">
        <v>100</v>
      </c>
    </row>
    <row r="75" spans="1:20" x14ac:dyDescent="0.25">
      <c r="A75" s="2">
        <v>72</v>
      </c>
      <c r="D75" s="25" t="s">
        <v>114</v>
      </c>
      <c r="H75" s="12">
        <v>17</v>
      </c>
      <c r="I75" s="30" t="s">
        <v>2</v>
      </c>
      <c r="J75" s="3">
        <v>150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4">
        <f t="shared" si="1"/>
        <v>167</v>
      </c>
      <c r="Q75" s="1" t="s">
        <v>14</v>
      </c>
      <c r="R75" s="44">
        <v>50</v>
      </c>
      <c r="S75" s="47">
        <v>100</v>
      </c>
    </row>
    <row r="76" spans="1:20" x14ac:dyDescent="0.25">
      <c r="A76" s="2">
        <v>73</v>
      </c>
      <c r="D76" s="26" t="s">
        <v>80</v>
      </c>
      <c r="E76" s="27"/>
      <c r="F76" s="27"/>
      <c r="G76" s="28"/>
      <c r="H76" s="12">
        <v>33</v>
      </c>
      <c r="I76" s="8" t="s">
        <v>2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  <c r="P76" s="4">
        <f t="shared" si="1"/>
        <v>33</v>
      </c>
      <c r="Q76" s="1" t="s">
        <v>14</v>
      </c>
      <c r="R76" s="44">
        <v>0</v>
      </c>
      <c r="S76" s="46"/>
    </row>
    <row r="77" spans="1:20" x14ac:dyDescent="0.25">
      <c r="A77" s="2">
        <v>74</v>
      </c>
      <c r="D77" s="26" t="s">
        <v>84</v>
      </c>
      <c r="E77" s="27"/>
      <c r="F77" s="27"/>
      <c r="G77" s="28"/>
      <c r="H77" s="12">
        <f>'KASIM 3 HAFTA '!P77</f>
        <v>50</v>
      </c>
      <c r="I77" s="8" t="s">
        <v>2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4">
        <f t="shared" si="1"/>
        <v>50</v>
      </c>
      <c r="Q77" s="1" t="s">
        <v>14</v>
      </c>
      <c r="R77" s="44">
        <v>100</v>
      </c>
      <c r="S77" s="47">
        <v>200</v>
      </c>
    </row>
    <row r="78" spans="1:20" x14ac:dyDescent="0.25">
      <c r="A78" s="2">
        <v>75</v>
      </c>
      <c r="D78" s="26" t="s">
        <v>85</v>
      </c>
      <c r="E78" s="27"/>
      <c r="F78" s="27"/>
      <c r="G78" s="28"/>
      <c r="H78" s="12">
        <f>'KASIM 3 HAFTA '!P78</f>
        <v>0</v>
      </c>
      <c r="I78" s="8" t="s">
        <v>2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  <c r="P78" s="4">
        <f t="shared" si="1"/>
        <v>0</v>
      </c>
      <c r="R78" s="44">
        <v>0</v>
      </c>
      <c r="S78" s="46"/>
    </row>
    <row r="79" spans="1:20" x14ac:dyDescent="0.25">
      <c r="A79" s="2">
        <v>76</v>
      </c>
      <c r="D79" s="37" t="s">
        <v>99</v>
      </c>
      <c r="E79" s="17"/>
      <c r="F79" s="33"/>
      <c r="G79" s="33"/>
      <c r="H79" s="12">
        <v>146</v>
      </c>
      <c r="I79" s="8" t="s">
        <v>2</v>
      </c>
      <c r="J79" s="3">
        <v>0</v>
      </c>
      <c r="K79" s="3">
        <v>25</v>
      </c>
      <c r="L79" s="3">
        <v>0</v>
      </c>
      <c r="M79" s="3">
        <v>0</v>
      </c>
      <c r="N79" s="3">
        <v>0</v>
      </c>
      <c r="O79" s="3">
        <v>25</v>
      </c>
      <c r="P79" s="4">
        <f t="shared" si="1"/>
        <v>96</v>
      </c>
      <c r="Q79" s="1" t="s">
        <v>14</v>
      </c>
      <c r="R79" s="44">
        <v>100</v>
      </c>
      <c r="S79" s="47">
        <v>500</v>
      </c>
      <c r="T79" t="s">
        <v>75</v>
      </c>
    </row>
    <row r="80" spans="1:20" x14ac:dyDescent="0.25">
      <c r="A80" s="2">
        <v>77</v>
      </c>
      <c r="D80" s="22" t="s">
        <v>100</v>
      </c>
      <c r="E80" s="10"/>
      <c r="F80" s="10"/>
      <c r="G80" s="28"/>
      <c r="H80" s="12">
        <f>'KASIM 3 HAFTA '!P80</f>
        <v>40</v>
      </c>
      <c r="I80" s="8" t="s">
        <v>2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  <c r="P80" s="4">
        <f t="shared" si="1"/>
        <v>40</v>
      </c>
      <c r="R80" s="44">
        <v>0</v>
      </c>
      <c r="S80" s="46"/>
    </row>
    <row r="81" spans="1:19" x14ac:dyDescent="0.25">
      <c r="A81" s="2">
        <v>78</v>
      </c>
      <c r="D81" s="37" t="s">
        <v>113</v>
      </c>
      <c r="E81" s="17"/>
      <c r="F81" s="17"/>
      <c r="G81" s="33"/>
      <c r="H81" s="12">
        <v>144</v>
      </c>
      <c r="I81" s="8" t="s">
        <v>2</v>
      </c>
      <c r="J81" s="3">
        <v>0</v>
      </c>
      <c r="K81" s="3">
        <v>2</v>
      </c>
      <c r="L81" s="3">
        <v>2</v>
      </c>
      <c r="M81" s="3">
        <v>0</v>
      </c>
      <c r="N81" s="3">
        <v>14</v>
      </c>
      <c r="O81" s="3">
        <v>6</v>
      </c>
      <c r="P81" s="4">
        <f t="shared" si="1"/>
        <v>120</v>
      </c>
      <c r="Q81" s="51" t="s">
        <v>112</v>
      </c>
      <c r="R81" s="44">
        <v>30</v>
      </c>
      <c r="S81" s="47">
        <v>100</v>
      </c>
    </row>
    <row r="82" spans="1:19" x14ac:dyDescent="0.25">
      <c r="A82" s="2">
        <v>79</v>
      </c>
      <c r="D82" s="22" t="s">
        <v>103</v>
      </c>
      <c r="E82" s="10"/>
      <c r="F82" s="10"/>
      <c r="G82" s="28"/>
      <c r="H82" s="12">
        <v>262</v>
      </c>
      <c r="I82" s="8" t="s">
        <v>2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34</v>
      </c>
      <c r="P82" s="4">
        <f t="shared" si="1"/>
        <v>228</v>
      </c>
      <c r="R82" s="44">
        <v>60</v>
      </c>
      <c r="S82" s="47">
        <v>100</v>
      </c>
    </row>
    <row r="83" spans="1:19" x14ac:dyDescent="0.25">
      <c r="A83" s="8">
        <v>80</v>
      </c>
      <c r="D83" s="49" t="s">
        <v>108</v>
      </c>
      <c r="E83" s="20"/>
      <c r="F83" s="20"/>
      <c r="G83" s="20"/>
      <c r="H83" s="12">
        <v>4000</v>
      </c>
      <c r="I83" s="8" t="s">
        <v>110</v>
      </c>
      <c r="J83" s="3">
        <v>2500</v>
      </c>
      <c r="K83" s="3">
        <v>0</v>
      </c>
      <c r="L83" s="3">
        <v>1000</v>
      </c>
      <c r="M83" s="3">
        <v>2500</v>
      </c>
      <c r="N83" s="3">
        <v>0</v>
      </c>
      <c r="O83" s="3">
        <v>0</v>
      </c>
      <c r="P83" s="4">
        <f t="shared" si="1"/>
        <v>3000</v>
      </c>
      <c r="R83" s="43">
        <v>1000</v>
      </c>
      <c r="S83" s="46">
        <v>10000</v>
      </c>
    </row>
    <row r="84" spans="1:19" x14ac:dyDescent="0.25">
      <c r="A84" s="48">
        <v>81</v>
      </c>
      <c r="B84" s="41"/>
      <c r="C84" s="41"/>
      <c r="D84" s="22" t="s">
        <v>115</v>
      </c>
      <c r="E84" s="10"/>
      <c r="F84" s="10"/>
      <c r="G84" s="11"/>
      <c r="H84" s="23">
        <v>20</v>
      </c>
      <c r="I84" s="8" t="s">
        <v>2</v>
      </c>
      <c r="J84" s="4">
        <v>100</v>
      </c>
      <c r="K84" s="4"/>
      <c r="L84" s="4"/>
      <c r="M84" s="4"/>
      <c r="N84" s="4"/>
      <c r="O84" s="4">
        <v>100</v>
      </c>
      <c r="P84" s="4">
        <f t="shared" si="1"/>
        <v>20</v>
      </c>
      <c r="R84" s="4">
        <v>50</v>
      </c>
      <c r="S84" s="4">
        <v>100</v>
      </c>
    </row>
  </sheetData>
  <pageMargins left="0.75" right="0.75" top="1" bottom="1" header="0.5" footer="0.5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T84"/>
  <sheetViews>
    <sheetView workbookViewId="0">
      <selection activeCell="O12" sqref="O12"/>
    </sheetView>
  </sheetViews>
  <sheetFormatPr defaultRowHeight="15" x14ac:dyDescent="0.25"/>
  <cols>
    <col min="1" max="1" width="5.5703125" customWidth="1"/>
    <col min="2" max="3" width="9.140625" hidden="1" customWidth="1"/>
    <col min="11" max="15" width="10.140625" bestFit="1" customWidth="1"/>
    <col min="17" max="17" width="3.5703125" customWidth="1"/>
    <col min="18" max="18" width="10" customWidth="1"/>
    <col min="19" max="19" width="11.140625" customWidth="1"/>
  </cols>
  <sheetData>
    <row r="1" spans="1:20" x14ac:dyDescent="0.25">
      <c r="G1" s="1"/>
      <c r="P1">
        <f>+H1+J1-K1-L1-M1-N1-O1</f>
        <v>0</v>
      </c>
    </row>
    <row r="2" spans="1:20" x14ac:dyDescent="0.25">
      <c r="A2" t="s">
        <v>14</v>
      </c>
      <c r="D2" t="s">
        <v>116</v>
      </c>
      <c r="O2" s="38" t="s">
        <v>14</v>
      </c>
      <c r="S2" s="50">
        <v>44837</v>
      </c>
    </row>
    <row r="3" spans="1:20" x14ac:dyDescent="0.25">
      <c r="A3" s="1" t="s">
        <v>15</v>
      </c>
      <c r="D3" s="9" t="s">
        <v>17</v>
      </c>
      <c r="E3" s="10"/>
      <c r="F3" s="10"/>
      <c r="G3" s="11"/>
      <c r="H3" s="12" t="s">
        <v>18</v>
      </c>
      <c r="I3" s="4" t="s">
        <v>19</v>
      </c>
      <c r="J3" s="3" t="s">
        <v>20</v>
      </c>
      <c r="K3" s="5">
        <v>44900</v>
      </c>
      <c r="L3" s="6">
        <v>44901</v>
      </c>
      <c r="M3" s="5">
        <v>44902</v>
      </c>
      <c r="N3" s="5">
        <v>44903</v>
      </c>
      <c r="O3" s="6">
        <v>44904</v>
      </c>
      <c r="P3" s="3" t="s">
        <v>21</v>
      </c>
      <c r="R3" s="42" t="s">
        <v>105</v>
      </c>
      <c r="S3" s="45" t="s">
        <v>104</v>
      </c>
    </row>
    <row r="4" spans="1:20" x14ac:dyDescent="0.25">
      <c r="A4" s="2">
        <v>1</v>
      </c>
      <c r="D4" s="13" t="s">
        <v>16</v>
      </c>
      <c r="E4" s="14"/>
      <c r="F4" s="14"/>
      <c r="G4" s="15"/>
      <c r="H4" s="12">
        <v>113</v>
      </c>
      <c r="I4" s="7" t="s">
        <v>1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4">
        <f t="shared" ref="P4:P67" si="0">+H4+J4-K4-L4-M4-N4-O4</f>
        <v>113</v>
      </c>
      <c r="Q4" t="s">
        <v>67</v>
      </c>
      <c r="R4" s="43">
        <v>100</v>
      </c>
      <c r="S4" s="46">
        <v>500</v>
      </c>
      <c r="T4" t="s">
        <v>75</v>
      </c>
    </row>
    <row r="5" spans="1:20" x14ac:dyDescent="0.25">
      <c r="A5" s="2">
        <v>2</v>
      </c>
      <c r="D5" s="9" t="s">
        <v>22</v>
      </c>
      <c r="E5" s="10"/>
      <c r="F5" s="10"/>
      <c r="G5" s="11"/>
      <c r="H5" s="12">
        <f>'KASIM 3 HAFTA '!P5</f>
        <v>28</v>
      </c>
      <c r="I5" s="7" t="s">
        <v>2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4">
        <f t="shared" si="0"/>
        <v>28</v>
      </c>
      <c r="Q5" s="1" t="s">
        <v>14</v>
      </c>
      <c r="R5" s="44">
        <v>6</v>
      </c>
      <c r="S5" s="47">
        <v>10</v>
      </c>
    </row>
    <row r="6" spans="1:20" x14ac:dyDescent="0.25">
      <c r="A6" s="2">
        <v>3</v>
      </c>
      <c r="D6" s="16" t="s">
        <v>23</v>
      </c>
      <c r="E6" s="17"/>
      <c r="F6" s="17"/>
      <c r="G6" s="18"/>
      <c r="H6" s="12">
        <v>34</v>
      </c>
      <c r="I6" s="7" t="s">
        <v>2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4">
        <f t="shared" si="0"/>
        <v>34</v>
      </c>
      <c r="Q6" s="1" t="s">
        <v>14</v>
      </c>
      <c r="R6" s="44">
        <v>6</v>
      </c>
      <c r="S6" s="47">
        <v>10</v>
      </c>
    </row>
    <row r="7" spans="1:20" x14ac:dyDescent="0.25">
      <c r="A7" s="2">
        <v>4</v>
      </c>
      <c r="D7" s="9" t="s">
        <v>3</v>
      </c>
      <c r="E7" s="10"/>
      <c r="F7" s="10"/>
      <c r="G7" s="11"/>
      <c r="H7" s="12">
        <f>'KASIM 3 HAFTA '!P7</f>
        <v>58</v>
      </c>
      <c r="I7" s="7" t="s">
        <v>2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4">
        <f t="shared" si="0"/>
        <v>58</v>
      </c>
      <c r="Q7" s="1" t="s">
        <v>14</v>
      </c>
      <c r="R7" s="44">
        <v>6</v>
      </c>
      <c r="S7" s="47">
        <v>10</v>
      </c>
    </row>
    <row r="8" spans="1:20" x14ac:dyDescent="0.25">
      <c r="A8" s="2">
        <v>5</v>
      </c>
      <c r="D8" s="16" t="s">
        <v>4</v>
      </c>
      <c r="E8" s="17"/>
      <c r="F8" s="17"/>
      <c r="G8" s="18"/>
      <c r="H8" s="12">
        <v>114</v>
      </c>
      <c r="I8" s="7" t="s">
        <v>2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2</v>
      </c>
      <c r="P8" s="4">
        <f t="shared" si="0"/>
        <v>112</v>
      </c>
      <c r="Q8" s="1" t="s">
        <v>14</v>
      </c>
      <c r="R8" s="44">
        <v>100</v>
      </c>
      <c r="S8" s="47">
        <v>400</v>
      </c>
    </row>
    <row r="9" spans="1:20" x14ac:dyDescent="0.25">
      <c r="A9" s="2">
        <v>6</v>
      </c>
      <c r="D9" s="9" t="s">
        <v>24</v>
      </c>
      <c r="E9" s="10"/>
      <c r="F9" s="10"/>
      <c r="G9" s="11"/>
      <c r="H9" s="12">
        <v>60</v>
      </c>
      <c r="I9" s="7" t="s">
        <v>2</v>
      </c>
      <c r="J9" s="3">
        <v>0</v>
      </c>
      <c r="K9" s="3">
        <v>0</v>
      </c>
      <c r="L9" s="3">
        <v>0</v>
      </c>
      <c r="M9" s="3">
        <v>20</v>
      </c>
      <c r="N9" s="3">
        <v>0</v>
      </c>
      <c r="O9" s="3">
        <v>0</v>
      </c>
      <c r="P9" s="4">
        <f t="shared" si="0"/>
        <v>40</v>
      </c>
      <c r="Q9" s="1" t="s">
        <v>14</v>
      </c>
      <c r="R9" s="44">
        <v>60</v>
      </c>
      <c r="S9" s="47">
        <v>200</v>
      </c>
    </row>
    <row r="10" spans="1:20" x14ac:dyDescent="0.25">
      <c r="A10" s="2">
        <v>7</v>
      </c>
      <c r="D10" s="16" t="s">
        <v>101</v>
      </c>
      <c r="E10" s="17"/>
      <c r="F10" s="17"/>
      <c r="G10" s="18"/>
      <c r="H10" s="12">
        <v>1771</v>
      </c>
      <c r="I10" s="7" t="s">
        <v>2</v>
      </c>
      <c r="J10" s="3">
        <v>0</v>
      </c>
      <c r="K10" s="3">
        <v>0</v>
      </c>
      <c r="L10" s="3">
        <v>2</v>
      </c>
      <c r="M10" s="3">
        <v>0</v>
      </c>
      <c r="N10" s="3">
        <v>0</v>
      </c>
      <c r="O10" s="3">
        <v>54</v>
      </c>
      <c r="P10" s="4">
        <f t="shared" si="0"/>
        <v>1715</v>
      </c>
      <c r="Q10" s="1" t="s">
        <v>14</v>
      </c>
      <c r="R10" s="44">
        <v>200</v>
      </c>
      <c r="S10" s="47">
        <v>500</v>
      </c>
    </row>
    <row r="11" spans="1:20" x14ac:dyDescent="0.25">
      <c r="A11" s="2">
        <v>8</v>
      </c>
      <c r="D11" s="9" t="s">
        <v>25</v>
      </c>
      <c r="E11" s="10"/>
      <c r="F11" s="10"/>
      <c r="G11" s="11"/>
      <c r="H11" s="12">
        <f>'KASIM 3 HAFTA '!P11</f>
        <v>496</v>
      </c>
      <c r="I11" s="7" t="s">
        <v>2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4">
        <f t="shared" si="0"/>
        <v>496</v>
      </c>
      <c r="Q11" s="1" t="s">
        <v>14</v>
      </c>
      <c r="R11" s="44">
        <v>0</v>
      </c>
      <c r="S11" s="47">
        <v>0</v>
      </c>
    </row>
    <row r="12" spans="1:20" x14ac:dyDescent="0.25">
      <c r="A12" s="2">
        <v>9</v>
      </c>
      <c r="D12" s="16" t="s">
        <v>26</v>
      </c>
      <c r="E12" s="17"/>
      <c r="F12" s="17"/>
      <c r="G12" s="18"/>
      <c r="H12" s="12">
        <f>'KASIM 3 HAFTA '!P12</f>
        <v>60</v>
      </c>
      <c r="I12" s="7" t="s">
        <v>2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4">
        <f t="shared" si="0"/>
        <v>60</v>
      </c>
      <c r="Q12" s="1" t="s">
        <v>14</v>
      </c>
      <c r="R12" s="44">
        <v>200</v>
      </c>
      <c r="S12" s="47">
        <v>400</v>
      </c>
    </row>
    <row r="13" spans="1:20" x14ac:dyDescent="0.25">
      <c r="A13" s="2">
        <v>10</v>
      </c>
      <c r="D13" s="9" t="s">
        <v>6</v>
      </c>
      <c r="E13" s="10"/>
      <c r="F13" s="10"/>
      <c r="G13" s="11"/>
      <c r="H13" s="12">
        <f>'KASIM 3 HAFTA '!P13</f>
        <v>42</v>
      </c>
      <c r="I13" s="7" t="s">
        <v>2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4">
        <f t="shared" si="0"/>
        <v>42</v>
      </c>
      <c r="Q13" s="1" t="s">
        <v>14</v>
      </c>
      <c r="R13" s="44">
        <v>0</v>
      </c>
      <c r="S13" s="46"/>
    </row>
    <row r="14" spans="1:20" x14ac:dyDescent="0.25">
      <c r="A14" s="2">
        <v>11</v>
      </c>
      <c r="D14" s="16" t="s">
        <v>7</v>
      </c>
      <c r="E14" s="17"/>
      <c r="F14" s="17"/>
      <c r="G14" s="18"/>
      <c r="H14" s="12">
        <f>'KASIM 3 HAFTA '!P14</f>
        <v>0</v>
      </c>
      <c r="I14" s="7" t="s">
        <v>2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4">
        <f t="shared" si="0"/>
        <v>0</v>
      </c>
      <c r="Q14" s="1" t="s">
        <v>14</v>
      </c>
      <c r="R14" s="44">
        <v>20</v>
      </c>
      <c r="S14" s="47">
        <v>50</v>
      </c>
    </row>
    <row r="15" spans="1:20" x14ac:dyDescent="0.25">
      <c r="A15" s="2">
        <v>12</v>
      </c>
      <c r="D15" s="9" t="s">
        <v>69</v>
      </c>
      <c r="E15" s="10"/>
      <c r="F15" s="10"/>
      <c r="G15" s="11"/>
      <c r="H15" s="12">
        <f>'KASIM 3 HAFTA '!P15</f>
        <v>26</v>
      </c>
      <c r="I15" s="7" t="s">
        <v>2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4">
        <f t="shared" si="0"/>
        <v>26</v>
      </c>
      <c r="Q15" s="1" t="s">
        <v>14</v>
      </c>
      <c r="R15" s="44">
        <v>100</v>
      </c>
      <c r="S15" s="47">
        <v>200</v>
      </c>
    </row>
    <row r="16" spans="1:20" x14ac:dyDescent="0.25">
      <c r="A16" s="2">
        <v>13</v>
      </c>
      <c r="D16" s="16" t="s">
        <v>27</v>
      </c>
      <c r="E16" s="17"/>
      <c r="F16" s="17"/>
      <c r="G16" s="18"/>
      <c r="H16" s="12">
        <f>'KASIM 3 HAFTA '!P16</f>
        <v>90</v>
      </c>
      <c r="I16" s="7" t="s">
        <v>2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4">
        <f t="shared" si="0"/>
        <v>90</v>
      </c>
      <c r="Q16" s="1" t="s">
        <v>14</v>
      </c>
      <c r="R16" s="44">
        <v>0</v>
      </c>
      <c r="S16" s="46"/>
    </row>
    <row r="17" spans="1:19" x14ac:dyDescent="0.25">
      <c r="A17" s="2">
        <v>14</v>
      </c>
      <c r="D17" s="9" t="s">
        <v>73</v>
      </c>
      <c r="E17" s="10"/>
      <c r="F17" s="10"/>
      <c r="G17" s="11"/>
      <c r="H17" s="12">
        <f>'KASIM 3 HAFTA '!P17</f>
        <v>800</v>
      </c>
      <c r="I17" s="7" t="s">
        <v>2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4">
        <f t="shared" si="0"/>
        <v>800</v>
      </c>
      <c r="Q17" s="1" t="s">
        <v>14</v>
      </c>
      <c r="R17" s="44">
        <v>0</v>
      </c>
      <c r="S17" s="46"/>
    </row>
    <row r="18" spans="1:19" x14ac:dyDescent="0.25">
      <c r="A18" s="2">
        <v>15</v>
      </c>
      <c r="D18" s="16" t="s">
        <v>28</v>
      </c>
      <c r="E18" s="17"/>
      <c r="F18" s="17"/>
      <c r="G18" s="18"/>
      <c r="H18" s="12">
        <v>56</v>
      </c>
      <c r="I18" s="7" t="s">
        <v>2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2</v>
      </c>
      <c r="P18" s="4">
        <f t="shared" si="0"/>
        <v>54</v>
      </c>
      <c r="Q18" s="1" t="s">
        <v>14</v>
      </c>
      <c r="R18" s="44">
        <v>20</v>
      </c>
      <c r="S18" s="47">
        <v>50</v>
      </c>
    </row>
    <row r="19" spans="1:19" x14ac:dyDescent="0.25">
      <c r="A19" s="2">
        <v>16</v>
      </c>
      <c r="D19" s="9" t="s">
        <v>29</v>
      </c>
      <c r="E19" s="10"/>
      <c r="F19" s="10"/>
      <c r="G19" s="11"/>
      <c r="H19" s="12">
        <v>56</v>
      </c>
      <c r="I19" s="7" t="s">
        <v>2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2</v>
      </c>
      <c r="P19" s="4">
        <f t="shared" si="0"/>
        <v>54</v>
      </c>
      <c r="Q19" s="1" t="s">
        <v>14</v>
      </c>
      <c r="R19" s="44">
        <v>20</v>
      </c>
      <c r="S19" s="47">
        <v>50</v>
      </c>
    </row>
    <row r="20" spans="1:19" x14ac:dyDescent="0.25">
      <c r="A20" s="2">
        <v>17</v>
      </c>
      <c r="D20" s="16" t="s">
        <v>30</v>
      </c>
      <c r="E20" s="17"/>
      <c r="F20" s="17"/>
      <c r="G20" s="18"/>
      <c r="H20" s="12">
        <v>88</v>
      </c>
      <c r="I20" s="7" t="s">
        <v>2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2</v>
      </c>
      <c r="P20" s="4">
        <f t="shared" si="0"/>
        <v>86</v>
      </c>
      <c r="Q20" s="1" t="s">
        <v>14</v>
      </c>
      <c r="R20" s="44">
        <v>20</v>
      </c>
      <c r="S20" s="47">
        <v>50</v>
      </c>
    </row>
    <row r="21" spans="1:19" x14ac:dyDescent="0.25">
      <c r="A21" s="2">
        <v>18</v>
      </c>
      <c r="D21" s="9" t="s">
        <v>31</v>
      </c>
      <c r="E21" s="10"/>
      <c r="F21" s="10"/>
      <c r="G21" s="11"/>
      <c r="H21" s="12">
        <f>'KASIM 3 HAFTA '!P21</f>
        <v>33</v>
      </c>
      <c r="I21" s="7" t="s">
        <v>2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4">
        <f t="shared" si="0"/>
        <v>33</v>
      </c>
      <c r="Q21" s="1" t="s">
        <v>14</v>
      </c>
      <c r="R21" s="44">
        <v>0</v>
      </c>
      <c r="S21" s="46"/>
    </row>
    <row r="22" spans="1:19" x14ac:dyDescent="0.25">
      <c r="A22" s="2">
        <v>19</v>
      </c>
      <c r="D22" s="16" t="s">
        <v>8</v>
      </c>
      <c r="E22" s="17"/>
      <c r="F22" s="17"/>
      <c r="G22" s="18"/>
      <c r="H22" s="12">
        <v>90</v>
      </c>
      <c r="I22" s="7" t="s">
        <v>1</v>
      </c>
      <c r="J22" s="3">
        <v>300</v>
      </c>
      <c r="K22" s="3">
        <v>0</v>
      </c>
      <c r="L22" s="3">
        <v>160</v>
      </c>
      <c r="M22" s="3">
        <v>25</v>
      </c>
      <c r="N22" s="3">
        <v>20</v>
      </c>
      <c r="O22" s="3">
        <v>5</v>
      </c>
      <c r="P22" s="4">
        <f t="shared" si="0"/>
        <v>180</v>
      </c>
      <c r="Q22" s="1" t="s">
        <v>14</v>
      </c>
      <c r="R22" s="44">
        <v>50</v>
      </c>
      <c r="S22" s="47">
        <v>200</v>
      </c>
    </row>
    <row r="23" spans="1:19" x14ac:dyDescent="0.25">
      <c r="A23" s="2">
        <v>20</v>
      </c>
      <c r="D23" s="9" t="s">
        <v>32</v>
      </c>
      <c r="E23" s="10"/>
      <c r="F23" s="10"/>
      <c r="G23" s="11"/>
      <c r="H23" s="12">
        <f>'KASIM 3 HAFTA '!P23</f>
        <v>2000</v>
      </c>
      <c r="I23" s="7" t="s">
        <v>2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4">
        <f t="shared" si="0"/>
        <v>2000</v>
      </c>
      <c r="Q23" s="1" t="s">
        <v>14</v>
      </c>
      <c r="R23" s="44">
        <v>0</v>
      </c>
      <c r="S23" s="46"/>
    </row>
    <row r="24" spans="1:19" x14ac:dyDescent="0.25">
      <c r="A24" s="2">
        <v>21</v>
      </c>
      <c r="D24" s="16" t="s">
        <v>33</v>
      </c>
      <c r="E24" s="17"/>
      <c r="F24" s="17"/>
      <c r="G24" s="18"/>
      <c r="H24" s="12">
        <f>'KASIM 3 HAFTA '!P24</f>
        <v>273</v>
      </c>
      <c r="I24" s="7" t="s">
        <v>2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4">
        <f t="shared" si="0"/>
        <v>273</v>
      </c>
      <c r="Q24" s="1" t="s">
        <v>14</v>
      </c>
      <c r="R24" s="44">
        <v>0</v>
      </c>
      <c r="S24" s="46"/>
    </row>
    <row r="25" spans="1:19" x14ac:dyDescent="0.25">
      <c r="A25" s="2">
        <v>22</v>
      </c>
      <c r="D25" s="9" t="s">
        <v>34</v>
      </c>
      <c r="E25" s="10"/>
      <c r="F25" s="10"/>
      <c r="G25" s="11"/>
      <c r="H25" s="12">
        <f>'KASIM 3 HAFTA '!P25</f>
        <v>40</v>
      </c>
      <c r="I25" s="7" t="s">
        <v>2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4">
        <f t="shared" si="0"/>
        <v>40</v>
      </c>
      <c r="Q25" s="1" t="s">
        <v>14</v>
      </c>
      <c r="R25" s="44">
        <v>0</v>
      </c>
      <c r="S25" s="46"/>
    </row>
    <row r="26" spans="1:19" x14ac:dyDescent="0.25">
      <c r="A26" s="2">
        <v>23</v>
      </c>
      <c r="D26" s="16" t="s">
        <v>82</v>
      </c>
      <c r="E26" s="17"/>
      <c r="F26" s="17"/>
      <c r="G26" s="18"/>
      <c r="H26" s="12">
        <f>'KASIM 3 HAFTA '!P26</f>
        <v>168</v>
      </c>
      <c r="I26" s="7" t="s">
        <v>2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4</v>
      </c>
      <c r="P26" s="4">
        <f t="shared" si="0"/>
        <v>164</v>
      </c>
      <c r="Q26" s="1" t="s">
        <v>14</v>
      </c>
      <c r="R26" s="44">
        <v>20</v>
      </c>
      <c r="S26" s="47">
        <v>50</v>
      </c>
    </row>
    <row r="27" spans="1:19" x14ac:dyDescent="0.25">
      <c r="A27" s="2">
        <v>24</v>
      </c>
      <c r="D27" s="9" t="s">
        <v>81</v>
      </c>
      <c r="E27" s="10"/>
      <c r="F27" s="10"/>
      <c r="G27" s="11"/>
      <c r="H27" s="12">
        <f>'KASIM 3 HAFTA '!P27</f>
        <v>42</v>
      </c>
      <c r="I27" s="7" t="s">
        <v>2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  <c r="P27" s="4">
        <f t="shared" si="0"/>
        <v>42</v>
      </c>
      <c r="Q27" s="1" t="s">
        <v>14</v>
      </c>
      <c r="R27" s="44">
        <v>20</v>
      </c>
      <c r="S27" s="47">
        <v>50</v>
      </c>
    </row>
    <row r="28" spans="1:19" x14ac:dyDescent="0.25">
      <c r="A28" s="2">
        <v>25</v>
      </c>
      <c r="D28" s="16" t="s">
        <v>35</v>
      </c>
      <c r="E28" s="17"/>
      <c r="F28" s="17"/>
      <c r="G28" s="18"/>
      <c r="H28" s="12">
        <v>0</v>
      </c>
      <c r="I28" s="7" t="s">
        <v>2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4">
        <f t="shared" si="0"/>
        <v>0</v>
      </c>
      <c r="Q28" s="1" t="s">
        <v>14</v>
      </c>
      <c r="R28" s="44">
        <v>50</v>
      </c>
      <c r="S28" s="47">
        <v>100</v>
      </c>
    </row>
    <row r="29" spans="1:19" x14ac:dyDescent="0.25">
      <c r="A29" s="2">
        <v>26</v>
      </c>
      <c r="D29" s="9" t="s">
        <v>36</v>
      </c>
      <c r="E29" s="10"/>
      <c r="F29" s="10"/>
      <c r="G29" s="11"/>
      <c r="H29" s="12">
        <v>25</v>
      </c>
      <c r="I29" s="7" t="s">
        <v>2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4">
        <f t="shared" si="0"/>
        <v>25</v>
      </c>
      <c r="Q29" s="1" t="s">
        <v>14</v>
      </c>
      <c r="R29" s="44">
        <v>50</v>
      </c>
      <c r="S29" s="47">
        <v>100</v>
      </c>
    </row>
    <row r="30" spans="1:19" x14ac:dyDescent="0.25">
      <c r="A30" s="2">
        <v>27</v>
      </c>
      <c r="D30" s="16" t="s">
        <v>37</v>
      </c>
      <c r="E30" s="17"/>
      <c r="F30" s="17"/>
      <c r="G30" s="18"/>
      <c r="H30" s="12">
        <v>230</v>
      </c>
      <c r="I30" s="7" t="s">
        <v>2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4</v>
      </c>
      <c r="P30" s="4">
        <f t="shared" si="0"/>
        <v>226</v>
      </c>
      <c r="Q30" s="1" t="s">
        <v>14</v>
      </c>
      <c r="R30" s="44">
        <v>20</v>
      </c>
      <c r="S30" s="47">
        <v>50</v>
      </c>
    </row>
    <row r="31" spans="1:19" x14ac:dyDescent="0.25">
      <c r="A31" s="2">
        <v>28</v>
      </c>
      <c r="D31" s="9" t="s">
        <v>38</v>
      </c>
      <c r="E31" s="10"/>
      <c r="F31" s="10"/>
      <c r="G31" s="11"/>
      <c r="H31" s="12">
        <v>535</v>
      </c>
      <c r="I31" s="7" t="s">
        <v>2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3</v>
      </c>
      <c r="P31" s="4">
        <f t="shared" si="0"/>
        <v>532</v>
      </c>
      <c r="Q31" s="1" t="s">
        <v>14</v>
      </c>
      <c r="R31" s="44">
        <v>50</v>
      </c>
      <c r="S31" s="47">
        <v>100</v>
      </c>
    </row>
    <row r="32" spans="1:19" x14ac:dyDescent="0.25">
      <c r="A32" s="2">
        <v>29</v>
      </c>
      <c r="D32" s="16" t="s">
        <v>39</v>
      </c>
      <c r="E32" s="17"/>
      <c r="F32" s="17"/>
      <c r="G32" s="18"/>
      <c r="H32" s="12">
        <v>48</v>
      </c>
      <c r="I32" s="7" t="s">
        <v>2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4</v>
      </c>
      <c r="P32" s="4">
        <f t="shared" si="0"/>
        <v>44</v>
      </c>
      <c r="Q32" s="1" t="s">
        <v>14</v>
      </c>
      <c r="R32" s="44">
        <v>20</v>
      </c>
      <c r="S32" s="47">
        <v>50</v>
      </c>
    </row>
    <row r="33" spans="1:19" x14ac:dyDescent="0.25">
      <c r="A33" s="2">
        <v>30</v>
      </c>
      <c r="D33" s="9" t="s">
        <v>40</v>
      </c>
      <c r="E33" s="10"/>
      <c r="F33" s="10"/>
      <c r="G33" s="11"/>
      <c r="H33" s="12">
        <v>1075</v>
      </c>
      <c r="I33" s="7" t="s">
        <v>2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4">
        <f t="shared" si="0"/>
        <v>1075</v>
      </c>
      <c r="Q33" s="1" t="s">
        <v>14</v>
      </c>
      <c r="R33" s="44">
        <v>0</v>
      </c>
      <c r="S33" s="46"/>
    </row>
    <row r="34" spans="1:19" x14ac:dyDescent="0.25">
      <c r="A34" s="2">
        <v>31</v>
      </c>
      <c r="D34" s="16" t="s">
        <v>9</v>
      </c>
      <c r="E34" s="17"/>
      <c r="F34" s="17"/>
      <c r="G34" s="18"/>
      <c r="H34" s="12">
        <v>524</v>
      </c>
      <c r="I34" s="7" t="s">
        <v>2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4">
        <f t="shared" si="0"/>
        <v>524</v>
      </c>
      <c r="Q34" s="1" t="s">
        <v>14</v>
      </c>
      <c r="R34" s="44">
        <v>50</v>
      </c>
      <c r="S34" s="47">
        <v>100</v>
      </c>
    </row>
    <row r="35" spans="1:19" x14ac:dyDescent="0.25">
      <c r="A35" s="2">
        <v>32</v>
      </c>
      <c r="D35" s="9" t="s">
        <v>83</v>
      </c>
      <c r="E35" s="10"/>
      <c r="F35" s="10"/>
      <c r="G35" s="11"/>
      <c r="H35" s="12">
        <v>94</v>
      </c>
      <c r="I35" s="7" t="s">
        <v>2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4</v>
      </c>
      <c r="P35" s="4">
        <f t="shared" si="0"/>
        <v>90</v>
      </c>
      <c r="Q35" s="1" t="s">
        <v>14</v>
      </c>
      <c r="R35" s="44">
        <v>20</v>
      </c>
      <c r="S35" s="47">
        <v>50</v>
      </c>
    </row>
    <row r="36" spans="1:19" x14ac:dyDescent="0.25">
      <c r="A36" s="2">
        <v>33</v>
      </c>
      <c r="D36" s="16" t="s">
        <v>70</v>
      </c>
      <c r="E36" s="17"/>
      <c r="F36" s="17"/>
      <c r="G36" s="18"/>
      <c r="H36" s="12">
        <f>'KASIM 3 HAFTA '!P36</f>
        <v>934</v>
      </c>
      <c r="I36" s="7" t="s">
        <v>2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4">
        <f t="shared" si="0"/>
        <v>934</v>
      </c>
      <c r="Q36" s="1" t="s">
        <v>14</v>
      </c>
      <c r="R36" s="44">
        <v>0</v>
      </c>
      <c r="S36" s="46"/>
    </row>
    <row r="37" spans="1:19" x14ac:dyDescent="0.25">
      <c r="A37" s="2">
        <v>34</v>
      </c>
      <c r="D37" s="9" t="s">
        <v>41</v>
      </c>
      <c r="E37" s="10"/>
      <c r="F37" s="10"/>
      <c r="G37" s="11"/>
      <c r="H37" s="12">
        <f>'KASIM 3 HAFTA '!P37</f>
        <v>283</v>
      </c>
      <c r="I37" s="7" t="s">
        <v>2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4">
        <f t="shared" si="0"/>
        <v>283</v>
      </c>
      <c r="Q37" s="1" t="s">
        <v>14</v>
      </c>
      <c r="R37" s="44">
        <v>50</v>
      </c>
      <c r="S37" s="47">
        <v>100</v>
      </c>
    </row>
    <row r="38" spans="1:19" x14ac:dyDescent="0.25">
      <c r="A38" s="2">
        <v>35</v>
      </c>
      <c r="D38" s="16" t="s">
        <v>42</v>
      </c>
      <c r="E38" s="17"/>
      <c r="F38" s="17"/>
      <c r="G38" s="18"/>
      <c r="H38" s="12">
        <f>'KASIM 3 HAFTA '!P38</f>
        <v>287</v>
      </c>
      <c r="I38" s="7" t="s">
        <v>2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4">
        <f t="shared" si="0"/>
        <v>287</v>
      </c>
      <c r="Q38" s="1" t="s">
        <v>14</v>
      </c>
      <c r="R38" s="44">
        <v>50</v>
      </c>
      <c r="S38" s="47">
        <v>100</v>
      </c>
    </row>
    <row r="39" spans="1:19" x14ac:dyDescent="0.25">
      <c r="A39" s="2">
        <v>36</v>
      </c>
      <c r="D39" s="9" t="s">
        <v>43</v>
      </c>
      <c r="E39" s="10"/>
      <c r="F39" s="10"/>
      <c r="G39" s="11"/>
      <c r="H39" s="12">
        <v>16</v>
      </c>
      <c r="I39" s="7" t="s">
        <v>2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4">
        <f t="shared" si="0"/>
        <v>16</v>
      </c>
      <c r="Q39" s="1" t="s">
        <v>14</v>
      </c>
      <c r="R39" s="44">
        <v>50</v>
      </c>
      <c r="S39" s="47">
        <v>100</v>
      </c>
    </row>
    <row r="40" spans="1:19" x14ac:dyDescent="0.25">
      <c r="A40" s="2">
        <v>37</v>
      </c>
      <c r="D40" s="16" t="s">
        <v>44</v>
      </c>
      <c r="E40" s="17"/>
      <c r="F40" s="17"/>
      <c r="G40" s="18"/>
      <c r="H40" s="12">
        <v>50</v>
      </c>
      <c r="I40" s="7" t="s">
        <v>2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2</v>
      </c>
      <c r="P40" s="4">
        <f t="shared" si="0"/>
        <v>48</v>
      </c>
      <c r="Q40" s="1" t="s">
        <v>14</v>
      </c>
      <c r="R40" s="44">
        <v>0</v>
      </c>
      <c r="S40" s="46"/>
    </row>
    <row r="41" spans="1:19" x14ac:dyDescent="0.25">
      <c r="A41" s="2">
        <v>38</v>
      </c>
      <c r="D41" s="9" t="s">
        <v>71</v>
      </c>
      <c r="E41" s="10"/>
      <c r="F41" s="10"/>
      <c r="G41" s="11"/>
      <c r="H41" s="12">
        <f>'KASIM 3 HAFTA '!P41</f>
        <v>20</v>
      </c>
      <c r="I41" s="7" t="s">
        <v>2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4">
        <f t="shared" si="0"/>
        <v>20</v>
      </c>
      <c r="Q41" s="1" t="s">
        <v>14</v>
      </c>
      <c r="R41" s="44">
        <v>5</v>
      </c>
      <c r="S41" s="47">
        <v>10</v>
      </c>
    </row>
    <row r="42" spans="1:19" x14ac:dyDescent="0.25">
      <c r="A42" s="2">
        <v>39</v>
      </c>
      <c r="D42" s="16" t="s">
        <v>10</v>
      </c>
      <c r="E42" s="17"/>
      <c r="F42" s="17"/>
      <c r="G42" s="18"/>
      <c r="H42" s="12">
        <v>30</v>
      </c>
      <c r="I42" s="7" t="s">
        <v>2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4">
        <f t="shared" si="0"/>
        <v>30</v>
      </c>
      <c r="Q42" s="1" t="s">
        <v>14</v>
      </c>
      <c r="R42" s="44">
        <v>40</v>
      </c>
      <c r="S42" s="47">
        <v>100</v>
      </c>
    </row>
    <row r="43" spans="1:19" x14ac:dyDescent="0.25">
      <c r="A43" s="2">
        <v>40</v>
      </c>
      <c r="D43" s="9" t="s">
        <v>45</v>
      </c>
      <c r="E43" s="10"/>
      <c r="F43" s="10"/>
      <c r="G43" s="11"/>
      <c r="H43" s="12">
        <v>80</v>
      </c>
      <c r="I43" s="7" t="s">
        <v>2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4">
        <f t="shared" si="0"/>
        <v>80</v>
      </c>
      <c r="Q43" s="1" t="s">
        <v>14</v>
      </c>
      <c r="R43" s="44">
        <v>20</v>
      </c>
      <c r="S43" s="47">
        <v>50</v>
      </c>
    </row>
    <row r="44" spans="1:19" x14ac:dyDescent="0.25">
      <c r="A44" s="2">
        <v>41</v>
      </c>
      <c r="D44" s="16" t="s">
        <v>46</v>
      </c>
      <c r="E44" s="17"/>
      <c r="F44" s="17"/>
      <c r="G44" s="18"/>
      <c r="H44" s="12">
        <v>80</v>
      </c>
      <c r="I44" s="7" t="s">
        <v>2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4">
        <f t="shared" si="0"/>
        <v>80</v>
      </c>
      <c r="Q44" s="1" t="s">
        <v>14</v>
      </c>
      <c r="R44" s="44">
        <v>20</v>
      </c>
      <c r="S44" s="47">
        <v>50</v>
      </c>
    </row>
    <row r="45" spans="1:19" x14ac:dyDescent="0.25">
      <c r="A45" s="2">
        <v>42</v>
      </c>
      <c r="D45" s="9" t="s">
        <v>47</v>
      </c>
      <c r="E45" s="10"/>
      <c r="F45" s="10"/>
      <c r="G45" s="11"/>
      <c r="H45" s="12">
        <v>95</v>
      </c>
      <c r="I45" s="7" t="s">
        <v>2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4">
        <f t="shared" si="0"/>
        <v>95</v>
      </c>
      <c r="Q45" s="1" t="s">
        <v>14</v>
      </c>
      <c r="R45" s="44">
        <v>20</v>
      </c>
      <c r="S45" s="47">
        <v>50</v>
      </c>
    </row>
    <row r="46" spans="1:19" x14ac:dyDescent="0.25">
      <c r="A46" s="2">
        <v>43</v>
      </c>
      <c r="D46" s="16" t="s">
        <v>79</v>
      </c>
      <c r="E46" s="17"/>
      <c r="F46" s="17"/>
      <c r="G46" s="18"/>
      <c r="H46" s="12">
        <v>52</v>
      </c>
      <c r="I46" s="7" t="s">
        <v>2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4">
        <f t="shared" si="0"/>
        <v>52</v>
      </c>
      <c r="Q46" s="1" t="s">
        <v>14</v>
      </c>
      <c r="R46" s="44">
        <v>10</v>
      </c>
      <c r="S46" s="47">
        <v>20</v>
      </c>
    </row>
    <row r="47" spans="1:19" x14ac:dyDescent="0.25">
      <c r="A47" s="2">
        <v>44</v>
      </c>
      <c r="D47" s="9" t="s">
        <v>48</v>
      </c>
      <c r="E47" s="10"/>
      <c r="F47" s="10"/>
      <c r="G47" s="11"/>
      <c r="H47" s="12">
        <v>27</v>
      </c>
      <c r="I47" s="7" t="s">
        <v>2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4">
        <f t="shared" si="0"/>
        <v>27</v>
      </c>
      <c r="Q47" s="1" t="s">
        <v>14</v>
      </c>
      <c r="R47" s="44">
        <v>10</v>
      </c>
      <c r="S47" s="47">
        <v>20</v>
      </c>
    </row>
    <row r="48" spans="1:19" x14ac:dyDescent="0.25">
      <c r="A48" s="2">
        <v>45</v>
      </c>
      <c r="D48" s="16" t="s">
        <v>49</v>
      </c>
      <c r="E48" s="17"/>
      <c r="F48" s="17"/>
      <c r="G48" s="18"/>
      <c r="H48" s="12">
        <f>'KASIM 3 HAFTA '!P48</f>
        <v>0</v>
      </c>
      <c r="I48" s="7" t="s">
        <v>2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4">
        <f t="shared" si="0"/>
        <v>0</v>
      </c>
      <c r="Q48" s="1" t="s">
        <v>14</v>
      </c>
      <c r="R48" s="44">
        <v>10</v>
      </c>
      <c r="S48" s="47">
        <v>20</v>
      </c>
    </row>
    <row r="49" spans="1:20" x14ac:dyDescent="0.25">
      <c r="A49" s="2">
        <v>46</v>
      </c>
      <c r="D49" s="9" t="s">
        <v>11</v>
      </c>
      <c r="E49" s="10"/>
      <c r="F49" s="10"/>
      <c r="G49" s="11"/>
      <c r="H49" s="12">
        <v>130</v>
      </c>
      <c r="I49" s="7" t="s">
        <v>1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12.5</v>
      </c>
      <c r="P49" s="4">
        <f t="shared" si="0"/>
        <v>117.5</v>
      </c>
      <c r="Q49" s="1" t="s">
        <v>14</v>
      </c>
      <c r="R49" s="44">
        <v>20</v>
      </c>
      <c r="S49" s="47">
        <v>100</v>
      </c>
      <c r="T49" t="s">
        <v>75</v>
      </c>
    </row>
    <row r="50" spans="1:20" x14ac:dyDescent="0.25">
      <c r="A50" s="2">
        <v>47</v>
      </c>
      <c r="D50" s="16" t="s">
        <v>111</v>
      </c>
      <c r="E50" s="17"/>
      <c r="F50" s="17"/>
      <c r="G50" s="18"/>
      <c r="H50" s="12">
        <v>149</v>
      </c>
      <c r="I50" s="7" t="s">
        <v>2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4">
        <f t="shared" si="0"/>
        <v>149</v>
      </c>
      <c r="Q50" s="1" t="s">
        <v>14</v>
      </c>
      <c r="R50" s="44">
        <v>30</v>
      </c>
      <c r="S50" s="47">
        <v>100</v>
      </c>
    </row>
    <row r="51" spans="1:20" x14ac:dyDescent="0.25">
      <c r="A51" s="2">
        <v>48</v>
      </c>
      <c r="D51" s="9" t="s">
        <v>51</v>
      </c>
      <c r="E51" s="10"/>
      <c r="F51" s="10"/>
      <c r="G51" s="11"/>
      <c r="H51" s="12">
        <v>94</v>
      </c>
      <c r="I51" s="7" t="s">
        <v>2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1</v>
      </c>
      <c r="P51" s="4">
        <f t="shared" si="0"/>
        <v>93</v>
      </c>
      <c r="Q51" s="1" t="s">
        <v>14</v>
      </c>
      <c r="R51" s="44">
        <v>20</v>
      </c>
      <c r="S51" s="47">
        <v>50</v>
      </c>
    </row>
    <row r="52" spans="1:20" x14ac:dyDescent="0.25">
      <c r="A52" s="2">
        <v>49</v>
      </c>
      <c r="D52" s="16" t="s">
        <v>52</v>
      </c>
      <c r="E52" s="17"/>
      <c r="F52" s="17"/>
      <c r="G52" s="18"/>
      <c r="H52" s="12">
        <v>90</v>
      </c>
      <c r="I52" s="7" t="s">
        <v>2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1</v>
      </c>
      <c r="P52" s="4">
        <f t="shared" si="0"/>
        <v>89</v>
      </c>
      <c r="Q52" s="1" t="s">
        <v>14</v>
      </c>
      <c r="R52" s="44">
        <v>20</v>
      </c>
      <c r="S52" s="47">
        <v>50</v>
      </c>
    </row>
    <row r="53" spans="1:20" x14ac:dyDescent="0.25">
      <c r="A53" s="2">
        <v>50</v>
      </c>
      <c r="D53" s="9" t="s">
        <v>53</v>
      </c>
      <c r="E53" s="10"/>
      <c r="F53" s="10"/>
      <c r="G53" s="11"/>
      <c r="H53" s="12">
        <v>40</v>
      </c>
      <c r="I53" s="7" t="s">
        <v>2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1</v>
      </c>
      <c r="P53" s="4">
        <f t="shared" si="0"/>
        <v>39</v>
      </c>
      <c r="Q53" s="1" t="s">
        <v>14</v>
      </c>
      <c r="R53" s="44">
        <v>20</v>
      </c>
      <c r="S53" s="47">
        <v>50</v>
      </c>
    </row>
    <row r="54" spans="1:20" x14ac:dyDescent="0.25">
      <c r="A54" s="2">
        <v>51</v>
      </c>
      <c r="D54" s="52" t="s">
        <v>54</v>
      </c>
      <c r="E54" s="53"/>
      <c r="F54" s="53"/>
      <c r="G54" s="54"/>
      <c r="H54" s="12">
        <v>930</v>
      </c>
      <c r="I54" s="7" t="s">
        <v>1</v>
      </c>
      <c r="J54" s="3">
        <v>0</v>
      </c>
      <c r="K54" s="3">
        <v>75</v>
      </c>
      <c r="L54" s="3">
        <v>0</v>
      </c>
      <c r="M54" s="3">
        <v>30</v>
      </c>
      <c r="N54" s="3">
        <v>45</v>
      </c>
      <c r="O54" s="3">
        <v>90</v>
      </c>
      <c r="P54" s="4">
        <f t="shared" si="0"/>
        <v>690</v>
      </c>
      <c r="Q54" s="1" t="s">
        <v>68</v>
      </c>
      <c r="R54" s="44">
        <v>250</v>
      </c>
      <c r="S54" s="47">
        <v>750</v>
      </c>
      <c r="T54" t="s">
        <v>75</v>
      </c>
    </row>
    <row r="55" spans="1:20" x14ac:dyDescent="0.25">
      <c r="A55" s="2">
        <v>52</v>
      </c>
      <c r="D55" s="9" t="s">
        <v>55</v>
      </c>
      <c r="E55" s="10"/>
      <c r="F55" s="10"/>
      <c r="G55" s="11"/>
      <c r="H55" s="12">
        <v>4000</v>
      </c>
      <c r="I55" s="7" t="s">
        <v>2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  <c r="P55" s="4">
        <f t="shared" si="0"/>
        <v>4000</v>
      </c>
      <c r="Q55" s="1" t="s">
        <v>14</v>
      </c>
      <c r="R55" s="44">
        <v>0</v>
      </c>
      <c r="S55" s="46"/>
    </row>
    <row r="56" spans="1:20" x14ac:dyDescent="0.25">
      <c r="A56" s="2">
        <v>53</v>
      </c>
      <c r="D56" s="16" t="s">
        <v>56</v>
      </c>
      <c r="E56" s="17"/>
      <c r="F56" s="17"/>
      <c r="G56" s="18"/>
      <c r="H56" s="12">
        <f>'KASIM 3 HAFTA '!P56</f>
        <v>2000</v>
      </c>
      <c r="I56" s="7" t="s">
        <v>2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  <c r="P56" s="4">
        <f t="shared" si="0"/>
        <v>2000</v>
      </c>
      <c r="Q56" s="1" t="s">
        <v>14</v>
      </c>
      <c r="R56" s="44">
        <v>0</v>
      </c>
      <c r="S56" s="46"/>
    </row>
    <row r="57" spans="1:20" x14ac:dyDescent="0.25">
      <c r="A57" s="2">
        <v>54</v>
      </c>
      <c r="D57" s="9" t="s">
        <v>12</v>
      </c>
      <c r="E57" s="10"/>
      <c r="F57" s="10"/>
      <c r="G57" s="11"/>
      <c r="H57" s="12">
        <f>'KASIM 3 HAFTA '!P57</f>
        <v>2800</v>
      </c>
      <c r="I57" s="7" t="s">
        <v>2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  <c r="P57" s="4">
        <f t="shared" si="0"/>
        <v>2800</v>
      </c>
      <c r="Q57" s="1" t="s">
        <v>14</v>
      </c>
      <c r="R57" s="44">
        <v>0</v>
      </c>
      <c r="S57" s="46"/>
    </row>
    <row r="58" spans="1:20" x14ac:dyDescent="0.25">
      <c r="A58" s="2">
        <v>55</v>
      </c>
      <c r="D58" s="16" t="s">
        <v>57</v>
      </c>
      <c r="E58" s="17"/>
      <c r="F58" s="17"/>
      <c r="G58" s="18"/>
      <c r="H58" s="12">
        <f>'KASIM 3 HAFTA '!P58</f>
        <v>3000</v>
      </c>
      <c r="I58" s="7" t="s">
        <v>2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4">
        <f t="shared" si="0"/>
        <v>3000</v>
      </c>
      <c r="Q58" s="1" t="s">
        <v>14</v>
      </c>
      <c r="R58" s="44">
        <v>0</v>
      </c>
      <c r="S58" s="46"/>
    </row>
    <row r="59" spans="1:20" x14ac:dyDescent="0.25">
      <c r="A59" s="2">
        <v>56</v>
      </c>
      <c r="D59" s="9" t="s">
        <v>58</v>
      </c>
      <c r="E59" s="10"/>
      <c r="F59" s="10"/>
      <c r="G59" s="11"/>
      <c r="H59" s="12">
        <f>'KASIM 3 HAFTA '!P59</f>
        <v>5000</v>
      </c>
      <c r="I59" s="7" t="s">
        <v>2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  <c r="P59" s="4">
        <f t="shared" si="0"/>
        <v>5000</v>
      </c>
      <c r="Q59" s="1" t="s">
        <v>14</v>
      </c>
      <c r="R59" s="44">
        <v>0</v>
      </c>
      <c r="S59" s="46"/>
    </row>
    <row r="60" spans="1:20" x14ac:dyDescent="0.25">
      <c r="A60" s="2">
        <v>57</v>
      </c>
      <c r="D60" s="16" t="s">
        <v>59</v>
      </c>
      <c r="E60" s="17"/>
      <c r="F60" s="17"/>
      <c r="G60" s="18"/>
      <c r="H60" s="12">
        <f>'KASIM 3 HAFTA '!P60</f>
        <v>3000</v>
      </c>
      <c r="I60" s="7" t="s">
        <v>2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4">
        <f t="shared" si="0"/>
        <v>3000</v>
      </c>
      <c r="Q60" s="1" t="s">
        <v>14</v>
      </c>
      <c r="R60" s="44">
        <v>0</v>
      </c>
      <c r="S60" s="46"/>
    </row>
    <row r="61" spans="1:20" x14ac:dyDescent="0.25">
      <c r="A61" s="2">
        <v>58</v>
      </c>
      <c r="D61" s="9" t="s">
        <v>60</v>
      </c>
      <c r="E61" s="10"/>
      <c r="F61" s="10"/>
      <c r="G61" s="11"/>
      <c r="H61" s="12">
        <v>4700</v>
      </c>
      <c r="I61" s="7" t="s">
        <v>2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4">
        <f t="shared" si="0"/>
        <v>4700</v>
      </c>
      <c r="Q61" s="1" t="s">
        <v>14</v>
      </c>
      <c r="R61" s="44">
        <v>0</v>
      </c>
      <c r="S61" s="46"/>
    </row>
    <row r="62" spans="1:20" x14ac:dyDescent="0.25">
      <c r="A62" s="2">
        <v>59</v>
      </c>
      <c r="D62" s="16" t="s">
        <v>61</v>
      </c>
      <c r="E62" s="17"/>
      <c r="F62" s="17"/>
      <c r="G62" s="18"/>
      <c r="H62" s="12">
        <f>'KASIM 3 HAFTA '!P62</f>
        <v>494</v>
      </c>
      <c r="I62" s="7" t="s">
        <v>2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4">
        <f t="shared" si="0"/>
        <v>494</v>
      </c>
      <c r="Q62" s="1" t="s">
        <v>14</v>
      </c>
      <c r="R62" s="44">
        <v>0</v>
      </c>
      <c r="S62" s="46"/>
    </row>
    <row r="63" spans="1:20" x14ac:dyDescent="0.25">
      <c r="A63" s="2">
        <v>60</v>
      </c>
      <c r="D63" s="9" t="s">
        <v>62</v>
      </c>
      <c r="E63" s="10"/>
      <c r="F63" s="10"/>
      <c r="G63" s="11"/>
      <c r="H63" s="12">
        <f>'KASIM 3 HAFTA '!P63</f>
        <v>1184</v>
      </c>
      <c r="I63" s="7" t="s">
        <v>2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4">
        <f t="shared" si="0"/>
        <v>1184</v>
      </c>
      <c r="Q63" s="1" t="s">
        <v>14</v>
      </c>
      <c r="R63" s="44">
        <v>200</v>
      </c>
      <c r="S63" s="47">
        <v>1000</v>
      </c>
    </row>
    <row r="64" spans="1:20" x14ac:dyDescent="0.25">
      <c r="A64" s="2">
        <v>61</v>
      </c>
      <c r="D64" s="16" t="s">
        <v>13</v>
      </c>
      <c r="E64" s="17"/>
      <c r="F64" s="17"/>
      <c r="G64" s="18"/>
      <c r="H64" s="12">
        <f>'KASIM 3 HAFTA '!P64</f>
        <v>447</v>
      </c>
      <c r="I64" s="7" t="s">
        <v>2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4">
        <f t="shared" si="0"/>
        <v>447</v>
      </c>
      <c r="Q64" s="1" t="s">
        <v>14</v>
      </c>
      <c r="R64" s="44">
        <v>100</v>
      </c>
      <c r="S64" s="47">
        <v>300</v>
      </c>
    </row>
    <row r="65" spans="1:20" x14ac:dyDescent="0.25">
      <c r="A65" s="2">
        <v>62</v>
      </c>
      <c r="D65" s="9" t="s">
        <v>72</v>
      </c>
      <c r="E65" s="10"/>
      <c r="F65" s="10"/>
      <c r="G65" s="11"/>
      <c r="H65" s="12">
        <f>'KASIM 3 HAFTA '!P65</f>
        <v>315</v>
      </c>
      <c r="I65" s="7" t="s">
        <v>2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4">
        <f t="shared" si="0"/>
        <v>315</v>
      </c>
      <c r="Q65" s="1" t="s">
        <v>14</v>
      </c>
      <c r="R65" s="44">
        <v>100</v>
      </c>
      <c r="S65" s="47">
        <v>300</v>
      </c>
    </row>
    <row r="66" spans="1:20" x14ac:dyDescent="0.25">
      <c r="A66" s="2">
        <v>63</v>
      </c>
      <c r="D66" s="16" t="s">
        <v>63</v>
      </c>
      <c r="E66" s="17"/>
      <c r="F66" s="17"/>
      <c r="G66" s="18"/>
      <c r="H66" s="12">
        <f>'KASIM 3 HAFTA '!P66</f>
        <v>350</v>
      </c>
      <c r="I66" s="7" t="s">
        <v>2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  <c r="P66" s="4">
        <f t="shared" si="0"/>
        <v>350</v>
      </c>
      <c r="Q66" s="1" t="s">
        <v>14</v>
      </c>
      <c r="R66" s="44">
        <v>100</v>
      </c>
      <c r="S66" s="47">
        <v>300</v>
      </c>
    </row>
    <row r="67" spans="1:20" x14ac:dyDescent="0.25">
      <c r="A67" s="2">
        <v>64</v>
      </c>
      <c r="D67" s="9" t="s">
        <v>77</v>
      </c>
      <c r="E67" s="10"/>
      <c r="F67" s="10"/>
      <c r="G67" s="11"/>
      <c r="H67" s="12">
        <f>'KASIM 3 HAFTA '!P67</f>
        <v>1162</v>
      </c>
      <c r="I67" s="7" t="s">
        <v>2</v>
      </c>
      <c r="J67" s="3">
        <v>750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  <c r="P67" s="4">
        <f t="shared" si="0"/>
        <v>1912</v>
      </c>
      <c r="Q67" s="1" t="s">
        <v>14</v>
      </c>
      <c r="R67" s="44">
        <v>100</v>
      </c>
      <c r="S67" s="47">
        <v>300</v>
      </c>
    </row>
    <row r="68" spans="1:20" x14ac:dyDescent="0.25">
      <c r="A68" s="2">
        <v>65</v>
      </c>
      <c r="D68" s="16" t="s">
        <v>87</v>
      </c>
      <c r="E68" s="17"/>
      <c r="F68" s="17"/>
      <c r="G68" s="18"/>
      <c r="H68" s="12">
        <v>511</v>
      </c>
      <c r="I68" s="7" t="s">
        <v>2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20</v>
      </c>
      <c r="P68" s="4">
        <f t="shared" ref="P68:P84" si="1">+H68+J68-K68-L68-M68-N68-O68</f>
        <v>491</v>
      </c>
      <c r="Q68" s="1" t="s">
        <v>14</v>
      </c>
      <c r="R68" s="44">
        <v>0</v>
      </c>
      <c r="S68" s="46"/>
    </row>
    <row r="69" spans="1:20" x14ac:dyDescent="0.25">
      <c r="A69" s="2">
        <v>66</v>
      </c>
      <c r="D69" s="9" t="s">
        <v>64</v>
      </c>
      <c r="E69" s="10"/>
      <c r="F69" s="10"/>
      <c r="G69" s="11"/>
      <c r="H69" s="12">
        <v>317</v>
      </c>
      <c r="I69" s="7" t="s">
        <v>2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4">
        <f t="shared" si="1"/>
        <v>317</v>
      </c>
      <c r="Q69" s="1" t="s">
        <v>14</v>
      </c>
      <c r="R69" s="44">
        <v>50</v>
      </c>
      <c r="S69" s="47">
        <v>100</v>
      </c>
    </row>
    <row r="70" spans="1:20" x14ac:dyDescent="0.25">
      <c r="A70" s="2">
        <v>67</v>
      </c>
      <c r="D70" s="16" t="s">
        <v>65</v>
      </c>
      <c r="E70" s="17"/>
      <c r="F70" s="17"/>
      <c r="G70" s="18"/>
      <c r="H70" s="12">
        <f>'KASIM 3 HAFTA '!P70</f>
        <v>60</v>
      </c>
      <c r="I70" s="7" t="s">
        <v>2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4">
        <f t="shared" si="1"/>
        <v>60</v>
      </c>
      <c r="Q70" s="1" t="s">
        <v>14</v>
      </c>
      <c r="R70" s="44">
        <v>0</v>
      </c>
      <c r="S70" s="46"/>
    </row>
    <row r="71" spans="1:20" x14ac:dyDescent="0.25">
      <c r="A71" s="2">
        <v>68</v>
      </c>
      <c r="D71" s="9" t="s">
        <v>66</v>
      </c>
      <c r="E71" s="10"/>
      <c r="F71" s="10"/>
      <c r="G71" s="11"/>
      <c r="H71" s="12">
        <v>494</v>
      </c>
      <c r="I71" s="7" t="s">
        <v>2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4">
        <f t="shared" si="1"/>
        <v>494</v>
      </c>
      <c r="Q71" s="1" t="s">
        <v>14</v>
      </c>
      <c r="R71" s="44">
        <v>300</v>
      </c>
      <c r="S71" s="47">
        <v>1000</v>
      </c>
    </row>
    <row r="72" spans="1:20" x14ac:dyDescent="0.25">
      <c r="A72" s="2">
        <v>69</v>
      </c>
      <c r="D72" s="19" t="s">
        <v>86</v>
      </c>
      <c r="E72" s="20"/>
      <c r="F72" s="20"/>
      <c r="G72" s="21"/>
      <c r="H72" s="12">
        <f>'KASIM 3 HAFTA '!P72</f>
        <v>0</v>
      </c>
      <c r="I72" s="7" t="s">
        <v>2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  <c r="P72" s="4">
        <f t="shared" si="1"/>
        <v>0</v>
      </c>
      <c r="Q72" s="1" t="s">
        <v>14</v>
      </c>
      <c r="R72" s="44">
        <v>50</v>
      </c>
      <c r="S72" s="47">
        <v>150</v>
      </c>
    </row>
    <row r="73" spans="1:20" x14ac:dyDescent="0.25">
      <c r="A73" s="2">
        <v>70</v>
      </c>
      <c r="D73" s="22" t="s">
        <v>74</v>
      </c>
      <c r="E73" s="10"/>
      <c r="F73" s="10"/>
      <c r="G73" s="11"/>
      <c r="H73" s="12">
        <v>191.5</v>
      </c>
      <c r="I73" s="8" t="s">
        <v>75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4">
        <f t="shared" si="1"/>
        <v>191.5</v>
      </c>
      <c r="Q73" s="1" t="s">
        <v>91</v>
      </c>
      <c r="R73" s="44">
        <v>65</v>
      </c>
      <c r="S73" s="47">
        <v>150</v>
      </c>
    </row>
    <row r="74" spans="1:20" x14ac:dyDescent="0.25">
      <c r="A74" s="2">
        <v>71</v>
      </c>
      <c r="C74" s="1" t="s">
        <v>14</v>
      </c>
      <c r="D74" s="22" t="s">
        <v>76</v>
      </c>
      <c r="E74" s="10"/>
      <c r="F74" s="10"/>
      <c r="G74" s="11"/>
      <c r="H74" s="12">
        <v>114</v>
      </c>
      <c r="I74" s="8" t="s">
        <v>2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4">
        <f t="shared" si="1"/>
        <v>114</v>
      </c>
      <c r="Q74" s="1" t="s">
        <v>14</v>
      </c>
      <c r="R74" s="44">
        <v>50</v>
      </c>
      <c r="S74" s="47">
        <v>100</v>
      </c>
    </row>
    <row r="75" spans="1:20" x14ac:dyDescent="0.25">
      <c r="A75" s="2">
        <v>72</v>
      </c>
      <c r="D75" s="25" t="s">
        <v>114</v>
      </c>
      <c r="H75" s="12">
        <v>167</v>
      </c>
      <c r="I75" s="30" t="s">
        <v>2</v>
      </c>
      <c r="J75" s="3">
        <v>120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4">
        <f t="shared" si="1"/>
        <v>287</v>
      </c>
      <c r="Q75" s="1" t="s">
        <v>14</v>
      </c>
      <c r="R75" s="44">
        <v>50</v>
      </c>
      <c r="S75" s="47">
        <v>100</v>
      </c>
    </row>
    <row r="76" spans="1:20" x14ac:dyDescent="0.25">
      <c r="A76" s="2">
        <v>73</v>
      </c>
      <c r="D76" s="26" t="s">
        <v>80</v>
      </c>
      <c r="E76" s="27"/>
      <c r="F76" s="27"/>
      <c r="G76" s="28"/>
      <c r="H76" s="12">
        <v>33</v>
      </c>
      <c r="I76" s="8" t="s">
        <v>2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1</v>
      </c>
      <c r="P76" s="4">
        <f t="shared" si="1"/>
        <v>32</v>
      </c>
      <c r="Q76" s="1" t="s">
        <v>14</v>
      </c>
      <c r="R76" s="44">
        <v>0</v>
      </c>
      <c r="S76" s="46"/>
    </row>
    <row r="77" spans="1:20" x14ac:dyDescent="0.25">
      <c r="A77" s="2">
        <v>74</v>
      </c>
      <c r="D77" s="26" t="s">
        <v>84</v>
      </c>
      <c r="E77" s="27"/>
      <c r="F77" s="27"/>
      <c r="G77" s="28"/>
      <c r="H77" s="12">
        <f>'KASIM 3 HAFTA '!P77</f>
        <v>50</v>
      </c>
      <c r="I77" s="8" t="s">
        <v>2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4">
        <f t="shared" si="1"/>
        <v>50</v>
      </c>
      <c r="Q77" s="1" t="s">
        <v>14</v>
      </c>
      <c r="R77" s="44">
        <v>100</v>
      </c>
      <c r="S77" s="47">
        <v>200</v>
      </c>
    </row>
    <row r="78" spans="1:20" x14ac:dyDescent="0.25">
      <c r="A78" s="2">
        <v>75</v>
      </c>
      <c r="D78" s="26" t="s">
        <v>85</v>
      </c>
      <c r="E78" s="27"/>
      <c r="F78" s="27"/>
      <c r="G78" s="28"/>
      <c r="H78" s="12">
        <f>'KASIM 3 HAFTA '!P78</f>
        <v>0</v>
      </c>
      <c r="I78" s="8" t="s">
        <v>2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  <c r="P78" s="4">
        <f t="shared" si="1"/>
        <v>0</v>
      </c>
      <c r="R78" s="44">
        <v>0</v>
      </c>
      <c r="S78" s="46"/>
    </row>
    <row r="79" spans="1:20" x14ac:dyDescent="0.25">
      <c r="A79" s="2">
        <v>76</v>
      </c>
      <c r="D79" s="37" t="s">
        <v>99</v>
      </c>
      <c r="E79" s="17"/>
      <c r="F79" s="33"/>
      <c r="G79" s="33"/>
      <c r="H79" s="12">
        <v>96</v>
      </c>
      <c r="I79" s="8" t="s">
        <v>2</v>
      </c>
      <c r="J79" s="3">
        <v>0</v>
      </c>
      <c r="K79" s="3">
        <v>0</v>
      </c>
      <c r="L79" s="3">
        <v>25</v>
      </c>
      <c r="M79" s="3">
        <v>0</v>
      </c>
      <c r="N79" s="3">
        <v>25</v>
      </c>
      <c r="O79" s="3">
        <v>0</v>
      </c>
      <c r="P79" s="4">
        <f t="shared" si="1"/>
        <v>46</v>
      </c>
      <c r="Q79" s="1" t="s">
        <v>14</v>
      </c>
      <c r="R79" s="44">
        <v>100</v>
      </c>
      <c r="S79" s="47">
        <v>500</v>
      </c>
      <c r="T79" t="s">
        <v>75</v>
      </c>
    </row>
    <row r="80" spans="1:20" x14ac:dyDescent="0.25">
      <c r="A80" s="2">
        <v>77</v>
      </c>
      <c r="D80" s="22" t="s">
        <v>100</v>
      </c>
      <c r="E80" s="10"/>
      <c r="F80" s="10"/>
      <c r="G80" s="28"/>
      <c r="H80" s="12">
        <f>'KASIM 3 HAFTA '!P80</f>
        <v>40</v>
      </c>
      <c r="I80" s="8" t="s">
        <v>2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  <c r="P80" s="4">
        <f t="shared" si="1"/>
        <v>40</v>
      </c>
      <c r="R80" s="44">
        <v>0</v>
      </c>
      <c r="S80" s="46"/>
    </row>
    <row r="81" spans="1:19" x14ac:dyDescent="0.25">
      <c r="A81" s="2">
        <v>78</v>
      </c>
      <c r="D81" s="37" t="s">
        <v>113</v>
      </c>
      <c r="E81" s="17"/>
      <c r="F81" s="17"/>
      <c r="G81" s="33"/>
      <c r="H81" s="12">
        <v>120</v>
      </c>
      <c r="I81" s="8" t="s">
        <v>2</v>
      </c>
      <c r="J81" s="3">
        <v>0</v>
      </c>
      <c r="K81" s="3">
        <v>0</v>
      </c>
      <c r="L81" s="3">
        <v>12</v>
      </c>
      <c r="M81" s="3">
        <v>6</v>
      </c>
      <c r="N81" s="3">
        <v>18</v>
      </c>
      <c r="O81" s="3">
        <v>8</v>
      </c>
      <c r="P81" s="4">
        <f t="shared" si="1"/>
        <v>76</v>
      </c>
      <c r="Q81" s="51" t="s">
        <v>112</v>
      </c>
      <c r="R81" s="44">
        <v>30</v>
      </c>
      <c r="S81" s="47">
        <v>100</v>
      </c>
    </row>
    <row r="82" spans="1:19" x14ac:dyDescent="0.25">
      <c r="A82" s="2">
        <v>79</v>
      </c>
      <c r="D82" s="22" t="s">
        <v>103</v>
      </c>
      <c r="E82" s="10"/>
      <c r="F82" s="10"/>
      <c r="G82" s="28"/>
      <c r="H82" s="12">
        <v>228</v>
      </c>
      <c r="I82" s="8" t="s">
        <v>2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  <c r="P82" s="4">
        <f t="shared" si="1"/>
        <v>228</v>
      </c>
      <c r="R82" s="44">
        <v>60</v>
      </c>
      <c r="S82" s="47">
        <v>100</v>
      </c>
    </row>
    <row r="83" spans="1:19" x14ac:dyDescent="0.25">
      <c r="A83" s="8">
        <v>80</v>
      </c>
      <c r="D83" s="49" t="s">
        <v>108</v>
      </c>
      <c r="E83" s="20"/>
      <c r="F83" s="20"/>
      <c r="G83" s="20"/>
      <c r="H83" s="12">
        <v>3000</v>
      </c>
      <c r="I83" s="8" t="s">
        <v>110</v>
      </c>
      <c r="J83" s="3">
        <v>0</v>
      </c>
      <c r="K83" s="3">
        <v>0</v>
      </c>
      <c r="L83" s="3">
        <v>0</v>
      </c>
      <c r="M83" s="3">
        <v>0</v>
      </c>
      <c r="N83" s="3">
        <v>15</v>
      </c>
      <c r="O83" s="3">
        <v>0</v>
      </c>
      <c r="P83" s="4">
        <f t="shared" si="1"/>
        <v>2985</v>
      </c>
      <c r="R83" s="43">
        <v>1000</v>
      </c>
      <c r="S83" s="46">
        <v>10000</v>
      </c>
    </row>
    <row r="84" spans="1:19" x14ac:dyDescent="0.25">
      <c r="A84" s="48">
        <v>81</v>
      </c>
      <c r="B84" s="41"/>
      <c r="C84" s="41"/>
      <c r="D84" s="22" t="s">
        <v>115</v>
      </c>
      <c r="E84" s="10"/>
      <c r="F84" s="10"/>
      <c r="G84" s="11"/>
      <c r="H84" s="23">
        <v>20</v>
      </c>
      <c r="I84" s="8" t="s">
        <v>2</v>
      </c>
      <c r="J84" s="3">
        <v>210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4">
        <f t="shared" si="1"/>
        <v>230</v>
      </c>
      <c r="R84" s="4">
        <v>50</v>
      </c>
      <c r="S84" s="4">
        <v>100</v>
      </c>
    </row>
  </sheetData>
  <pageMargins left="0.75" right="0.75" top="1" bottom="1" header="0.5" footer="0.5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T85"/>
  <sheetViews>
    <sheetView workbookViewId="0">
      <selection activeCell="O1" sqref="O1"/>
    </sheetView>
  </sheetViews>
  <sheetFormatPr defaultRowHeight="15" x14ac:dyDescent="0.25"/>
  <cols>
    <col min="1" max="1" width="5.5703125" customWidth="1"/>
    <col min="2" max="3" width="9.140625" hidden="1" customWidth="1"/>
    <col min="11" max="15" width="10.140625" bestFit="1" customWidth="1"/>
    <col min="17" max="17" width="4.85546875" customWidth="1"/>
    <col min="18" max="18" width="10" customWidth="1"/>
    <col min="19" max="19" width="11.140625" customWidth="1"/>
  </cols>
  <sheetData>
    <row r="1" spans="1:20" x14ac:dyDescent="0.25">
      <c r="G1" s="1"/>
      <c r="P1">
        <f>+H1+J1-K1-L1-M1-N1-O1</f>
        <v>0</v>
      </c>
    </row>
    <row r="2" spans="1:20" x14ac:dyDescent="0.25">
      <c r="A2" t="s">
        <v>14</v>
      </c>
      <c r="D2" t="s">
        <v>117</v>
      </c>
      <c r="O2" s="38" t="s">
        <v>14</v>
      </c>
      <c r="S2" s="50">
        <v>44837</v>
      </c>
    </row>
    <row r="3" spans="1:20" x14ac:dyDescent="0.25">
      <c r="A3" s="1" t="s">
        <v>15</v>
      </c>
      <c r="D3" s="9" t="s">
        <v>17</v>
      </c>
      <c r="E3" s="10"/>
      <c r="F3" s="10"/>
      <c r="G3" s="11"/>
      <c r="H3" s="12" t="s">
        <v>18</v>
      </c>
      <c r="I3" s="4" t="s">
        <v>19</v>
      </c>
      <c r="J3" s="3" t="s">
        <v>20</v>
      </c>
      <c r="K3" s="5">
        <v>44907</v>
      </c>
      <c r="L3" s="6">
        <v>44908</v>
      </c>
      <c r="M3" s="5">
        <v>44909</v>
      </c>
      <c r="N3" s="5">
        <v>44910</v>
      </c>
      <c r="O3" s="6">
        <v>44911</v>
      </c>
      <c r="P3" s="3" t="s">
        <v>21</v>
      </c>
      <c r="R3" s="42" t="s">
        <v>105</v>
      </c>
      <c r="S3" s="45" t="s">
        <v>104</v>
      </c>
    </row>
    <row r="4" spans="1:20" x14ac:dyDescent="0.25">
      <c r="A4" s="2">
        <v>1</v>
      </c>
      <c r="D4" s="13" t="s">
        <v>16</v>
      </c>
      <c r="E4" s="14"/>
      <c r="F4" s="14"/>
      <c r="G4" s="15"/>
      <c r="H4" s="12">
        <v>113</v>
      </c>
      <c r="I4" s="7" t="s">
        <v>1</v>
      </c>
      <c r="J4" s="3">
        <v>0</v>
      </c>
      <c r="K4" s="3">
        <v>0</v>
      </c>
      <c r="L4" s="3">
        <v>0</v>
      </c>
      <c r="M4" s="3">
        <v>51</v>
      </c>
      <c r="N4" s="3">
        <v>0</v>
      </c>
      <c r="O4" s="3">
        <v>0</v>
      </c>
      <c r="P4" s="4">
        <f t="shared" ref="P4:P67" si="0">+H4+J4-K4-L4-M4-N4-O4</f>
        <v>62</v>
      </c>
      <c r="Q4" t="s">
        <v>67</v>
      </c>
      <c r="R4" s="43">
        <v>100</v>
      </c>
      <c r="S4" s="46">
        <v>500</v>
      </c>
      <c r="T4" t="s">
        <v>75</v>
      </c>
    </row>
    <row r="5" spans="1:20" x14ac:dyDescent="0.25">
      <c r="A5" s="2">
        <v>2</v>
      </c>
      <c r="D5" s="9" t="s">
        <v>22</v>
      </c>
      <c r="E5" s="10"/>
      <c r="F5" s="10"/>
      <c r="G5" s="11"/>
      <c r="H5" s="12">
        <f>'KASIM 3 HAFTA '!P5</f>
        <v>28</v>
      </c>
      <c r="I5" s="7" t="s">
        <v>2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4">
        <f t="shared" si="0"/>
        <v>28</v>
      </c>
      <c r="Q5" s="1" t="s">
        <v>14</v>
      </c>
      <c r="R5" s="44">
        <v>6</v>
      </c>
      <c r="S5" s="47">
        <v>10</v>
      </c>
    </row>
    <row r="6" spans="1:20" x14ac:dyDescent="0.25">
      <c r="A6" s="2">
        <v>3</v>
      </c>
      <c r="D6" s="16" t="s">
        <v>23</v>
      </c>
      <c r="E6" s="17"/>
      <c r="F6" s="17"/>
      <c r="G6" s="18"/>
      <c r="H6" s="12">
        <v>34</v>
      </c>
      <c r="I6" s="7" t="s">
        <v>2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4">
        <f t="shared" si="0"/>
        <v>34</v>
      </c>
      <c r="Q6" s="1" t="s">
        <v>14</v>
      </c>
      <c r="R6" s="44">
        <v>6</v>
      </c>
      <c r="S6" s="47">
        <v>10</v>
      </c>
    </row>
    <row r="7" spans="1:20" x14ac:dyDescent="0.25">
      <c r="A7" s="2">
        <v>4</v>
      </c>
      <c r="D7" s="9" t="s">
        <v>3</v>
      </c>
      <c r="E7" s="10"/>
      <c r="F7" s="10"/>
      <c r="G7" s="11"/>
      <c r="H7" s="12">
        <f>'KASIM 3 HAFTA '!P7</f>
        <v>58</v>
      </c>
      <c r="I7" s="7" t="s">
        <v>2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4">
        <f t="shared" si="0"/>
        <v>58</v>
      </c>
      <c r="Q7" s="1" t="s">
        <v>14</v>
      </c>
      <c r="R7" s="44">
        <v>6</v>
      </c>
      <c r="S7" s="47">
        <v>10</v>
      </c>
    </row>
    <row r="8" spans="1:20" x14ac:dyDescent="0.25">
      <c r="A8" s="2">
        <v>5</v>
      </c>
      <c r="D8" s="16" t="s">
        <v>4</v>
      </c>
      <c r="E8" s="17"/>
      <c r="F8" s="17"/>
      <c r="G8" s="18"/>
      <c r="H8" s="12">
        <v>112</v>
      </c>
      <c r="I8" s="7" t="s">
        <v>2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4">
        <f t="shared" si="0"/>
        <v>112</v>
      </c>
      <c r="Q8" s="1" t="s">
        <v>14</v>
      </c>
      <c r="R8" s="44">
        <v>100</v>
      </c>
      <c r="S8" s="47">
        <v>400</v>
      </c>
    </row>
    <row r="9" spans="1:20" x14ac:dyDescent="0.25">
      <c r="A9" s="2">
        <v>6</v>
      </c>
      <c r="D9" s="9" t="s">
        <v>24</v>
      </c>
      <c r="E9" s="10"/>
      <c r="F9" s="10"/>
      <c r="G9" s="11"/>
      <c r="H9" s="12">
        <v>40</v>
      </c>
      <c r="I9" s="7" t="s">
        <v>2</v>
      </c>
      <c r="J9" s="3">
        <v>0</v>
      </c>
      <c r="K9" s="3">
        <v>20</v>
      </c>
      <c r="L9" s="3">
        <v>0</v>
      </c>
      <c r="M9" s="3">
        <v>0</v>
      </c>
      <c r="N9" s="3">
        <v>0</v>
      </c>
      <c r="O9" s="3">
        <v>0</v>
      </c>
      <c r="P9" s="4">
        <f t="shared" si="0"/>
        <v>20</v>
      </c>
      <c r="Q9" s="1" t="s">
        <v>14</v>
      </c>
      <c r="R9" s="44">
        <v>60</v>
      </c>
      <c r="S9" s="47">
        <v>200</v>
      </c>
    </row>
    <row r="10" spans="1:20" x14ac:dyDescent="0.25">
      <c r="A10" s="2">
        <v>7</v>
      </c>
      <c r="D10" s="16" t="s">
        <v>101</v>
      </c>
      <c r="E10" s="17"/>
      <c r="F10" s="17"/>
      <c r="G10" s="18"/>
      <c r="H10" s="12">
        <v>1715</v>
      </c>
      <c r="I10" s="7" t="s">
        <v>2</v>
      </c>
      <c r="J10" s="3">
        <v>0</v>
      </c>
      <c r="K10" s="3">
        <v>100</v>
      </c>
      <c r="L10" s="3">
        <v>0</v>
      </c>
      <c r="M10" s="3">
        <v>0</v>
      </c>
      <c r="N10" s="3">
        <v>0</v>
      </c>
      <c r="O10" s="3">
        <v>36</v>
      </c>
      <c r="P10" s="4">
        <f t="shared" si="0"/>
        <v>1579</v>
      </c>
      <c r="Q10" s="1" t="s">
        <v>14</v>
      </c>
      <c r="R10" s="44">
        <v>200</v>
      </c>
      <c r="S10" s="47">
        <v>500</v>
      </c>
    </row>
    <row r="11" spans="1:20" x14ac:dyDescent="0.25">
      <c r="A11" s="2">
        <v>8</v>
      </c>
      <c r="D11" s="9" t="s">
        <v>25</v>
      </c>
      <c r="E11" s="10"/>
      <c r="F11" s="10"/>
      <c r="G11" s="11"/>
      <c r="H11" s="12">
        <f>'KASIM 3 HAFTA '!P11</f>
        <v>496</v>
      </c>
      <c r="I11" s="7" t="s">
        <v>2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4">
        <f t="shared" si="0"/>
        <v>496</v>
      </c>
      <c r="Q11" s="1" t="s">
        <v>14</v>
      </c>
      <c r="R11" s="44">
        <v>0</v>
      </c>
      <c r="S11" s="47">
        <v>0</v>
      </c>
    </row>
    <row r="12" spans="1:20" x14ac:dyDescent="0.25">
      <c r="A12" s="2">
        <v>9</v>
      </c>
      <c r="D12" s="16" t="s">
        <v>26</v>
      </c>
      <c r="E12" s="17"/>
      <c r="F12" s="17"/>
      <c r="G12" s="18"/>
      <c r="H12" s="12">
        <f>'KASIM 3 HAFTA '!P12</f>
        <v>60</v>
      </c>
      <c r="I12" s="7" t="s">
        <v>2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4">
        <f t="shared" si="0"/>
        <v>60</v>
      </c>
      <c r="Q12" s="1" t="s">
        <v>14</v>
      </c>
      <c r="R12" s="44">
        <v>200</v>
      </c>
      <c r="S12" s="47">
        <v>400</v>
      </c>
    </row>
    <row r="13" spans="1:20" x14ac:dyDescent="0.25">
      <c r="A13" s="2">
        <v>10</v>
      </c>
      <c r="D13" s="9" t="s">
        <v>6</v>
      </c>
      <c r="E13" s="10"/>
      <c r="F13" s="10"/>
      <c r="G13" s="11"/>
      <c r="H13" s="12">
        <f>'KASIM 3 HAFTA '!P13</f>
        <v>42</v>
      </c>
      <c r="I13" s="7" t="s">
        <v>2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4">
        <f t="shared" si="0"/>
        <v>42</v>
      </c>
      <c r="Q13" s="1" t="s">
        <v>14</v>
      </c>
      <c r="R13" s="44">
        <v>0</v>
      </c>
      <c r="S13" s="46"/>
    </row>
    <row r="14" spans="1:20" x14ac:dyDescent="0.25">
      <c r="A14" s="2">
        <v>11</v>
      </c>
      <c r="D14" s="16" t="s">
        <v>7</v>
      </c>
      <c r="E14" s="17"/>
      <c r="F14" s="17"/>
      <c r="G14" s="18"/>
      <c r="H14" s="12">
        <f>'KASIM 3 HAFTA '!P14</f>
        <v>0</v>
      </c>
      <c r="I14" s="7" t="s">
        <v>2</v>
      </c>
      <c r="J14" s="3">
        <v>40</v>
      </c>
      <c r="K14" s="3">
        <v>20</v>
      </c>
      <c r="L14" s="3">
        <v>2</v>
      </c>
      <c r="M14" s="3">
        <v>8</v>
      </c>
      <c r="N14" s="3">
        <v>0</v>
      </c>
      <c r="O14" s="3">
        <v>0</v>
      </c>
      <c r="P14" s="4">
        <f t="shared" si="0"/>
        <v>10</v>
      </c>
      <c r="Q14" s="1" t="s">
        <v>14</v>
      </c>
      <c r="R14" s="44">
        <v>20</v>
      </c>
      <c r="S14" s="47">
        <v>50</v>
      </c>
    </row>
    <row r="15" spans="1:20" x14ac:dyDescent="0.25">
      <c r="A15" s="2">
        <v>12</v>
      </c>
      <c r="D15" s="9" t="s">
        <v>69</v>
      </c>
      <c r="E15" s="10"/>
      <c r="F15" s="10"/>
      <c r="G15" s="11"/>
      <c r="H15" s="12">
        <f>'KASIM 3 HAFTA '!P15</f>
        <v>26</v>
      </c>
      <c r="I15" s="7" t="s">
        <v>2</v>
      </c>
      <c r="J15" s="3">
        <v>0</v>
      </c>
      <c r="K15" s="3">
        <v>2</v>
      </c>
      <c r="L15" s="3">
        <v>0</v>
      </c>
      <c r="M15" s="3">
        <v>0</v>
      </c>
      <c r="N15" s="3">
        <v>0</v>
      </c>
      <c r="O15" s="3">
        <v>0</v>
      </c>
      <c r="P15" s="4">
        <f t="shared" si="0"/>
        <v>24</v>
      </c>
      <c r="Q15" s="1" t="s">
        <v>14</v>
      </c>
      <c r="R15" s="44">
        <v>100</v>
      </c>
      <c r="S15" s="47">
        <v>200</v>
      </c>
    </row>
    <row r="16" spans="1:20" x14ac:dyDescent="0.25">
      <c r="A16" s="2">
        <v>13</v>
      </c>
      <c r="D16" s="16" t="s">
        <v>27</v>
      </c>
      <c r="E16" s="17"/>
      <c r="F16" s="17"/>
      <c r="G16" s="18"/>
      <c r="H16" s="12">
        <f>'KASIM 3 HAFTA '!P16</f>
        <v>90</v>
      </c>
      <c r="I16" s="7" t="s">
        <v>2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4">
        <f t="shared" si="0"/>
        <v>90</v>
      </c>
      <c r="Q16" s="1" t="s">
        <v>14</v>
      </c>
      <c r="R16" s="44">
        <v>0</v>
      </c>
      <c r="S16" s="46"/>
    </row>
    <row r="17" spans="1:19" x14ac:dyDescent="0.25">
      <c r="A17" s="2">
        <v>14</v>
      </c>
      <c r="D17" s="9" t="s">
        <v>73</v>
      </c>
      <c r="E17" s="10"/>
      <c r="F17" s="10"/>
      <c r="G17" s="11"/>
      <c r="H17" s="12">
        <f>'KASIM 3 HAFTA '!P17</f>
        <v>800</v>
      </c>
      <c r="I17" s="7" t="s">
        <v>2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4">
        <f t="shared" si="0"/>
        <v>800</v>
      </c>
      <c r="Q17" s="1" t="s">
        <v>14</v>
      </c>
      <c r="R17" s="44">
        <v>0</v>
      </c>
      <c r="S17" s="46"/>
    </row>
    <row r="18" spans="1:19" x14ac:dyDescent="0.25">
      <c r="A18" s="2">
        <v>15</v>
      </c>
      <c r="D18" s="16" t="s">
        <v>28</v>
      </c>
      <c r="E18" s="17"/>
      <c r="F18" s="17"/>
      <c r="G18" s="18"/>
      <c r="H18" s="12">
        <v>54</v>
      </c>
      <c r="I18" s="7" t="s">
        <v>2</v>
      </c>
      <c r="J18" s="3">
        <v>0</v>
      </c>
      <c r="K18" s="3">
        <v>0</v>
      </c>
      <c r="L18" s="3">
        <v>6</v>
      </c>
      <c r="M18" s="3">
        <v>0</v>
      </c>
      <c r="N18" s="3">
        <v>0</v>
      </c>
      <c r="O18" s="3">
        <v>2</v>
      </c>
      <c r="P18" s="4">
        <f t="shared" si="0"/>
        <v>46</v>
      </c>
      <c r="Q18" s="1" t="s">
        <v>14</v>
      </c>
      <c r="R18" s="44">
        <v>20</v>
      </c>
      <c r="S18" s="47">
        <v>50</v>
      </c>
    </row>
    <row r="19" spans="1:19" x14ac:dyDescent="0.25">
      <c r="A19" s="2">
        <v>16</v>
      </c>
      <c r="D19" s="9" t="s">
        <v>29</v>
      </c>
      <c r="E19" s="10"/>
      <c r="F19" s="10"/>
      <c r="G19" s="11"/>
      <c r="H19" s="12">
        <v>54</v>
      </c>
      <c r="I19" s="7" t="s">
        <v>2</v>
      </c>
      <c r="J19" s="3">
        <v>0</v>
      </c>
      <c r="K19" s="3">
        <v>0</v>
      </c>
      <c r="L19" s="3">
        <v>6</v>
      </c>
      <c r="M19" s="3">
        <v>0</v>
      </c>
      <c r="N19" s="3">
        <v>0</v>
      </c>
      <c r="O19" s="3">
        <v>2</v>
      </c>
      <c r="P19" s="4">
        <f t="shared" si="0"/>
        <v>46</v>
      </c>
      <c r="Q19" s="1" t="s">
        <v>14</v>
      </c>
      <c r="R19" s="44">
        <v>20</v>
      </c>
      <c r="S19" s="47">
        <v>50</v>
      </c>
    </row>
    <row r="20" spans="1:19" x14ac:dyDescent="0.25">
      <c r="A20" s="2">
        <v>17</v>
      </c>
      <c r="D20" s="16" t="s">
        <v>30</v>
      </c>
      <c r="E20" s="17"/>
      <c r="F20" s="17"/>
      <c r="G20" s="18"/>
      <c r="H20" s="12">
        <v>86</v>
      </c>
      <c r="I20" s="7" t="s">
        <v>2</v>
      </c>
      <c r="J20" s="3">
        <v>0</v>
      </c>
      <c r="K20" s="3">
        <v>0</v>
      </c>
      <c r="L20" s="3">
        <v>6</v>
      </c>
      <c r="M20" s="3">
        <v>0</v>
      </c>
      <c r="N20" s="3">
        <v>0</v>
      </c>
      <c r="O20" s="3">
        <v>2</v>
      </c>
      <c r="P20" s="4">
        <f t="shared" si="0"/>
        <v>78</v>
      </c>
      <c r="Q20" s="1" t="s">
        <v>14</v>
      </c>
      <c r="R20" s="44">
        <v>20</v>
      </c>
      <c r="S20" s="47">
        <v>50</v>
      </c>
    </row>
    <row r="21" spans="1:19" x14ac:dyDescent="0.25">
      <c r="A21" s="2">
        <v>18</v>
      </c>
      <c r="D21" s="9" t="s">
        <v>31</v>
      </c>
      <c r="E21" s="10"/>
      <c r="F21" s="10"/>
      <c r="G21" s="11"/>
      <c r="H21" s="12">
        <f>'KASIM 3 HAFTA '!P21</f>
        <v>33</v>
      </c>
      <c r="I21" s="7" t="s">
        <v>2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4">
        <f t="shared" si="0"/>
        <v>33</v>
      </c>
      <c r="Q21" s="1" t="s">
        <v>14</v>
      </c>
      <c r="R21" s="44">
        <v>0</v>
      </c>
      <c r="S21" s="46"/>
    </row>
    <row r="22" spans="1:19" x14ac:dyDescent="0.25">
      <c r="A22" s="2">
        <v>19</v>
      </c>
      <c r="D22" s="55" t="s">
        <v>8</v>
      </c>
      <c r="E22" s="56"/>
      <c r="F22" s="56"/>
      <c r="G22" s="57"/>
      <c r="H22" s="58">
        <v>180</v>
      </c>
      <c r="I22" s="59" t="s">
        <v>1</v>
      </c>
      <c r="J22" s="47">
        <v>100</v>
      </c>
      <c r="K22" s="47">
        <v>90</v>
      </c>
      <c r="L22" s="47">
        <v>0</v>
      </c>
      <c r="M22" s="47">
        <v>0</v>
      </c>
      <c r="N22" s="47">
        <v>10</v>
      </c>
      <c r="O22" s="47">
        <v>0</v>
      </c>
      <c r="P22" s="46">
        <f t="shared" si="0"/>
        <v>180</v>
      </c>
      <c r="Q22" s="1" t="s">
        <v>14</v>
      </c>
      <c r="R22" s="44">
        <v>50</v>
      </c>
      <c r="S22" s="47">
        <v>200</v>
      </c>
    </row>
    <row r="23" spans="1:19" x14ac:dyDescent="0.25">
      <c r="A23" s="2">
        <v>20</v>
      </c>
      <c r="D23" s="9" t="s">
        <v>32</v>
      </c>
      <c r="E23" s="10"/>
      <c r="F23" s="10"/>
      <c r="G23" s="11"/>
      <c r="H23" s="12">
        <f>'KASIM 3 HAFTA '!P23</f>
        <v>2000</v>
      </c>
      <c r="I23" s="7" t="s">
        <v>2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4">
        <f t="shared" si="0"/>
        <v>2000</v>
      </c>
      <c r="Q23" s="1" t="s">
        <v>14</v>
      </c>
      <c r="R23" s="44">
        <v>0</v>
      </c>
      <c r="S23" s="46"/>
    </row>
    <row r="24" spans="1:19" x14ac:dyDescent="0.25">
      <c r="A24" s="2">
        <v>21</v>
      </c>
      <c r="D24" s="16" t="s">
        <v>33</v>
      </c>
      <c r="E24" s="17"/>
      <c r="F24" s="17"/>
      <c r="G24" s="18"/>
      <c r="H24" s="12">
        <f>'KASIM 3 HAFTA '!P24</f>
        <v>273</v>
      </c>
      <c r="I24" s="7" t="s">
        <v>2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4">
        <f t="shared" si="0"/>
        <v>273</v>
      </c>
      <c r="Q24" s="1" t="s">
        <v>14</v>
      </c>
      <c r="R24" s="44">
        <v>0</v>
      </c>
      <c r="S24" s="46"/>
    </row>
    <row r="25" spans="1:19" x14ac:dyDescent="0.25">
      <c r="A25" s="2">
        <v>22</v>
      </c>
      <c r="D25" s="9" t="s">
        <v>34</v>
      </c>
      <c r="E25" s="10"/>
      <c r="F25" s="10"/>
      <c r="G25" s="11"/>
      <c r="H25" s="12">
        <f>'KASIM 3 HAFTA '!P25</f>
        <v>40</v>
      </c>
      <c r="I25" s="7" t="s">
        <v>2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4">
        <f t="shared" si="0"/>
        <v>40</v>
      </c>
      <c r="Q25" s="1" t="s">
        <v>14</v>
      </c>
      <c r="R25" s="44">
        <v>0</v>
      </c>
      <c r="S25" s="46"/>
    </row>
    <row r="26" spans="1:19" x14ac:dyDescent="0.25">
      <c r="A26" s="2">
        <v>23</v>
      </c>
      <c r="D26" s="16" t="s">
        <v>82</v>
      </c>
      <c r="E26" s="17"/>
      <c r="F26" s="17"/>
      <c r="G26" s="18"/>
      <c r="H26" s="12">
        <v>164</v>
      </c>
      <c r="I26" s="7" t="s">
        <v>2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4">
        <f t="shared" si="0"/>
        <v>164</v>
      </c>
      <c r="Q26" s="1" t="s">
        <v>14</v>
      </c>
      <c r="R26" s="44">
        <v>20</v>
      </c>
      <c r="S26" s="47">
        <v>50</v>
      </c>
    </row>
    <row r="27" spans="1:19" x14ac:dyDescent="0.25">
      <c r="A27" s="2">
        <v>24</v>
      </c>
      <c r="D27" s="9" t="s">
        <v>81</v>
      </c>
      <c r="E27" s="10"/>
      <c r="F27" s="10"/>
      <c r="G27" s="11"/>
      <c r="H27" s="12">
        <f>'KASIM 3 HAFTA '!P27</f>
        <v>42</v>
      </c>
      <c r="I27" s="7" t="s">
        <v>2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  <c r="P27" s="4">
        <f t="shared" si="0"/>
        <v>42</v>
      </c>
      <c r="Q27" s="1" t="s">
        <v>14</v>
      </c>
      <c r="R27" s="44">
        <v>20</v>
      </c>
      <c r="S27" s="47">
        <v>50</v>
      </c>
    </row>
    <row r="28" spans="1:19" x14ac:dyDescent="0.25">
      <c r="A28" s="2">
        <v>25</v>
      </c>
      <c r="D28" s="16" t="s">
        <v>35</v>
      </c>
      <c r="E28" s="17"/>
      <c r="F28" s="17"/>
      <c r="G28" s="18"/>
      <c r="H28" s="12">
        <v>0</v>
      </c>
      <c r="I28" s="7" t="s">
        <v>2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4">
        <f t="shared" si="0"/>
        <v>0</v>
      </c>
      <c r="Q28" s="1" t="s">
        <v>14</v>
      </c>
      <c r="R28" s="44">
        <v>50</v>
      </c>
      <c r="S28" s="47">
        <v>100</v>
      </c>
    </row>
    <row r="29" spans="1:19" x14ac:dyDescent="0.25">
      <c r="A29" s="2">
        <v>26</v>
      </c>
      <c r="D29" s="9" t="s">
        <v>36</v>
      </c>
      <c r="E29" s="10"/>
      <c r="F29" s="10"/>
      <c r="G29" s="11"/>
      <c r="H29" s="12">
        <v>25</v>
      </c>
      <c r="I29" s="7" t="s">
        <v>2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4">
        <f t="shared" si="0"/>
        <v>25</v>
      </c>
      <c r="Q29" s="1" t="s">
        <v>14</v>
      </c>
      <c r="R29" s="44">
        <v>50</v>
      </c>
      <c r="S29" s="47">
        <v>100</v>
      </c>
    </row>
    <row r="30" spans="1:19" x14ac:dyDescent="0.25">
      <c r="A30" s="2">
        <v>27</v>
      </c>
      <c r="D30" s="16" t="s">
        <v>37</v>
      </c>
      <c r="E30" s="17"/>
      <c r="F30" s="17"/>
      <c r="G30" s="18"/>
      <c r="H30" s="12">
        <v>226</v>
      </c>
      <c r="I30" s="7" t="s">
        <v>2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4">
        <f t="shared" si="0"/>
        <v>226</v>
      </c>
      <c r="Q30" s="1" t="s">
        <v>14</v>
      </c>
      <c r="R30" s="44">
        <v>20</v>
      </c>
      <c r="S30" s="47">
        <v>50</v>
      </c>
    </row>
    <row r="31" spans="1:19" x14ac:dyDescent="0.25">
      <c r="A31" s="2">
        <v>28</v>
      </c>
      <c r="D31" s="9" t="s">
        <v>38</v>
      </c>
      <c r="E31" s="10"/>
      <c r="F31" s="10"/>
      <c r="G31" s="11"/>
      <c r="H31" s="12">
        <v>532</v>
      </c>
      <c r="I31" s="7" t="s">
        <v>2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12</v>
      </c>
      <c r="P31" s="4">
        <f t="shared" si="0"/>
        <v>520</v>
      </c>
      <c r="Q31" s="1" t="s">
        <v>14</v>
      </c>
      <c r="R31" s="44">
        <v>50</v>
      </c>
      <c r="S31" s="47">
        <v>100</v>
      </c>
    </row>
    <row r="32" spans="1:19" x14ac:dyDescent="0.25">
      <c r="A32" s="2">
        <v>29</v>
      </c>
      <c r="D32" s="16" t="s">
        <v>39</v>
      </c>
      <c r="E32" s="17"/>
      <c r="F32" s="17"/>
      <c r="G32" s="18"/>
      <c r="H32" s="12">
        <v>44</v>
      </c>
      <c r="I32" s="7" t="s">
        <v>2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4">
        <f t="shared" si="0"/>
        <v>44</v>
      </c>
      <c r="Q32" s="1" t="s">
        <v>14</v>
      </c>
      <c r="R32" s="44">
        <v>20</v>
      </c>
      <c r="S32" s="47">
        <v>50</v>
      </c>
    </row>
    <row r="33" spans="1:19" x14ac:dyDescent="0.25">
      <c r="A33" s="2">
        <v>30</v>
      </c>
      <c r="D33" s="9" t="s">
        <v>40</v>
      </c>
      <c r="E33" s="10"/>
      <c r="F33" s="10"/>
      <c r="G33" s="11"/>
      <c r="H33" s="12">
        <v>1075</v>
      </c>
      <c r="I33" s="7" t="s">
        <v>2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4">
        <f t="shared" si="0"/>
        <v>1075</v>
      </c>
      <c r="Q33" s="1" t="s">
        <v>14</v>
      </c>
      <c r="R33" s="44">
        <v>0</v>
      </c>
      <c r="S33" s="46"/>
    </row>
    <row r="34" spans="1:19" x14ac:dyDescent="0.25">
      <c r="A34" s="2">
        <v>31</v>
      </c>
      <c r="D34" s="16" t="s">
        <v>9</v>
      </c>
      <c r="E34" s="17"/>
      <c r="F34" s="17"/>
      <c r="G34" s="18"/>
      <c r="H34" s="12">
        <v>524</v>
      </c>
      <c r="I34" s="7" t="s">
        <v>2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4">
        <f t="shared" si="0"/>
        <v>524</v>
      </c>
      <c r="Q34" s="1" t="s">
        <v>14</v>
      </c>
      <c r="R34" s="44">
        <v>50</v>
      </c>
      <c r="S34" s="47">
        <v>100</v>
      </c>
    </row>
    <row r="35" spans="1:19" x14ac:dyDescent="0.25">
      <c r="A35" s="2">
        <v>32</v>
      </c>
      <c r="D35" s="9" t="s">
        <v>83</v>
      </c>
      <c r="E35" s="10"/>
      <c r="F35" s="10"/>
      <c r="G35" s="11"/>
      <c r="H35" s="12">
        <v>90</v>
      </c>
      <c r="I35" s="7" t="s">
        <v>2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4">
        <f t="shared" si="0"/>
        <v>90</v>
      </c>
      <c r="Q35" s="1" t="s">
        <v>14</v>
      </c>
      <c r="R35" s="44">
        <v>20</v>
      </c>
      <c r="S35" s="47">
        <v>50</v>
      </c>
    </row>
    <row r="36" spans="1:19" x14ac:dyDescent="0.25">
      <c r="A36" s="2">
        <v>33</v>
      </c>
      <c r="D36" s="16" t="s">
        <v>70</v>
      </c>
      <c r="E36" s="17"/>
      <c r="F36" s="17"/>
      <c r="G36" s="18"/>
      <c r="H36" s="12">
        <f>'KASIM 3 HAFTA '!P36</f>
        <v>934</v>
      </c>
      <c r="I36" s="7" t="s">
        <v>2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4">
        <f t="shared" si="0"/>
        <v>934</v>
      </c>
      <c r="Q36" s="1" t="s">
        <v>14</v>
      </c>
      <c r="R36" s="44">
        <v>0</v>
      </c>
      <c r="S36" s="46"/>
    </row>
    <row r="37" spans="1:19" x14ac:dyDescent="0.25">
      <c r="A37" s="2">
        <v>34</v>
      </c>
      <c r="D37" s="9" t="s">
        <v>41</v>
      </c>
      <c r="E37" s="10"/>
      <c r="F37" s="10"/>
      <c r="G37" s="11"/>
      <c r="H37" s="12">
        <f>'KASIM 3 HAFTA '!P37</f>
        <v>283</v>
      </c>
      <c r="I37" s="7" t="s">
        <v>2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4">
        <f t="shared" si="0"/>
        <v>283</v>
      </c>
      <c r="Q37" s="1" t="s">
        <v>14</v>
      </c>
      <c r="R37" s="44">
        <v>50</v>
      </c>
      <c r="S37" s="47">
        <v>100</v>
      </c>
    </row>
    <row r="38" spans="1:19" x14ac:dyDescent="0.25">
      <c r="A38" s="2">
        <v>35</v>
      </c>
      <c r="D38" s="16" t="s">
        <v>42</v>
      </c>
      <c r="E38" s="17"/>
      <c r="F38" s="17"/>
      <c r="G38" s="18"/>
      <c r="H38" s="12">
        <f>'KASIM 3 HAFTA '!P38</f>
        <v>287</v>
      </c>
      <c r="I38" s="7" t="s">
        <v>2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4">
        <f t="shared" si="0"/>
        <v>287</v>
      </c>
      <c r="Q38" s="1" t="s">
        <v>14</v>
      </c>
      <c r="R38" s="44">
        <v>50</v>
      </c>
      <c r="S38" s="47">
        <v>100</v>
      </c>
    </row>
    <row r="39" spans="1:19" x14ac:dyDescent="0.25">
      <c r="A39" s="2">
        <v>36</v>
      </c>
      <c r="D39" s="9" t="s">
        <v>43</v>
      </c>
      <c r="E39" s="10"/>
      <c r="F39" s="10"/>
      <c r="G39" s="11"/>
      <c r="H39" s="12">
        <v>16</v>
      </c>
      <c r="I39" s="7" t="s">
        <v>2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4">
        <f t="shared" si="0"/>
        <v>16</v>
      </c>
      <c r="Q39" s="1" t="s">
        <v>14</v>
      </c>
      <c r="R39" s="44">
        <v>50</v>
      </c>
      <c r="S39" s="47">
        <v>100</v>
      </c>
    </row>
    <row r="40" spans="1:19" x14ac:dyDescent="0.25">
      <c r="A40" s="2">
        <v>37</v>
      </c>
      <c r="D40" s="16" t="s">
        <v>119</v>
      </c>
      <c r="E40" s="17"/>
      <c r="F40" s="17"/>
      <c r="G40" s="18"/>
      <c r="H40" s="12">
        <v>48</v>
      </c>
      <c r="I40" s="7" t="s">
        <v>2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4">
        <f t="shared" si="0"/>
        <v>48</v>
      </c>
      <c r="Q40" s="1" t="s">
        <v>14</v>
      </c>
      <c r="R40" s="44">
        <v>0</v>
      </c>
      <c r="S40" s="46"/>
    </row>
    <row r="41" spans="1:19" x14ac:dyDescent="0.25">
      <c r="A41" s="2">
        <v>38</v>
      </c>
      <c r="D41" s="9" t="s">
        <v>71</v>
      </c>
      <c r="E41" s="10"/>
      <c r="F41" s="10"/>
      <c r="G41" s="11"/>
      <c r="H41" s="12">
        <f>'KASIM 3 HAFTA '!P41</f>
        <v>20</v>
      </c>
      <c r="I41" s="7" t="s">
        <v>2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4">
        <f t="shared" si="0"/>
        <v>20</v>
      </c>
      <c r="Q41" s="1" t="s">
        <v>14</v>
      </c>
      <c r="R41" s="44">
        <v>5</v>
      </c>
      <c r="S41" s="47">
        <v>10</v>
      </c>
    </row>
    <row r="42" spans="1:19" x14ac:dyDescent="0.25">
      <c r="A42" s="2">
        <v>39</v>
      </c>
      <c r="D42" s="16" t="s">
        <v>10</v>
      </c>
      <c r="E42" s="17"/>
      <c r="F42" s="17"/>
      <c r="G42" s="18"/>
      <c r="H42" s="12">
        <v>30</v>
      </c>
      <c r="I42" s="7" t="s">
        <v>2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4">
        <f t="shared" si="0"/>
        <v>30</v>
      </c>
      <c r="Q42" s="1" t="s">
        <v>14</v>
      </c>
      <c r="R42" s="44">
        <v>40</v>
      </c>
      <c r="S42" s="47">
        <v>100</v>
      </c>
    </row>
    <row r="43" spans="1:19" x14ac:dyDescent="0.25">
      <c r="A43" s="2">
        <v>40</v>
      </c>
      <c r="D43" s="9" t="s">
        <v>45</v>
      </c>
      <c r="E43" s="10"/>
      <c r="F43" s="10"/>
      <c r="G43" s="11"/>
      <c r="H43" s="12">
        <v>80</v>
      </c>
      <c r="I43" s="7" t="s">
        <v>2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4">
        <f t="shared" si="0"/>
        <v>80</v>
      </c>
      <c r="Q43" s="1" t="s">
        <v>14</v>
      </c>
      <c r="R43" s="44">
        <v>20</v>
      </c>
      <c r="S43" s="47">
        <v>50</v>
      </c>
    </row>
    <row r="44" spans="1:19" x14ac:dyDescent="0.25">
      <c r="A44" s="2">
        <v>41</v>
      </c>
      <c r="D44" s="16" t="s">
        <v>46</v>
      </c>
      <c r="E44" s="17"/>
      <c r="F44" s="17"/>
      <c r="G44" s="18"/>
      <c r="H44" s="12">
        <v>80</v>
      </c>
      <c r="I44" s="7" t="s">
        <v>2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4">
        <f t="shared" si="0"/>
        <v>80</v>
      </c>
      <c r="Q44" s="1" t="s">
        <v>14</v>
      </c>
      <c r="R44" s="44">
        <v>20</v>
      </c>
      <c r="S44" s="47">
        <v>50</v>
      </c>
    </row>
    <row r="45" spans="1:19" x14ac:dyDescent="0.25">
      <c r="A45" s="2">
        <v>42</v>
      </c>
      <c r="D45" s="9" t="s">
        <v>47</v>
      </c>
      <c r="E45" s="10"/>
      <c r="F45" s="10"/>
      <c r="G45" s="11"/>
      <c r="H45" s="12">
        <v>95</v>
      </c>
      <c r="I45" s="7" t="s">
        <v>2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4">
        <f t="shared" si="0"/>
        <v>95</v>
      </c>
      <c r="Q45" s="1" t="s">
        <v>14</v>
      </c>
      <c r="R45" s="44">
        <v>20</v>
      </c>
      <c r="S45" s="47">
        <v>50</v>
      </c>
    </row>
    <row r="46" spans="1:19" x14ac:dyDescent="0.25">
      <c r="A46" s="2">
        <v>43</v>
      </c>
      <c r="D46" s="16" t="s">
        <v>79</v>
      </c>
      <c r="E46" s="17"/>
      <c r="F46" s="17"/>
      <c r="G46" s="18"/>
      <c r="H46" s="12">
        <v>52</v>
      </c>
      <c r="I46" s="7" t="s">
        <v>2</v>
      </c>
      <c r="J46" s="3">
        <v>0</v>
      </c>
      <c r="K46" s="3">
        <v>4</v>
      </c>
      <c r="L46" s="3">
        <v>0</v>
      </c>
      <c r="M46" s="3">
        <v>0</v>
      </c>
      <c r="N46" s="3">
        <v>0</v>
      </c>
      <c r="O46" s="3">
        <v>0</v>
      </c>
      <c r="P46" s="4">
        <f t="shared" si="0"/>
        <v>48</v>
      </c>
      <c r="Q46" s="1" t="s">
        <v>14</v>
      </c>
      <c r="R46" s="44">
        <v>10</v>
      </c>
      <c r="S46" s="47">
        <v>20</v>
      </c>
    </row>
    <row r="47" spans="1:19" x14ac:dyDescent="0.25">
      <c r="A47" s="2">
        <v>44</v>
      </c>
      <c r="D47" s="9" t="s">
        <v>48</v>
      </c>
      <c r="E47" s="10"/>
      <c r="F47" s="10"/>
      <c r="G47" s="11"/>
      <c r="H47" s="12">
        <v>27</v>
      </c>
      <c r="I47" s="7" t="s">
        <v>2</v>
      </c>
      <c r="J47" s="3">
        <v>0</v>
      </c>
      <c r="K47" s="3">
        <v>4</v>
      </c>
      <c r="L47" s="3">
        <v>0</v>
      </c>
      <c r="M47" s="3">
        <v>0</v>
      </c>
      <c r="N47" s="3">
        <v>0</v>
      </c>
      <c r="O47" s="3">
        <v>0</v>
      </c>
      <c r="P47" s="4">
        <f t="shared" si="0"/>
        <v>23</v>
      </c>
      <c r="Q47" s="1" t="s">
        <v>14</v>
      </c>
      <c r="R47" s="44">
        <v>10</v>
      </c>
      <c r="S47" s="47">
        <v>20</v>
      </c>
    </row>
    <row r="48" spans="1:19" x14ac:dyDescent="0.25">
      <c r="A48" s="2">
        <v>45</v>
      </c>
      <c r="D48" s="16" t="s">
        <v>49</v>
      </c>
      <c r="E48" s="17"/>
      <c r="F48" s="17"/>
      <c r="G48" s="18"/>
      <c r="H48" s="12">
        <f>'KASIM 3 HAFTA '!P48</f>
        <v>0</v>
      </c>
      <c r="I48" s="7" t="s">
        <v>2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4">
        <f t="shared" si="0"/>
        <v>0</v>
      </c>
      <c r="Q48" s="1" t="s">
        <v>14</v>
      </c>
      <c r="R48" s="44">
        <v>10</v>
      </c>
      <c r="S48" s="47">
        <v>20</v>
      </c>
    </row>
    <row r="49" spans="1:20" x14ac:dyDescent="0.25">
      <c r="A49" s="2">
        <v>46</v>
      </c>
      <c r="D49" s="9" t="s">
        <v>11</v>
      </c>
      <c r="E49" s="10"/>
      <c r="F49" s="10"/>
      <c r="G49" s="11"/>
      <c r="H49" s="12">
        <v>117.5</v>
      </c>
      <c r="I49" s="7" t="s">
        <v>1</v>
      </c>
      <c r="J49" s="3">
        <v>200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4">
        <f t="shared" si="0"/>
        <v>317.5</v>
      </c>
      <c r="Q49" s="1" t="s">
        <v>14</v>
      </c>
      <c r="R49" s="44">
        <v>20</v>
      </c>
      <c r="S49" s="47">
        <v>100</v>
      </c>
      <c r="T49" t="s">
        <v>75</v>
      </c>
    </row>
    <row r="50" spans="1:20" x14ac:dyDescent="0.25">
      <c r="A50" s="2">
        <v>47</v>
      </c>
      <c r="D50" s="16" t="s">
        <v>111</v>
      </c>
      <c r="E50" s="17"/>
      <c r="F50" s="17"/>
      <c r="G50" s="18"/>
      <c r="H50" s="12">
        <v>149</v>
      </c>
      <c r="I50" s="7" t="s">
        <v>2</v>
      </c>
      <c r="J50" s="3">
        <v>100</v>
      </c>
      <c r="K50" s="3">
        <v>16</v>
      </c>
      <c r="L50" s="3">
        <v>0</v>
      </c>
      <c r="M50" s="3">
        <v>50</v>
      </c>
      <c r="N50" s="3">
        <v>0</v>
      </c>
      <c r="O50" s="3">
        <v>0</v>
      </c>
      <c r="P50" s="4">
        <f t="shared" si="0"/>
        <v>183</v>
      </c>
      <c r="Q50" s="1" t="s">
        <v>14</v>
      </c>
      <c r="R50" s="44">
        <v>30</v>
      </c>
      <c r="S50" s="47">
        <v>100</v>
      </c>
    </row>
    <row r="51" spans="1:20" x14ac:dyDescent="0.25">
      <c r="A51" s="2">
        <v>48</v>
      </c>
      <c r="D51" s="9" t="s">
        <v>51</v>
      </c>
      <c r="E51" s="10"/>
      <c r="F51" s="10"/>
      <c r="G51" s="11"/>
      <c r="H51" s="12">
        <v>93</v>
      </c>
      <c r="I51" s="7" t="s">
        <v>2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4">
        <f t="shared" si="0"/>
        <v>93</v>
      </c>
      <c r="Q51" s="1" t="s">
        <v>14</v>
      </c>
      <c r="R51" s="44">
        <v>20</v>
      </c>
      <c r="S51" s="47">
        <v>50</v>
      </c>
    </row>
    <row r="52" spans="1:20" x14ac:dyDescent="0.25">
      <c r="A52" s="2">
        <v>49</v>
      </c>
      <c r="D52" s="16" t="s">
        <v>52</v>
      </c>
      <c r="E52" s="17"/>
      <c r="F52" s="17"/>
      <c r="G52" s="18"/>
      <c r="H52" s="12">
        <v>89</v>
      </c>
      <c r="I52" s="7" t="s">
        <v>2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4">
        <f t="shared" si="0"/>
        <v>89</v>
      </c>
      <c r="Q52" s="1" t="s">
        <v>14</v>
      </c>
      <c r="R52" s="44">
        <v>20</v>
      </c>
      <c r="S52" s="47">
        <v>50</v>
      </c>
    </row>
    <row r="53" spans="1:20" x14ac:dyDescent="0.25">
      <c r="A53" s="2">
        <v>50</v>
      </c>
      <c r="D53" s="9" t="s">
        <v>53</v>
      </c>
      <c r="E53" s="10"/>
      <c r="F53" s="10"/>
      <c r="G53" s="11"/>
      <c r="H53" s="12">
        <v>39</v>
      </c>
      <c r="I53" s="7" t="s">
        <v>2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4">
        <f t="shared" si="0"/>
        <v>39</v>
      </c>
      <c r="Q53" s="1" t="s">
        <v>14</v>
      </c>
      <c r="R53" s="44">
        <v>20</v>
      </c>
      <c r="S53" s="47">
        <v>50</v>
      </c>
    </row>
    <row r="54" spans="1:20" x14ac:dyDescent="0.25">
      <c r="A54" s="2">
        <v>51</v>
      </c>
      <c r="D54" s="52" t="s">
        <v>54</v>
      </c>
      <c r="E54" s="53"/>
      <c r="F54" s="53"/>
      <c r="G54" s="54"/>
      <c r="H54" s="12">
        <v>600</v>
      </c>
      <c r="I54" s="7" t="s">
        <v>1</v>
      </c>
      <c r="J54" s="3">
        <v>0</v>
      </c>
      <c r="K54" s="3">
        <v>30</v>
      </c>
      <c r="L54" s="3">
        <v>45</v>
      </c>
      <c r="M54" s="3">
        <v>45</v>
      </c>
      <c r="N54" s="3">
        <v>45</v>
      </c>
      <c r="O54" s="3">
        <v>30</v>
      </c>
      <c r="P54" s="4">
        <f t="shared" si="0"/>
        <v>405</v>
      </c>
      <c r="Q54" s="1" t="s">
        <v>120</v>
      </c>
      <c r="R54" s="44">
        <v>250</v>
      </c>
      <c r="S54" s="47">
        <v>750</v>
      </c>
      <c r="T54" t="s">
        <v>75</v>
      </c>
    </row>
    <row r="55" spans="1:20" x14ac:dyDescent="0.25">
      <c r="A55" s="2">
        <v>52</v>
      </c>
      <c r="D55" s="9" t="s">
        <v>55</v>
      </c>
      <c r="E55" s="10"/>
      <c r="F55" s="10"/>
      <c r="G55" s="11"/>
      <c r="H55" s="12">
        <v>4000</v>
      </c>
      <c r="I55" s="7" t="s">
        <v>2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  <c r="P55" s="4">
        <f t="shared" si="0"/>
        <v>4000</v>
      </c>
      <c r="Q55" s="1" t="s">
        <v>14</v>
      </c>
      <c r="R55" s="44">
        <v>0</v>
      </c>
      <c r="S55" s="46"/>
    </row>
    <row r="56" spans="1:20" x14ac:dyDescent="0.25">
      <c r="A56" s="2">
        <v>53</v>
      </c>
      <c r="D56" s="16" t="s">
        <v>56</v>
      </c>
      <c r="E56" s="17"/>
      <c r="F56" s="17"/>
      <c r="G56" s="18"/>
      <c r="H56" s="12">
        <f>'KASIM 3 HAFTA '!P56</f>
        <v>2000</v>
      </c>
      <c r="I56" s="7" t="s">
        <v>2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  <c r="P56" s="4">
        <f t="shared" si="0"/>
        <v>2000</v>
      </c>
      <c r="Q56" s="1" t="s">
        <v>14</v>
      </c>
      <c r="R56" s="44">
        <v>0</v>
      </c>
      <c r="S56" s="46"/>
    </row>
    <row r="57" spans="1:20" x14ac:dyDescent="0.25">
      <c r="A57" s="2">
        <v>54</v>
      </c>
      <c r="D57" s="9" t="s">
        <v>12</v>
      </c>
      <c r="E57" s="10"/>
      <c r="F57" s="10"/>
      <c r="G57" s="11"/>
      <c r="H57" s="12">
        <f>'KASIM 3 HAFTA '!P57</f>
        <v>2800</v>
      </c>
      <c r="I57" s="7" t="s">
        <v>2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  <c r="P57" s="4">
        <f t="shared" si="0"/>
        <v>2800</v>
      </c>
      <c r="Q57" s="1" t="s">
        <v>14</v>
      </c>
      <c r="R57" s="44">
        <v>0</v>
      </c>
      <c r="S57" s="46"/>
    </row>
    <row r="58" spans="1:20" x14ac:dyDescent="0.25">
      <c r="A58" s="2">
        <v>55</v>
      </c>
      <c r="D58" s="16" t="s">
        <v>57</v>
      </c>
      <c r="E58" s="17"/>
      <c r="F58" s="17"/>
      <c r="G58" s="18"/>
      <c r="H58" s="12">
        <f>'KASIM 3 HAFTA '!P58</f>
        <v>3000</v>
      </c>
      <c r="I58" s="7" t="s">
        <v>2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4">
        <f t="shared" si="0"/>
        <v>3000</v>
      </c>
      <c r="Q58" s="1" t="s">
        <v>14</v>
      </c>
      <c r="R58" s="44">
        <v>0</v>
      </c>
      <c r="S58" s="46"/>
    </row>
    <row r="59" spans="1:20" x14ac:dyDescent="0.25">
      <c r="A59" s="2">
        <v>56</v>
      </c>
      <c r="D59" s="9" t="s">
        <v>58</v>
      </c>
      <c r="E59" s="10"/>
      <c r="F59" s="10"/>
      <c r="G59" s="11"/>
      <c r="H59" s="12">
        <f>'KASIM 3 HAFTA '!P59</f>
        <v>5000</v>
      </c>
      <c r="I59" s="7" t="s">
        <v>2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  <c r="P59" s="4">
        <f t="shared" si="0"/>
        <v>5000</v>
      </c>
      <c r="Q59" s="1" t="s">
        <v>14</v>
      </c>
      <c r="R59" s="44">
        <v>0</v>
      </c>
      <c r="S59" s="46"/>
    </row>
    <row r="60" spans="1:20" x14ac:dyDescent="0.25">
      <c r="A60" s="2">
        <v>57</v>
      </c>
      <c r="D60" s="16" t="s">
        <v>59</v>
      </c>
      <c r="E60" s="17"/>
      <c r="F60" s="17"/>
      <c r="G60" s="18"/>
      <c r="H60" s="12">
        <f>'KASIM 3 HAFTA '!P60</f>
        <v>3000</v>
      </c>
      <c r="I60" s="7" t="s">
        <v>2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4">
        <f t="shared" si="0"/>
        <v>3000</v>
      </c>
      <c r="Q60" s="1" t="s">
        <v>14</v>
      </c>
      <c r="R60" s="44">
        <v>0</v>
      </c>
      <c r="S60" s="46"/>
    </row>
    <row r="61" spans="1:20" x14ac:dyDescent="0.25">
      <c r="A61" s="2">
        <v>58</v>
      </c>
      <c r="D61" s="9" t="s">
        <v>60</v>
      </c>
      <c r="E61" s="10"/>
      <c r="F61" s="10"/>
      <c r="G61" s="11"/>
      <c r="H61" s="12">
        <v>4700</v>
      </c>
      <c r="I61" s="7" t="s">
        <v>2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4">
        <f t="shared" si="0"/>
        <v>4700</v>
      </c>
      <c r="Q61" s="1" t="s">
        <v>14</v>
      </c>
      <c r="R61" s="44">
        <v>0</v>
      </c>
      <c r="S61" s="46"/>
    </row>
    <row r="62" spans="1:20" x14ac:dyDescent="0.25">
      <c r="A62" s="2">
        <v>59</v>
      </c>
      <c r="D62" s="16" t="s">
        <v>61</v>
      </c>
      <c r="E62" s="17"/>
      <c r="F62" s="17"/>
      <c r="G62" s="18"/>
      <c r="H62" s="12">
        <f>'KASIM 3 HAFTA '!P62</f>
        <v>494</v>
      </c>
      <c r="I62" s="7" t="s">
        <v>2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4">
        <f t="shared" si="0"/>
        <v>494</v>
      </c>
      <c r="Q62" s="1" t="s">
        <v>14</v>
      </c>
      <c r="R62" s="44">
        <v>0</v>
      </c>
      <c r="S62" s="46"/>
    </row>
    <row r="63" spans="1:20" x14ac:dyDescent="0.25">
      <c r="A63" s="2">
        <v>60</v>
      </c>
      <c r="D63" s="9" t="s">
        <v>62</v>
      </c>
      <c r="E63" s="10"/>
      <c r="F63" s="10"/>
      <c r="G63" s="11"/>
      <c r="H63" s="12">
        <f>'KASIM 3 HAFTA '!P63</f>
        <v>1184</v>
      </c>
      <c r="I63" s="7" t="s">
        <v>2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100</v>
      </c>
      <c r="P63" s="4">
        <f t="shared" si="0"/>
        <v>1084</v>
      </c>
      <c r="Q63" s="1" t="s">
        <v>14</v>
      </c>
      <c r="R63" s="44">
        <v>200</v>
      </c>
      <c r="S63" s="47">
        <v>1000</v>
      </c>
    </row>
    <row r="64" spans="1:20" x14ac:dyDescent="0.25">
      <c r="A64" s="2">
        <v>61</v>
      </c>
      <c r="D64" s="16" t="s">
        <v>13</v>
      </c>
      <c r="E64" s="17"/>
      <c r="F64" s="17"/>
      <c r="G64" s="18"/>
      <c r="H64" s="12">
        <f>'KASIM 3 HAFTA '!P64</f>
        <v>447</v>
      </c>
      <c r="I64" s="7" t="s">
        <v>2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4">
        <f t="shared" si="0"/>
        <v>447</v>
      </c>
      <c r="Q64" s="1" t="s">
        <v>14</v>
      </c>
      <c r="R64" s="44">
        <v>100</v>
      </c>
      <c r="S64" s="47">
        <v>300</v>
      </c>
    </row>
    <row r="65" spans="1:20" x14ac:dyDescent="0.25">
      <c r="A65" s="2">
        <v>62</v>
      </c>
      <c r="D65" s="9" t="s">
        <v>72</v>
      </c>
      <c r="E65" s="10"/>
      <c r="F65" s="10"/>
      <c r="G65" s="11"/>
      <c r="H65" s="12">
        <f>'KASIM 3 HAFTA '!P65</f>
        <v>315</v>
      </c>
      <c r="I65" s="7" t="s">
        <v>2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4">
        <f t="shared" si="0"/>
        <v>315</v>
      </c>
      <c r="Q65" s="1" t="s">
        <v>14</v>
      </c>
      <c r="R65" s="44">
        <v>100</v>
      </c>
      <c r="S65" s="47">
        <v>300</v>
      </c>
    </row>
    <row r="66" spans="1:20" x14ac:dyDescent="0.25">
      <c r="A66" s="2">
        <v>63</v>
      </c>
      <c r="D66" s="16" t="s">
        <v>63</v>
      </c>
      <c r="E66" s="17"/>
      <c r="F66" s="17"/>
      <c r="G66" s="18"/>
      <c r="H66" s="12">
        <f>'KASIM 3 HAFTA '!P66</f>
        <v>350</v>
      </c>
      <c r="I66" s="7" t="s">
        <v>2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  <c r="P66" s="4">
        <f t="shared" si="0"/>
        <v>350</v>
      </c>
      <c r="Q66" s="1" t="s">
        <v>14</v>
      </c>
      <c r="R66" s="44">
        <v>100</v>
      </c>
      <c r="S66" s="47">
        <v>300</v>
      </c>
    </row>
    <row r="67" spans="1:20" x14ac:dyDescent="0.25">
      <c r="A67" s="2">
        <v>64</v>
      </c>
      <c r="D67" s="9" t="s">
        <v>77</v>
      </c>
      <c r="E67" s="10"/>
      <c r="F67" s="10"/>
      <c r="G67" s="11"/>
      <c r="H67" s="12">
        <v>1912</v>
      </c>
      <c r="I67" s="7" t="s">
        <v>2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  <c r="P67" s="4">
        <f t="shared" si="0"/>
        <v>1912</v>
      </c>
      <c r="Q67" s="1" t="s">
        <v>14</v>
      </c>
      <c r="R67" s="44">
        <v>100</v>
      </c>
      <c r="S67" s="47">
        <v>300</v>
      </c>
    </row>
    <row r="68" spans="1:20" x14ac:dyDescent="0.25">
      <c r="A68" s="2">
        <v>65</v>
      </c>
      <c r="D68" s="16" t="s">
        <v>87</v>
      </c>
      <c r="E68" s="17"/>
      <c r="F68" s="17"/>
      <c r="G68" s="18"/>
      <c r="H68" s="12">
        <v>491</v>
      </c>
      <c r="I68" s="7" t="s">
        <v>2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4">
        <f t="shared" ref="P68:P85" si="1">+H68+J68-K68-L68-M68-N68-O68</f>
        <v>491</v>
      </c>
      <c r="Q68" s="1" t="s">
        <v>14</v>
      </c>
      <c r="R68" s="44">
        <v>0</v>
      </c>
      <c r="S68" s="46"/>
    </row>
    <row r="69" spans="1:20" x14ac:dyDescent="0.25">
      <c r="A69" s="2">
        <v>66</v>
      </c>
      <c r="D69" s="9" t="s">
        <v>64</v>
      </c>
      <c r="E69" s="10"/>
      <c r="F69" s="10"/>
      <c r="G69" s="11"/>
      <c r="H69" s="12">
        <v>317</v>
      </c>
      <c r="I69" s="7" t="s">
        <v>2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4">
        <f t="shared" si="1"/>
        <v>317</v>
      </c>
      <c r="Q69" s="1" t="s">
        <v>14</v>
      </c>
      <c r="R69" s="44">
        <v>50</v>
      </c>
      <c r="S69" s="47">
        <v>100</v>
      </c>
    </row>
    <row r="70" spans="1:20" x14ac:dyDescent="0.25">
      <c r="A70" s="2">
        <v>67</v>
      </c>
      <c r="D70" s="16" t="s">
        <v>65</v>
      </c>
      <c r="E70" s="17"/>
      <c r="F70" s="17"/>
      <c r="G70" s="18"/>
      <c r="H70" s="12">
        <f>'KASIM 3 HAFTA '!P70</f>
        <v>60</v>
      </c>
      <c r="I70" s="7" t="s">
        <v>2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4">
        <f t="shared" si="1"/>
        <v>60</v>
      </c>
      <c r="Q70" s="1" t="s">
        <v>14</v>
      </c>
      <c r="R70" s="44">
        <v>0</v>
      </c>
      <c r="S70" s="46"/>
    </row>
    <row r="71" spans="1:20" x14ac:dyDescent="0.25">
      <c r="A71" s="2">
        <v>68</v>
      </c>
      <c r="D71" s="9" t="s">
        <v>66</v>
      </c>
      <c r="E71" s="10"/>
      <c r="F71" s="10"/>
      <c r="G71" s="11"/>
      <c r="H71" s="12">
        <v>494</v>
      </c>
      <c r="I71" s="7" t="s">
        <v>2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4">
        <f t="shared" si="1"/>
        <v>494</v>
      </c>
      <c r="Q71" s="1" t="s">
        <v>14</v>
      </c>
      <c r="R71" s="44">
        <v>300</v>
      </c>
      <c r="S71" s="47">
        <v>1000</v>
      </c>
    </row>
    <row r="72" spans="1:20" x14ac:dyDescent="0.25">
      <c r="A72" s="2">
        <v>69</v>
      </c>
      <c r="D72" s="19" t="s">
        <v>86</v>
      </c>
      <c r="E72" s="20"/>
      <c r="F72" s="20"/>
      <c r="G72" s="21"/>
      <c r="H72" s="12">
        <f>'KASIM 3 HAFTA '!P72</f>
        <v>0</v>
      </c>
      <c r="I72" s="7" t="s">
        <v>2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  <c r="P72" s="4">
        <f t="shared" si="1"/>
        <v>0</v>
      </c>
      <c r="Q72" s="1" t="s">
        <v>14</v>
      </c>
      <c r="R72" s="44">
        <v>50</v>
      </c>
      <c r="S72" s="47">
        <v>150</v>
      </c>
    </row>
    <row r="73" spans="1:20" x14ac:dyDescent="0.25">
      <c r="A73" s="2">
        <v>70</v>
      </c>
      <c r="D73" s="22" t="s">
        <v>74</v>
      </c>
      <c r="E73" s="10"/>
      <c r="F73" s="10"/>
      <c r="G73" s="11"/>
      <c r="H73" s="12">
        <v>191.5</v>
      </c>
      <c r="I73" s="8" t="s">
        <v>75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4">
        <f t="shared" si="1"/>
        <v>191.5</v>
      </c>
      <c r="Q73" s="1" t="s">
        <v>91</v>
      </c>
      <c r="R73" s="44">
        <v>65</v>
      </c>
      <c r="S73" s="47">
        <v>150</v>
      </c>
    </row>
    <row r="74" spans="1:20" x14ac:dyDescent="0.25">
      <c r="A74" s="2">
        <v>71</v>
      </c>
      <c r="C74" s="1" t="s">
        <v>14</v>
      </c>
      <c r="D74" s="22" t="s">
        <v>76</v>
      </c>
      <c r="E74" s="10"/>
      <c r="F74" s="10"/>
      <c r="G74" s="11"/>
      <c r="H74" s="12">
        <v>114</v>
      </c>
      <c r="I74" s="8" t="s">
        <v>2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4">
        <f t="shared" si="1"/>
        <v>114</v>
      </c>
      <c r="Q74" s="1" t="s">
        <v>14</v>
      </c>
      <c r="R74" s="44">
        <v>50</v>
      </c>
      <c r="S74" s="47">
        <v>100</v>
      </c>
    </row>
    <row r="75" spans="1:20" x14ac:dyDescent="0.25">
      <c r="A75" s="2">
        <v>72</v>
      </c>
      <c r="D75" s="25" t="s">
        <v>114</v>
      </c>
      <c r="H75" s="12">
        <v>287</v>
      </c>
      <c r="I75" s="30" t="s">
        <v>2</v>
      </c>
      <c r="J75" s="3">
        <v>30</v>
      </c>
      <c r="K75" s="3">
        <v>0</v>
      </c>
      <c r="L75" s="3">
        <v>0</v>
      </c>
      <c r="M75" s="3">
        <v>0</v>
      </c>
      <c r="N75" s="3">
        <v>0</v>
      </c>
      <c r="O75" s="3">
        <v>18</v>
      </c>
      <c r="P75" s="4">
        <f t="shared" si="1"/>
        <v>299</v>
      </c>
      <c r="Q75" s="1" t="s">
        <v>14</v>
      </c>
      <c r="R75" s="44">
        <v>50</v>
      </c>
      <c r="S75" s="47">
        <v>100</v>
      </c>
    </row>
    <row r="76" spans="1:20" x14ac:dyDescent="0.25">
      <c r="A76" s="2">
        <v>73</v>
      </c>
      <c r="D76" s="26" t="s">
        <v>80</v>
      </c>
      <c r="E76" s="27"/>
      <c r="F76" s="27"/>
      <c r="G76" s="28"/>
      <c r="H76" s="12">
        <v>32</v>
      </c>
      <c r="I76" s="8" t="s">
        <v>2</v>
      </c>
      <c r="J76" s="3">
        <v>0</v>
      </c>
      <c r="K76" s="3">
        <v>0</v>
      </c>
      <c r="L76" s="3">
        <v>0</v>
      </c>
      <c r="M76" s="3">
        <v>0</v>
      </c>
      <c r="N76" s="3">
        <v>19</v>
      </c>
      <c r="O76" s="3">
        <v>0</v>
      </c>
      <c r="P76" s="4">
        <f t="shared" si="1"/>
        <v>13</v>
      </c>
      <c r="Q76" s="1" t="s">
        <v>14</v>
      </c>
      <c r="R76" s="44">
        <v>0</v>
      </c>
      <c r="S76" s="46"/>
    </row>
    <row r="77" spans="1:20" x14ac:dyDescent="0.25">
      <c r="A77" s="2">
        <v>74</v>
      </c>
      <c r="D77" s="26" t="s">
        <v>84</v>
      </c>
      <c r="E77" s="27"/>
      <c r="F77" s="27"/>
      <c r="G77" s="28"/>
      <c r="H77" s="12">
        <f>'KASIM 3 HAFTA '!P77</f>
        <v>50</v>
      </c>
      <c r="I77" s="8" t="s">
        <v>2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4">
        <f t="shared" si="1"/>
        <v>50</v>
      </c>
      <c r="Q77" s="1" t="s">
        <v>14</v>
      </c>
      <c r="R77" s="44">
        <v>100</v>
      </c>
      <c r="S77" s="47">
        <v>200</v>
      </c>
    </row>
    <row r="78" spans="1:20" x14ac:dyDescent="0.25">
      <c r="A78" s="2">
        <v>75</v>
      </c>
      <c r="D78" s="26" t="s">
        <v>85</v>
      </c>
      <c r="E78" s="27"/>
      <c r="F78" s="27"/>
      <c r="G78" s="28"/>
      <c r="H78" s="12">
        <f>'KASIM 3 HAFTA '!P78</f>
        <v>0</v>
      </c>
      <c r="I78" s="8" t="s">
        <v>2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  <c r="P78" s="4">
        <f t="shared" si="1"/>
        <v>0</v>
      </c>
      <c r="R78" s="44">
        <v>0</v>
      </c>
      <c r="S78" s="46"/>
    </row>
    <row r="79" spans="1:20" x14ac:dyDescent="0.25">
      <c r="A79" s="2">
        <v>76</v>
      </c>
      <c r="D79" s="37" t="s">
        <v>99</v>
      </c>
      <c r="E79" s="17"/>
      <c r="F79" s="33"/>
      <c r="G79" s="33"/>
      <c r="H79" s="12">
        <v>46</v>
      </c>
      <c r="I79" s="8" t="s">
        <v>2</v>
      </c>
      <c r="J79" s="3">
        <v>520</v>
      </c>
      <c r="K79" s="3">
        <v>0</v>
      </c>
      <c r="L79" s="3">
        <v>0</v>
      </c>
      <c r="M79" s="3">
        <v>0</v>
      </c>
      <c r="N79" s="3">
        <v>0</v>
      </c>
      <c r="O79" s="3">
        <v>25</v>
      </c>
      <c r="P79" s="4">
        <f t="shared" si="1"/>
        <v>541</v>
      </c>
      <c r="Q79" s="1" t="s">
        <v>14</v>
      </c>
      <c r="R79" s="44">
        <v>100</v>
      </c>
      <c r="S79" s="47">
        <v>500</v>
      </c>
      <c r="T79" t="s">
        <v>75</v>
      </c>
    </row>
    <row r="80" spans="1:20" x14ac:dyDescent="0.25">
      <c r="A80" s="2">
        <v>77</v>
      </c>
      <c r="D80" s="22" t="s">
        <v>100</v>
      </c>
      <c r="E80" s="10"/>
      <c r="F80" s="10"/>
      <c r="G80" s="28"/>
      <c r="H80" s="12">
        <f>'KASIM 3 HAFTA '!P80</f>
        <v>40</v>
      </c>
      <c r="I80" s="8" t="s">
        <v>2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  <c r="P80" s="4">
        <f t="shared" si="1"/>
        <v>40</v>
      </c>
      <c r="R80" s="44">
        <v>0</v>
      </c>
      <c r="S80" s="46"/>
    </row>
    <row r="81" spans="1:19" x14ac:dyDescent="0.25">
      <c r="A81" s="2">
        <v>78</v>
      </c>
      <c r="D81" s="37" t="s">
        <v>113</v>
      </c>
      <c r="E81" s="17"/>
      <c r="F81" s="17"/>
      <c r="G81" s="33"/>
      <c r="H81" s="12">
        <v>76</v>
      </c>
      <c r="I81" s="8" t="s">
        <v>97</v>
      </c>
      <c r="J81" s="3">
        <v>27.8</v>
      </c>
      <c r="K81" s="3">
        <v>16</v>
      </c>
      <c r="L81" s="3">
        <v>19</v>
      </c>
      <c r="M81" s="3">
        <v>26</v>
      </c>
      <c r="N81" s="3">
        <v>9</v>
      </c>
      <c r="O81" s="3">
        <v>16.100000000000001</v>
      </c>
      <c r="P81" s="4">
        <f t="shared" si="1"/>
        <v>17.699999999999996</v>
      </c>
      <c r="Q81" s="65" t="s">
        <v>121</v>
      </c>
      <c r="R81" s="44">
        <v>30</v>
      </c>
      <c r="S81" s="47">
        <v>100</v>
      </c>
    </row>
    <row r="82" spans="1:19" x14ac:dyDescent="0.25">
      <c r="A82" s="2">
        <v>79</v>
      </c>
      <c r="D82" s="22" t="s">
        <v>103</v>
      </c>
      <c r="E82" s="10"/>
      <c r="F82" s="10"/>
      <c r="G82" s="28"/>
      <c r="H82" s="12">
        <v>40</v>
      </c>
      <c r="I82" s="8" t="s">
        <v>2</v>
      </c>
      <c r="J82" s="3">
        <v>200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  <c r="P82" s="4">
        <f t="shared" si="1"/>
        <v>240</v>
      </c>
      <c r="R82" s="44">
        <v>60</v>
      </c>
      <c r="S82" s="47">
        <v>100</v>
      </c>
    </row>
    <row r="83" spans="1:19" x14ac:dyDescent="0.25">
      <c r="A83" s="8">
        <v>80</v>
      </c>
      <c r="D83" s="49" t="s">
        <v>108</v>
      </c>
      <c r="E83" s="20"/>
      <c r="F83" s="20"/>
      <c r="G83" s="20"/>
      <c r="H83" s="12">
        <v>2985</v>
      </c>
      <c r="I83" s="8" t="s">
        <v>110</v>
      </c>
      <c r="J83" s="3">
        <v>2500</v>
      </c>
      <c r="K83" s="3">
        <v>1000</v>
      </c>
      <c r="L83" s="3">
        <v>0</v>
      </c>
      <c r="M83" s="3">
        <v>500</v>
      </c>
      <c r="N83" s="3">
        <v>0</v>
      </c>
      <c r="O83" s="3">
        <v>500</v>
      </c>
      <c r="P83" s="4">
        <f t="shared" si="1"/>
        <v>3485</v>
      </c>
      <c r="R83" s="43">
        <v>1000</v>
      </c>
      <c r="S83" s="46">
        <v>10000</v>
      </c>
    </row>
    <row r="84" spans="1:19" x14ac:dyDescent="0.25">
      <c r="A84" s="48">
        <v>81</v>
      </c>
      <c r="B84" s="41"/>
      <c r="C84" s="41"/>
      <c r="D84" s="22" t="s">
        <v>115</v>
      </c>
      <c r="E84" s="10"/>
      <c r="F84" s="10"/>
      <c r="G84" s="11"/>
      <c r="H84" s="15">
        <v>230</v>
      </c>
      <c r="I84" s="62" t="s">
        <v>2</v>
      </c>
      <c r="J84" s="63">
        <v>0</v>
      </c>
      <c r="K84" s="63">
        <v>0</v>
      </c>
      <c r="L84" s="63">
        <v>0</v>
      </c>
      <c r="M84" s="63">
        <v>0</v>
      </c>
      <c r="N84" s="63">
        <v>0</v>
      </c>
      <c r="O84" s="63">
        <v>18</v>
      </c>
      <c r="P84" s="64">
        <f t="shared" si="1"/>
        <v>212</v>
      </c>
      <c r="R84" s="64">
        <v>50</v>
      </c>
      <c r="S84" s="64">
        <v>100</v>
      </c>
    </row>
    <row r="85" spans="1:19" x14ac:dyDescent="0.25">
      <c r="A85" s="61">
        <v>82</v>
      </c>
      <c r="B85" s="41"/>
      <c r="C85" s="41"/>
      <c r="D85" s="49" t="s">
        <v>118</v>
      </c>
      <c r="E85" s="35"/>
      <c r="F85" s="35"/>
      <c r="G85" s="60"/>
      <c r="H85" s="4"/>
      <c r="I85" s="4"/>
      <c r="J85" s="4">
        <v>50</v>
      </c>
      <c r="K85" s="4"/>
      <c r="L85" s="4"/>
      <c r="M85" s="4"/>
      <c r="N85" s="4"/>
      <c r="O85" s="4"/>
      <c r="P85" s="4">
        <f t="shared" si="1"/>
        <v>50</v>
      </c>
      <c r="Q85" s="4"/>
      <c r="R85" s="4"/>
      <c r="S85" s="4"/>
    </row>
  </sheetData>
  <pageMargins left="0.75" right="0.75" top="1" bottom="1" header="0.5" footer="0.5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T86"/>
  <sheetViews>
    <sheetView workbookViewId="0">
      <selection activeCell="M1" sqref="M1"/>
    </sheetView>
  </sheetViews>
  <sheetFormatPr defaultRowHeight="15" x14ac:dyDescent="0.25"/>
  <cols>
    <col min="1" max="1" width="5.5703125" customWidth="1"/>
    <col min="2" max="3" width="9.140625" hidden="1" customWidth="1"/>
    <col min="11" max="15" width="10.140625" bestFit="1" customWidth="1"/>
    <col min="17" max="17" width="4.85546875" customWidth="1"/>
    <col min="18" max="18" width="10" customWidth="1"/>
    <col min="19" max="19" width="11.140625" customWidth="1"/>
  </cols>
  <sheetData>
    <row r="1" spans="1:20" x14ac:dyDescent="0.25">
      <c r="G1" s="1"/>
      <c r="P1">
        <f>+H1+J1-K1-L1-M1-N1-O1</f>
        <v>0</v>
      </c>
    </row>
    <row r="2" spans="1:20" x14ac:dyDescent="0.25">
      <c r="A2" t="s">
        <v>14</v>
      </c>
      <c r="D2" t="s">
        <v>122</v>
      </c>
      <c r="O2" s="38" t="s">
        <v>14</v>
      </c>
      <c r="S2" s="50">
        <v>44837</v>
      </c>
    </row>
    <row r="3" spans="1:20" x14ac:dyDescent="0.25">
      <c r="A3" s="1" t="s">
        <v>15</v>
      </c>
      <c r="D3" s="9" t="s">
        <v>17</v>
      </c>
      <c r="E3" s="10"/>
      <c r="F3" s="10"/>
      <c r="G3" s="11"/>
      <c r="H3" s="12" t="s">
        <v>18</v>
      </c>
      <c r="I3" s="4" t="s">
        <v>19</v>
      </c>
      <c r="J3" s="3" t="s">
        <v>20</v>
      </c>
      <c r="K3" s="5">
        <v>44914</v>
      </c>
      <c r="L3" s="6">
        <v>44854</v>
      </c>
      <c r="M3" s="5">
        <v>44916</v>
      </c>
      <c r="N3" s="5">
        <v>44917</v>
      </c>
      <c r="O3" s="6">
        <v>44918</v>
      </c>
      <c r="P3" s="3" t="s">
        <v>21</v>
      </c>
      <c r="R3" s="42" t="s">
        <v>105</v>
      </c>
      <c r="S3" s="45" t="s">
        <v>104</v>
      </c>
    </row>
    <row r="4" spans="1:20" x14ac:dyDescent="0.25">
      <c r="A4" s="2">
        <v>1</v>
      </c>
      <c r="D4" s="13" t="s">
        <v>16</v>
      </c>
      <c r="E4" s="14"/>
      <c r="F4" s="14"/>
      <c r="G4" s="15"/>
      <c r="H4" s="12">
        <v>62</v>
      </c>
      <c r="I4" s="7" t="s">
        <v>1</v>
      </c>
      <c r="J4" s="3">
        <v>0</v>
      </c>
      <c r="K4" s="3">
        <v>46</v>
      </c>
      <c r="L4" s="3">
        <v>0</v>
      </c>
      <c r="M4" s="3">
        <v>0</v>
      </c>
      <c r="N4" s="3">
        <v>0</v>
      </c>
      <c r="O4" s="3">
        <v>0</v>
      </c>
      <c r="P4" s="4">
        <f t="shared" ref="P4:P67" si="0">+H4+J4-K4-L4-M4-N4-O4</f>
        <v>16</v>
      </c>
      <c r="Q4" t="s">
        <v>67</v>
      </c>
      <c r="R4" s="43">
        <v>100</v>
      </c>
      <c r="S4" s="46">
        <v>500</v>
      </c>
      <c r="T4" t="s">
        <v>75</v>
      </c>
    </row>
    <row r="5" spans="1:20" x14ac:dyDescent="0.25">
      <c r="A5" s="2">
        <v>2</v>
      </c>
      <c r="D5" s="9" t="s">
        <v>22</v>
      </c>
      <c r="E5" s="10"/>
      <c r="F5" s="10"/>
      <c r="G5" s="11"/>
      <c r="H5" s="12">
        <v>28</v>
      </c>
      <c r="I5" s="7" t="s">
        <v>2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4">
        <f t="shared" si="0"/>
        <v>28</v>
      </c>
      <c r="Q5" s="1" t="s">
        <v>14</v>
      </c>
      <c r="R5" s="44">
        <v>6</v>
      </c>
      <c r="S5" s="47">
        <v>10</v>
      </c>
    </row>
    <row r="6" spans="1:20" x14ac:dyDescent="0.25">
      <c r="A6" s="2">
        <v>3</v>
      </c>
      <c r="D6" s="16" t="s">
        <v>23</v>
      </c>
      <c r="E6" s="17"/>
      <c r="F6" s="17"/>
      <c r="G6" s="18"/>
      <c r="H6" s="12">
        <v>34</v>
      </c>
      <c r="I6" s="7" t="s">
        <v>2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4">
        <f t="shared" si="0"/>
        <v>34</v>
      </c>
      <c r="Q6" s="1" t="s">
        <v>14</v>
      </c>
      <c r="R6" s="44">
        <v>6</v>
      </c>
      <c r="S6" s="47">
        <v>10</v>
      </c>
    </row>
    <row r="7" spans="1:20" x14ac:dyDescent="0.25">
      <c r="A7" s="2">
        <v>4</v>
      </c>
      <c r="D7" s="9" t="s">
        <v>3</v>
      </c>
      <c r="E7" s="10"/>
      <c r="F7" s="10"/>
      <c r="G7" s="11"/>
      <c r="H7" s="12">
        <f>'KASIM 3 HAFTA '!P7</f>
        <v>58</v>
      </c>
      <c r="I7" s="7" t="s">
        <v>2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4">
        <f t="shared" si="0"/>
        <v>58</v>
      </c>
      <c r="Q7" s="1" t="s">
        <v>14</v>
      </c>
      <c r="R7" s="44">
        <v>6</v>
      </c>
      <c r="S7" s="47">
        <v>10</v>
      </c>
    </row>
    <row r="8" spans="1:20" x14ac:dyDescent="0.25">
      <c r="A8" s="2">
        <v>5</v>
      </c>
      <c r="D8" s="16" t="s">
        <v>4</v>
      </c>
      <c r="E8" s="17"/>
      <c r="F8" s="17"/>
      <c r="G8" s="18"/>
      <c r="H8" s="12">
        <v>80</v>
      </c>
      <c r="I8" s="7" t="s">
        <v>2</v>
      </c>
      <c r="J8" s="3">
        <v>0</v>
      </c>
      <c r="K8" s="3">
        <v>0</v>
      </c>
      <c r="L8" s="3">
        <v>0</v>
      </c>
      <c r="M8" s="3">
        <v>0</v>
      </c>
      <c r="N8" s="3">
        <v>30</v>
      </c>
      <c r="O8" s="3">
        <v>0</v>
      </c>
      <c r="P8" s="4">
        <f t="shared" si="0"/>
        <v>50</v>
      </c>
      <c r="Q8" s="1" t="s">
        <v>14</v>
      </c>
      <c r="R8" s="44">
        <v>100</v>
      </c>
      <c r="S8" s="47">
        <v>400</v>
      </c>
    </row>
    <row r="9" spans="1:20" x14ac:dyDescent="0.25">
      <c r="A9" s="2">
        <v>6</v>
      </c>
      <c r="D9" s="9" t="s">
        <v>24</v>
      </c>
      <c r="E9" s="10"/>
      <c r="F9" s="10"/>
      <c r="G9" s="11"/>
      <c r="H9" s="12">
        <v>20</v>
      </c>
      <c r="I9" s="7" t="s">
        <v>2</v>
      </c>
      <c r="J9" s="3">
        <v>0</v>
      </c>
      <c r="K9" s="3">
        <v>20</v>
      </c>
      <c r="L9" s="3">
        <v>0</v>
      </c>
      <c r="M9" s="3">
        <v>0</v>
      </c>
      <c r="N9" s="3">
        <v>0</v>
      </c>
      <c r="O9" s="3">
        <v>0</v>
      </c>
      <c r="P9" s="4">
        <f t="shared" si="0"/>
        <v>0</v>
      </c>
      <c r="Q9" s="1" t="s">
        <v>14</v>
      </c>
      <c r="R9" s="44">
        <v>60</v>
      </c>
      <c r="S9" s="47">
        <v>200</v>
      </c>
    </row>
    <row r="10" spans="1:20" x14ac:dyDescent="0.25">
      <c r="A10" s="2">
        <v>7</v>
      </c>
      <c r="D10" s="16" t="s">
        <v>101</v>
      </c>
      <c r="E10" s="17"/>
      <c r="F10" s="17"/>
      <c r="G10" s="18"/>
      <c r="H10" s="12">
        <v>1579</v>
      </c>
      <c r="I10" s="7" t="s">
        <v>2</v>
      </c>
      <c r="J10" s="3">
        <v>0</v>
      </c>
      <c r="K10" s="3">
        <v>0</v>
      </c>
      <c r="L10" s="3">
        <v>200</v>
      </c>
      <c r="M10" s="3">
        <v>0</v>
      </c>
      <c r="N10" s="3">
        <v>84</v>
      </c>
      <c r="O10" s="3">
        <v>0</v>
      </c>
      <c r="P10" s="4">
        <f t="shared" si="0"/>
        <v>1295</v>
      </c>
      <c r="Q10" s="1" t="s">
        <v>14</v>
      </c>
      <c r="R10" s="44">
        <v>200</v>
      </c>
      <c r="S10" s="47">
        <v>500</v>
      </c>
    </row>
    <row r="11" spans="1:20" x14ac:dyDescent="0.25">
      <c r="A11" s="2">
        <v>8</v>
      </c>
      <c r="D11" s="9" t="s">
        <v>25</v>
      </c>
      <c r="E11" s="10"/>
      <c r="F11" s="10"/>
      <c r="G11" s="11"/>
      <c r="H11" s="12">
        <f>'KASIM 3 HAFTA '!P11</f>
        <v>496</v>
      </c>
      <c r="I11" s="7" t="s">
        <v>2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4">
        <f t="shared" si="0"/>
        <v>496</v>
      </c>
      <c r="Q11" s="1" t="s">
        <v>14</v>
      </c>
      <c r="R11" s="44">
        <v>0</v>
      </c>
      <c r="S11" s="47">
        <v>0</v>
      </c>
    </row>
    <row r="12" spans="1:20" x14ac:dyDescent="0.25">
      <c r="A12" s="2">
        <v>9</v>
      </c>
      <c r="D12" s="16" t="s">
        <v>26</v>
      </c>
      <c r="E12" s="17"/>
      <c r="F12" s="17"/>
      <c r="G12" s="18"/>
      <c r="H12" s="12">
        <f>'KASIM 3 HAFTA '!P12</f>
        <v>60</v>
      </c>
      <c r="I12" s="7" t="s">
        <v>2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4">
        <f t="shared" si="0"/>
        <v>60</v>
      </c>
      <c r="Q12" s="1" t="s">
        <v>14</v>
      </c>
      <c r="R12" s="44">
        <v>200</v>
      </c>
      <c r="S12" s="47">
        <v>400</v>
      </c>
    </row>
    <row r="13" spans="1:20" x14ac:dyDescent="0.25">
      <c r="A13" s="2">
        <v>10</v>
      </c>
      <c r="D13" s="9" t="s">
        <v>6</v>
      </c>
      <c r="E13" s="10"/>
      <c r="F13" s="10"/>
      <c r="G13" s="11"/>
      <c r="H13" s="12">
        <f>'KASIM 3 HAFTA '!P13</f>
        <v>42</v>
      </c>
      <c r="I13" s="7" t="s">
        <v>2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4">
        <f t="shared" si="0"/>
        <v>42</v>
      </c>
      <c r="Q13" s="1" t="s">
        <v>14</v>
      </c>
      <c r="R13" s="44">
        <v>0</v>
      </c>
      <c r="S13" s="46"/>
    </row>
    <row r="14" spans="1:20" x14ac:dyDescent="0.25">
      <c r="A14" s="2">
        <v>11</v>
      </c>
      <c r="D14" s="16" t="s">
        <v>7</v>
      </c>
      <c r="E14" s="17"/>
      <c r="F14" s="17"/>
      <c r="G14" s="18"/>
      <c r="H14" s="12">
        <v>10</v>
      </c>
      <c r="I14" s="7" t="s">
        <v>2</v>
      </c>
      <c r="J14" s="3">
        <v>0</v>
      </c>
      <c r="K14" s="3">
        <v>0</v>
      </c>
      <c r="L14" s="3">
        <v>4</v>
      </c>
      <c r="M14" s="3">
        <v>0</v>
      </c>
      <c r="N14" s="3">
        <v>0</v>
      </c>
      <c r="O14" s="3">
        <v>0</v>
      </c>
      <c r="P14" s="4">
        <f t="shared" si="0"/>
        <v>6</v>
      </c>
      <c r="Q14" s="1" t="s">
        <v>14</v>
      </c>
      <c r="R14" s="44">
        <v>20</v>
      </c>
      <c r="S14" s="47">
        <v>50</v>
      </c>
    </row>
    <row r="15" spans="1:20" x14ac:dyDescent="0.25">
      <c r="A15" s="2">
        <v>12</v>
      </c>
      <c r="D15" s="9" t="s">
        <v>69</v>
      </c>
      <c r="E15" s="10"/>
      <c r="F15" s="10"/>
      <c r="G15" s="11"/>
      <c r="H15" s="12">
        <v>24</v>
      </c>
      <c r="I15" s="7" t="s">
        <v>2</v>
      </c>
      <c r="J15" s="3">
        <v>0</v>
      </c>
      <c r="K15" s="3">
        <v>0</v>
      </c>
      <c r="L15" s="3">
        <v>0</v>
      </c>
      <c r="M15" s="3">
        <v>16</v>
      </c>
      <c r="N15" s="3">
        <v>0</v>
      </c>
      <c r="O15" s="3">
        <v>0</v>
      </c>
      <c r="P15" s="4">
        <f t="shared" si="0"/>
        <v>8</v>
      </c>
      <c r="Q15" s="1" t="s">
        <v>14</v>
      </c>
      <c r="R15" s="44">
        <v>100</v>
      </c>
      <c r="S15" s="47">
        <v>200</v>
      </c>
    </row>
    <row r="16" spans="1:20" x14ac:dyDescent="0.25">
      <c r="A16" s="2">
        <v>13</v>
      </c>
      <c r="D16" s="16" t="s">
        <v>27</v>
      </c>
      <c r="E16" s="17"/>
      <c r="F16" s="17"/>
      <c r="G16" s="18"/>
      <c r="H16" s="12">
        <f>'KASIM 3 HAFTA '!P16</f>
        <v>90</v>
      </c>
      <c r="I16" s="7" t="s">
        <v>2</v>
      </c>
      <c r="J16" s="3">
        <v>0</v>
      </c>
      <c r="K16" s="3">
        <v>2</v>
      </c>
      <c r="L16" s="3">
        <v>0</v>
      </c>
      <c r="M16" s="3">
        <v>0</v>
      </c>
      <c r="N16" s="3">
        <v>0</v>
      </c>
      <c r="O16" s="3">
        <v>0</v>
      </c>
      <c r="P16" s="4">
        <f t="shared" si="0"/>
        <v>88</v>
      </c>
      <c r="Q16" s="1" t="s">
        <v>14</v>
      </c>
      <c r="R16" s="44">
        <v>0</v>
      </c>
      <c r="S16" s="46"/>
    </row>
    <row r="17" spans="1:19" x14ac:dyDescent="0.25">
      <c r="A17" s="2">
        <v>14</v>
      </c>
      <c r="D17" s="9" t="s">
        <v>73</v>
      </c>
      <c r="E17" s="10"/>
      <c r="F17" s="10"/>
      <c r="G17" s="11"/>
      <c r="H17" s="12">
        <f>'KASIM 3 HAFTA '!P17</f>
        <v>800</v>
      </c>
      <c r="I17" s="7" t="s">
        <v>2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4">
        <f t="shared" si="0"/>
        <v>800</v>
      </c>
      <c r="Q17" s="1" t="s">
        <v>14</v>
      </c>
      <c r="R17" s="44">
        <v>0</v>
      </c>
      <c r="S17" s="46"/>
    </row>
    <row r="18" spans="1:19" x14ac:dyDescent="0.25">
      <c r="A18" s="2">
        <v>15</v>
      </c>
      <c r="D18" s="16" t="s">
        <v>28</v>
      </c>
      <c r="E18" s="17"/>
      <c r="F18" s="17"/>
      <c r="G18" s="18"/>
      <c r="H18" s="12">
        <v>46</v>
      </c>
      <c r="I18" s="7" t="s">
        <v>2</v>
      </c>
      <c r="J18" s="3">
        <v>0</v>
      </c>
      <c r="K18" s="3">
        <v>0</v>
      </c>
      <c r="L18" s="3">
        <v>40</v>
      </c>
      <c r="M18" s="3">
        <v>0</v>
      </c>
      <c r="N18" s="3">
        <v>0</v>
      </c>
      <c r="O18" s="3">
        <v>0</v>
      </c>
      <c r="P18" s="4">
        <f t="shared" si="0"/>
        <v>6</v>
      </c>
      <c r="Q18" s="1" t="s">
        <v>14</v>
      </c>
      <c r="R18" s="44">
        <v>20</v>
      </c>
      <c r="S18" s="47">
        <v>50</v>
      </c>
    </row>
    <row r="19" spans="1:19" x14ac:dyDescent="0.25">
      <c r="A19" s="2">
        <v>16</v>
      </c>
      <c r="D19" s="9" t="s">
        <v>29</v>
      </c>
      <c r="E19" s="10"/>
      <c r="F19" s="10"/>
      <c r="G19" s="11"/>
      <c r="H19" s="12">
        <v>46</v>
      </c>
      <c r="I19" s="7" t="s">
        <v>2</v>
      </c>
      <c r="J19" s="3">
        <v>0</v>
      </c>
      <c r="K19" s="3">
        <v>0</v>
      </c>
      <c r="L19" s="3">
        <v>40</v>
      </c>
      <c r="M19" s="3">
        <v>0</v>
      </c>
      <c r="N19" s="3">
        <v>0</v>
      </c>
      <c r="O19" s="3">
        <v>0</v>
      </c>
      <c r="P19" s="4">
        <f t="shared" si="0"/>
        <v>6</v>
      </c>
      <c r="Q19" s="1" t="s">
        <v>14</v>
      </c>
      <c r="R19" s="44">
        <v>20</v>
      </c>
      <c r="S19" s="47">
        <v>50</v>
      </c>
    </row>
    <row r="20" spans="1:19" x14ac:dyDescent="0.25">
      <c r="A20" s="2">
        <v>17</v>
      </c>
      <c r="D20" s="16" t="s">
        <v>30</v>
      </c>
      <c r="E20" s="17"/>
      <c r="F20" s="17"/>
      <c r="G20" s="18"/>
      <c r="H20" s="12">
        <v>78</v>
      </c>
      <c r="I20" s="7" t="s">
        <v>2</v>
      </c>
      <c r="J20" s="3">
        <v>0</v>
      </c>
      <c r="K20" s="3">
        <v>0</v>
      </c>
      <c r="L20" s="3">
        <v>40</v>
      </c>
      <c r="M20" s="3">
        <v>0</v>
      </c>
      <c r="N20" s="3">
        <v>0</v>
      </c>
      <c r="O20" s="3">
        <v>0</v>
      </c>
      <c r="P20" s="4">
        <f t="shared" si="0"/>
        <v>38</v>
      </c>
      <c r="Q20" s="1" t="s">
        <v>14</v>
      </c>
      <c r="R20" s="44">
        <v>20</v>
      </c>
      <c r="S20" s="47">
        <v>50</v>
      </c>
    </row>
    <row r="21" spans="1:19" x14ac:dyDescent="0.25">
      <c r="A21" s="2">
        <v>18</v>
      </c>
      <c r="D21" s="9" t="s">
        <v>31</v>
      </c>
      <c r="E21" s="10"/>
      <c r="F21" s="10"/>
      <c r="G21" s="11"/>
      <c r="H21" s="12">
        <f>'KASIM 3 HAFTA '!P21</f>
        <v>33</v>
      </c>
      <c r="I21" s="7" t="s">
        <v>2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10</v>
      </c>
      <c r="P21" s="4">
        <f t="shared" si="0"/>
        <v>23</v>
      </c>
      <c r="Q21" s="1" t="s">
        <v>14</v>
      </c>
      <c r="R21" s="44">
        <v>0</v>
      </c>
      <c r="S21" s="46"/>
    </row>
    <row r="22" spans="1:19" x14ac:dyDescent="0.25">
      <c r="A22" s="2">
        <v>19</v>
      </c>
      <c r="D22" s="55" t="s">
        <v>8</v>
      </c>
      <c r="E22" s="56"/>
      <c r="F22" s="56"/>
      <c r="G22" s="57"/>
      <c r="H22" s="58">
        <v>180</v>
      </c>
      <c r="I22" s="59" t="s">
        <v>1</v>
      </c>
      <c r="J22" s="3">
        <v>0</v>
      </c>
      <c r="K22" s="3">
        <v>20</v>
      </c>
      <c r="L22" s="3">
        <v>0</v>
      </c>
      <c r="M22" s="3">
        <v>0</v>
      </c>
      <c r="N22" s="3">
        <v>0</v>
      </c>
      <c r="O22" s="3">
        <v>0</v>
      </c>
      <c r="P22" s="46">
        <f t="shared" si="0"/>
        <v>160</v>
      </c>
      <c r="Q22" s="1" t="s">
        <v>14</v>
      </c>
      <c r="R22" s="44">
        <v>50</v>
      </c>
      <c r="S22" s="47">
        <v>200</v>
      </c>
    </row>
    <row r="23" spans="1:19" x14ac:dyDescent="0.25">
      <c r="A23" s="2">
        <v>20</v>
      </c>
      <c r="D23" s="9" t="s">
        <v>32</v>
      </c>
      <c r="E23" s="10"/>
      <c r="F23" s="10"/>
      <c r="G23" s="11"/>
      <c r="H23" s="12">
        <f>'KASIM 3 HAFTA '!P23</f>
        <v>2000</v>
      </c>
      <c r="I23" s="7" t="s">
        <v>2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4">
        <f t="shared" si="0"/>
        <v>2000</v>
      </c>
      <c r="Q23" s="1" t="s">
        <v>14</v>
      </c>
      <c r="R23" s="44">
        <v>0</v>
      </c>
      <c r="S23" s="46"/>
    </row>
    <row r="24" spans="1:19" x14ac:dyDescent="0.25">
      <c r="A24" s="2">
        <v>21</v>
      </c>
      <c r="D24" s="16" t="s">
        <v>33</v>
      </c>
      <c r="E24" s="17"/>
      <c r="F24" s="17"/>
      <c r="G24" s="18"/>
      <c r="H24" s="12">
        <f>'KASIM 3 HAFTA '!P24</f>
        <v>273</v>
      </c>
      <c r="I24" s="7" t="s">
        <v>2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4">
        <f t="shared" si="0"/>
        <v>273</v>
      </c>
      <c r="Q24" s="1" t="s">
        <v>14</v>
      </c>
      <c r="R24" s="44">
        <v>0</v>
      </c>
      <c r="S24" s="46"/>
    </row>
    <row r="25" spans="1:19" x14ac:dyDescent="0.25">
      <c r="A25" s="2">
        <v>22</v>
      </c>
      <c r="D25" s="9" t="s">
        <v>34</v>
      </c>
      <c r="E25" s="10"/>
      <c r="F25" s="10"/>
      <c r="G25" s="11"/>
      <c r="H25" s="12">
        <f>'KASIM 3 HAFTA '!P25</f>
        <v>40</v>
      </c>
      <c r="I25" s="7" t="s">
        <v>2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4">
        <f t="shared" si="0"/>
        <v>40</v>
      </c>
      <c r="Q25" s="1" t="s">
        <v>14</v>
      </c>
      <c r="R25" s="44">
        <v>0</v>
      </c>
      <c r="S25" s="46"/>
    </row>
    <row r="26" spans="1:19" x14ac:dyDescent="0.25">
      <c r="A26" s="2">
        <v>23</v>
      </c>
      <c r="D26" s="16" t="s">
        <v>82</v>
      </c>
      <c r="E26" s="17"/>
      <c r="F26" s="17"/>
      <c r="G26" s="18"/>
      <c r="H26" s="12">
        <v>164</v>
      </c>
      <c r="I26" s="7" t="s">
        <v>2</v>
      </c>
      <c r="J26" s="3">
        <v>0</v>
      </c>
      <c r="K26" s="3">
        <v>0</v>
      </c>
      <c r="L26" s="3">
        <v>0</v>
      </c>
      <c r="M26" s="3">
        <v>0</v>
      </c>
      <c r="N26" s="3">
        <v>15</v>
      </c>
      <c r="O26" s="3">
        <v>0</v>
      </c>
      <c r="P26" s="4">
        <f t="shared" si="0"/>
        <v>149</v>
      </c>
      <c r="Q26" s="1" t="s">
        <v>14</v>
      </c>
      <c r="R26" s="44">
        <v>20</v>
      </c>
      <c r="S26" s="47">
        <v>50</v>
      </c>
    </row>
    <row r="27" spans="1:19" x14ac:dyDescent="0.25">
      <c r="A27" s="2">
        <v>24</v>
      </c>
      <c r="D27" s="9" t="s">
        <v>81</v>
      </c>
      <c r="E27" s="10"/>
      <c r="F27" s="10"/>
      <c r="G27" s="11"/>
      <c r="H27" s="12">
        <f>'KASIM 3 HAFTA '!P27</f>
        <v>42</v>
      </c>
      <c r="I27" s="7" t="s">
        <v>2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  <c r="P27" s="4">
        <f t="shared" si="0"/>
        <v>42</v>
      </c>
      <c r="Q27" s="1" t="s">
        <v>14</v>
      </c>
      <c r="R27" s="44">
        <v>20</v>
      </c>
      <c r="S27" s="47">
        <v>50</v>
      </c>
    </row>
    <row r="28" spans="1:19" x14ac:dyDescent="0.25">
      <c r="A28" s="2">
        <v>25</v>
      </c>
      <c r="D28" s="16" t="s">
        <v>35</v>
      </c>
      <c r="E28" s="17"/>
      <c r="F28" s="17"/>
      <c r="G28" s="18"/>
      <c r="H28" s="12">
        <v>0</v>
      </c>
      <c r="I28" s="7" t="s">
        <v>2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4">
        <f t="shared" si="0"/>
        <v>0</v>
      </c>
      <c r="Q28" s="1" t="s">
        <v>14</v>
      </c>
      <c r="R28" s="44">
        <v>50</v>
      </c>
      <c r="S28" s="47">
        <v>100</v>
      </c>
    </row>
    <row r="29" spans="1:19" x14ac:dyDescent="0.25">
      <c r="A29" s="2">
        <v>26</v>
      </c>
      <c r="D29" s="9" t="s">
        <v>36</v>
      </c>
      <c r="E29" s="10"/>
      <c r="F29" s="10"/>
      <c r="G29" s="11"/>
      <c r="H29" s="12">
        <v>25</v>
      </c>
      <c r="I29" s="7" t="s">
        <v>2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4">
        <f t="shared" si="0"/>
        <v>25</v>
      </c>
      <c r="Q29" s="1" t="s">
        <v>14</v>
      </c>
      <c r="R29" s="44">
        <v>50</v>
      </c>
      <c r="S29" s="47">
        <v>100</v>
      </c>
    </row>
    <row r="30" spans="1:19" x14ac:dyDescent="0.25">
      <c r="A30" s="2">
        <v>27</v>
      </c>
      <c r="D30" s="16" t="s">
        <v>37</v>
      </c>
      <c r="E30" s="17"/>
      <c r="F30" s="17"/>
      <c r="G30" s="18"/>
      <c r="H30" s="12">
        <v>226</v>
      </c>
      <c r="I30" s="7" t="s">
        <v>2</v>
      </c>
      <c r="J30" s="3">
        <v>0</v>
      </c>
      <c r="K30" s="3">
        <v>0</v>
      </c>
      <c r="L30" s="3">
        <v>0</v>
      </c>
      <c r="M30" s="3">
        <v>0</v>
      </c>
      <c r="N30" s="3">
        <v>15</v>
      </c>
      <c r="O30" s="3">
        <v>0</v>
      </c>
      <c r="P30" s="4">
        <f t="shared" si="0"/>
        <v>211</v>
      </c>
      <c r="Q30" s="1" t="s">
        <v>14</v>
      </c>
      <c r="R30" s="44">
        <v>20</v>
      </c>
      <c r="S30" s="47">
        <v>50</v>
      </c>
    </row>
    <row r="31" spans="1:19" x14ac:dyDescent="0.25">
      <c r="A31" s="2">
        <v>28</v>
      </c>
      <c r="D31" s="9" t="s">
        <v>38</v>
      </c>
      <c r="E31" s="10"/>
      <c r="F31" s="10"/>
      <c r="G31" s="11"/>
      <c r="H31" s="12">
        <v>520</v>
      </c>
      <c r="I31" s="7" t="s">
        <v>2</v>
      </c>
      <c r="J31" s="3">
        <v>0</v>
      </c>
      <c r="K31" s="3">
        <v>0</v>
      </c>
      <c r="L31" s="3">
        <v>0</v>
      </c>
      <c r="M31" s="3">
        <v>0</v>
      </c>
      <c r="N31" s="3">
        <v>15</v>
      </c>
      <c r="O31" s="3">
        <v>0</v>
      </c>
      <c r="P31" s="4">
        <f t="shared" si="0"/>
        <v>505</v>
      </c>
      <c r="Q31" s="1" t="s">
        <v>14</v>
      </c>
      <c r="R31" s="44">
        <v>50</v>
      </c>
      <c r="S31" s="47">
        <v>100</v>
      </c>
    </row>
    <row r="32" spans="1:19" x14ac:dyDescent="0.25">
      <c r="A32" s="2">
        <v>29</v>
      </c>
      <c r="D32" s="16" t="s">
        <v>39</v>
      </c>
      <c r="E32" s="17"/>
      <c r="F32" s="17"/>
      <c r="G32" s="18"/>
      <c r="H32" s="12">
        <v>44</v>
      </c>
      <c r="I32" s="7" t="s">
        <v>2</v>
      </c>
      <c r="J32" s="3">
        <v>0</v>
      </c>
      <c r="K32" s="3">
        <v>0</v>
      </c>
      <c r="L32" s="3">
        <v>0</v>
      </c>
      <c r="M32" s="3">
        <v>0</v>
      </c>
      <c r="N32" s="3">
        <v>15</v>
      </c>
      <c r="O32" s="3">
        <v>0</v>
      </c>
      <c r="P32" s="4">
        <f t="shared" si="0"/>
        <v>29</v>
      </c>
      <c r="Q32" s="1" t="s">
        <v>14</v>
      </c>
      <c r="R32" s="44">
        <v>20</v>
      </c>
      <c r="S32" s="47">
        <v>50</v>
      </c>
    </row>
    <row r="33" spans="1:19" x14ac:dyDescent="0.25">
      <c r="A33" s="2">
        <v>30</v>
      </c>
      <c r="D33" s="9" t="s">
        <v>40</v>
      </c>
      <c r="E33" s="10"/>
      <c r="F33" s="10"/>
      <c r="G33" s="11"/>
      <c r="H33" s="12">
        <v>1075</v>
      </c>
      <c r="I33" s="7" t="s">
        <v>2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4">
        <f t="shared" si="0"/>
        <v>1075</v>
      </c>
      <c r="Q33" s="1" t="s">
        <v>14</v>
      </c>
      <c r="R33" s="44">
        <v>0</v>
      </c>
      <c r="S33" s="46"/>
    </row>
    <row r="34" spans="1:19" x14ac:dyDescent="0.25">
      <c r="A34" s="2">
        <v>31</v>
      </c>
      <c r="D34" s="16" t="s">
        <v>9</v>
      </c>
      <c r="E34" s="17"/>
      <c r="F34" s="17"/>
      <c r="G34" s="18"/>
      <c r="H34" s="12">
        <v>524</v>
      </c>
      <c r="I34" s="7" t="s">
        <v>2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4">
        <f t="shared" si="0"/>
        <v>524</v>
      </c>
      <c r="Q34" s="1" t="s">
        <v>14</v>
      </c>
      <c r="R34" s="44">
        <v>50</v>
      </c>
      <c r="S34" s="47">
        <v>100</v>
      </c>
    </row>
    <row r="35" spans="1:19" x14ac:dyDescent="0.25">
      <c r="A35" s="2">
        <v>32</v>
      </c>
      <c r="D35" s="9" t="s">
        <v>83</v>
      </c>
      <c r="E35" s="10"/>
      <c r="F35" s="10"/>
      <c r="G35" s="11"/>
      <c r="H35" s="12">
        <v>90</v>
      </c>
      <c r="I35" s="7" t="s">
        <v>2</v>
      </c>
      <c r="J35" s="3">
        <v>0</v>
      </c>
      <c r="K35" s="3">
        <v>0</v>
      </c>
      <c r="L35" s="3">
        <v>0</v>
      </c>
      <c r="M35" s="3">
        <v>0</v>
      </c>
      <c r="N35" s="3">
        <v>15</v>
      </c>
      <c r="O35" s="3">
        <v>0</v>
      </c>
      <c r="P35" s="4">
        <f t="shared" si="0"/>
        <v>75</v>
      </c>
      <c r="Q35" s="1" t="s">
        <v>14</v>
      </c>
      <c r="R35" s="44">
        <v>20</v>
      </c>
      <c r="S35" s="47">
        <v>50</v>
      </c>
    </row>
    <row r="36" spans="1:19" x14ac:dyDescent="0.25">
      <c r="A36" s="2">
        <v>33</v>
      </c>
      <c r="D36" s="16" t="s">
        <v>70</v>
      </c>
      <c r="E36" s="17"/>
      <c r="F36" s="17"/>
      <c r="G36" s="18"/>
      <c r="H36" s="12">
        <f>'KASIM 3 HAFTA '!P36</f>
        <v>934</v>
      </c>
      <c r="I36" s="7" t="s">
        <v>2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4">
        <f t="shared" si="0"/>
        <v>934</v>
      </c>
      <c r="Q36" s="1" t="s">
        <v>14</v>
      </c>
      <c r="R36" s="44">
        <v>0</v>
      </c>
      <c r="S36" s="46"/>
    </row>
    <row r="37" spans="1:19" x14ac:dyDescent="0.25">
      <c r="A37" s="2">
        <v>34</v>
      </c>
      <c r="D37" s="9" t="s">
        <v>41</v>
      </c>
      <c r="E37" s="10"/>
      <c r="F37" s="10"/>
      <c r="G37" s="11"/>
      <c r="H37" s="12">
        <f>'KASIM 3 HAFTA '!P37</f>
        <v>283</v>
      </c>
      <c r="I37" s="7" t="s">
        <v>2</v>
      </c>
      <c r="J37" s="3">
        <v>0</v>
      </c>
      <c r="K37" s="3">
        <v>0</v>
      </c>
      <c r="L37" s="3">
        <v>0</v>
      </c>
      <c r="M37" s="3">
        <v>0</v>
      </c>
      <c r="N37" s="3">
        <v>4</v>
      </c>
      <c r="O37" s="3">
        <v>0</v>
      </c>
      <c r="P37" s="4">
        <f t="shared" si="0"/>
        <v>279</v>
      </c>
      <c r="Q37" s="1" t="s">
        <v>14</v>
      </c>
      <c r="R37" s="44">
        <v>50</v>
      </c>
      <c r="S37" s="47">
        <v>100</v>
      </c>
    </row>
    <row r="38" spans="1:19" x14ac:dyDescent="0.25">
      <c r="A38" s="2">
        <v>35</v>
      </c>
      <c r="D38" s="16" t="s">
        <v>42</v>
      </c>
      <c r="E38" s="17"/>
      <c r="F38" s="17"/>
      <c r="G38" s="18"/>
      <c r="H38" s="12">
        <f>'KASIM 3 HAFTA '!P38</f>
        <v>287</v>
      </c>
      <c r="I38" s="7" t="s">
        <v>2</v>
      </c>
      <c r="J38" s="3">
        <v>0</v>
      </c>
      <c r="K38" s="3">
        <v>0</v>
      </c>
      <c r="L38" s="3">
        <v>0</v>
      </c>
      <c r="M38" s="3">
        <v>0</v>
      </c>
      <c r="N38" s="3">
        <v>4</v>
      </c>
      <c r="O38" s="3">
        <v>0</v>
      </c>
      <c r="P38" s="4">
        <f t="shared" si="0"/>
        <v>283</v>
      </c>
      <c r="Q38" s="1" t="s">
        <v>14</v>
      </c>
      <c r="R38" s="44">
        <v>50</v>
      </c>
      <c r="S38" s="47">
        <v>100</v>
      </c>
    </row>
    <row r="39" spans="1:19" x14ac:dyDescent="0.25">
      <c r="A39" s="2">
        <v>36</v>
      </c>
      <c r="D39" s="9" t="s">
        <v>43</v>
      </c>
      <c r="E39" s="10"/>
      <c r="F39" s="10"/>
      <c r="G39" s="11"/>
      <c r="H39" s="12">
        <v>16</v>
      </c>
      <c r="I39" s="7" t="s">
        <v>2</v>
      </c>
      <c r="J39" s="3">
        <v>0</v>
      </c>
      <c r="K39" s="3">
        <v>0</v>
      </c>
      <c r="L39" s="3">
        <v>0</v>
      </c>
      <c r="M39" s="3">
        <v>0</v>
      </c>
      <c r="N39" s="3">
        <v>2</v>
      </c>
      <c r="O39" s="3">
        <v>0</v>
      </c>
      <c r="P39" s="4">
        <f t="shared" si="0"/>
        <v>14</v>
      </c>
      <c r="Q39" s="1" t="s">
        <v>14</v>
      </c>
      <c r="R39" s="44">
        <v>50</v>
      </c>
      <c r="S39" s="47">
        <v>100</v>
      </c>
    </row>
    <row r="40" spans="1:19" x14ac:dyDescent="0.25">
      <c r="A40" s="2">
        <v>37</v>
      </c>
      <c r="D40" s="16" t="s">
        <v>119</v>
      </c>
      <c r="E40" s="17"/>
      <c r="F40" s="17"/>
      <c r="G40" s="18"/>
      <c r="H40" s="12">
        <v>48</v>
      </c>
      <c r="I40" s="7" t="s">
        <v>2</v>
      </c>
      <c r="J40" s="3">
        <v>0</v>
      </c>
      <c r="K40" s="3">
        <v>0</v>
      </c>
      <c r="L40" s="3">
        <v>0</v>
      </c>
      <c r="M40" s="3">
        <v>0</v>
      </c>
      <c r="N40" s="3">
        <v>2</v>
      </c>
      <c r="O40" s="3">
        <v>0</v>
      </c>
      <c r="P40" s="4">
        <f t="shared" si="0"/>
        <v>46</v>
      </c>
      <c r="Q40" s="1" t="s">
        <v>14</v>
      </c>
      <c r="R40" s="44">
        <v>0</v>
      </c>
      <c r="S40" s="46"/>
    </row>
    <row r="41" spans="1:19" x14ac:dyDescent="0.25">
      <c r="A41" s="2">
        <v>38</v>
      </c>
      <c r="D41" s="9" t="s">
        <v>71</v>
      </c>
      <c r="E41" s="10"/>
      <c r="F41" s="10"/>
      <c r="G41" s="11"/>
      <c r="H41" s="12">
        <f>'KASIM 3 HAFTA '!P41</f>
        <v>20</v>
      </c>
      <c r="I41" s="7" t="s">
        <v>2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4">
        <f t="shared" si="0"/>
        <v>20</v>
      </c>
      <c r="Q41" s="1" t="s">
        <v>14</v>
      </c>
      <c r="R41" s="44">
        <v>5</v>
      </c>
      <c r="S41" s="47">
        <v>10</v>
      </c>
    </row>
    <row r="42" spans="1:19" x14ac:dyDescent="0.25">
      <c r="A42" s="2">
        <v>39</v>
      </c>
      <c r="D42" s="16" t="s">
        <v>10</v>
      </c>
      <c r="E42" s="17"/>
      <c r="F42" s="17"/>
      <c r="G42" s="18"/>
      <c r="H42" s="12">
        <v>30</v>
      </c>
      <c r="I42" s="7" t="s">
        <v>2</v>
      </c>
      <c r="J42" s="3">
        <v>0</v>
      </c>
      <c r="K42" s="3">
        <v>0</v>
      </c>
      <c r="L42" s="3">
        <v>0</v>
      </c>
      <c r="M42" s="3">
        <v>0</v>
      </c>
      <c r="N42" s="3">
        <v>2</v>
      </c>
      <c r="O42" s="3">
        <v>0</v>
      </c>
      <c r="P42" s="4">
        <f t="shared" si="0"/>
        <v>28</v>
      </c>
      <c r="Q42" s="1" t="s">
        <v>14</v>
      </c>
      <c r="R42" s="44">
        <v>40</v>
      </c>
      <c r="S42" s="47">
        <v>100</v>
      </c>
    </row>
    <row r="43" spans="1:19" x14ac:dyDescent="0.25">
      <c r="A43" s="2">
        <v>40</v>
      </c>
      <c r="D43" s="9" t="s">
        <v>45</v>
      </c>
      <c r="E43" s="10"/>
      <c r="F43" s="10"/>
      <c r="G43" s="11"/>
      <c r="H43" s="12">
        <v>80</v>
      </c>
      <c r="I43" s="7" t="s">
        <v>2</v>
      </c>
      <c r="J43" s="3">
        <v>0</v>
      </c>
      <c r="K43" s="3">
        <v>0</v>
      </c>
      <c r="L43" s="3">
        <v>0</v>
      </c>
      <c r="M43" s="3">
        <v>0</v>
      </c>
      <c r="N43" s="3">
        <v>2</v>
      </c>
      <c r="O43" s="3">
        <v>0</v>
      </c>
      <c r="P43" s="4">
        <f t="shared" si="0"/>
        <v>78</v>
      </c>
      <c r="Q43" s="1" t="s">
        <v>14</v>
      </c>
      <c r="R43" s="44">
        <v>20</v>
      </c>
      <c r="S43" s="47">
        <v>50</v>
      </c>
    </row>
    <row r="44" spans="1:19" x14ac:dyDescent="0.25">
      <c r="A44" s="2">
        <v>41</v>
      </c>
      <c r="D44" s="16" t="s">
        <v>46</v>
      </c>
      <c r="E44" s="17"/>
      <c r="F44" s="17"/>
      <c r="G44" s="18"/>
      <c r="H44" s="12">
        <v>80</v>
      </c>
      <c r="I44" s="7" t="s">
        <v>2</v>
      </c>
      <c r="J44" s="3">
        <v>0</v>
      </c>
      <c r="K44" s="3">
        <v>0</v>
      </c>
      <c r="L44" s="3">
        <v>0</v>
      </c>
      <c r="M44" s="3">
        <v>0</v>
      </c>
      <c r="N44" s="3">
        <v>2</v>
      </c>
      <c r="O44" s="3">
        <v>0</v>
      </c>
      <c r="P44" s="4">
        <f t="shared" si="0"/>
        <v>78</v>
      </c>
      <c r="Q44" s="1" t="s">
        <v>14</v>
      </c>
      <c r="R44" s="44">
        <v>20</v>
      </c>
      <c r="S44" s="47">
        <v>50</v>
      </c>
    </row>
    <row r="45" spans="1:19" x14ac:dyDescent="0.25">
      <c r="A45" s="2">
        <v>42</v>
      </c>
      <c r="D45" s="9" t="s">
        <v>47</v>
      </c>
      <c r="E45" s="10"/>
      <c r="F45" s="10"/>
      <c r="G45" s="11"/>
      <c r="H45" s="12">
        <v>95</v>
      </c>
      <c r="I45" s="7" t="s">
        <v>2</v>
      </c>
      <c r="J45" s="3">
        <v>0</v>
      </c>
      <c r="K45" s="3">
        <v>0</v>
      </c>
      <c r="L45" s="3">
        <v>0</v>
      </c>
      <c r="M45" s="3">
        <v>0</v>
      </c>
      <c r="N45" s="3">
        <v>2</v>
      </c>
      <c r="O45" s="3">
        <v>0</v>
      </c>
      <c r="P45" s="4">
        <f t="shared" si="0"/>
        <v>93</v>
      </c>
      <c r="Q45" s="1" t="s">
        <v>14</v>
      </c>
      <c r="R45" s="44">
        <v>20</v>
      </c>
      <c r="S45" s="47">
        <v>50</v>
      </c>
    </row>
    <row r="46" spans="1:19" x14ac:dyDescent="0.25">
      <c r="A46" s="2">
        <v>43</v>
      </c>
      <c r="D46" s="16" t="s">
        <v>79</v>
      </c>
      <c r="E46" s="17"/>
      <c r="F46" s="17"/>
      <c r="G46" s="18"/>
      <c r="H46" s="12">
        <v>48</v>
      </c>
      <c r="I46" s="7" t="s">
        <v>2</v>
      </c>
      <c r="J46" s="3">
        <v>0</v>
      </c>
      <c r="K46" s="3">
        <v>0</v>
      </c>
      <c r="L46" s="3">
        <v>0</v>
      </c>
      <c r="M46" s="3">
        <v>0</v>
      </c>
      <c r="N46" s="3">
        <v>5</v>
      </c>
      <c r="O46" s="3">
        <v>0</v>
      </c>
      <c r="P46" s="4">
        <f t="shared" si="0"/>
        <v>43</v>
      </c>
      <c r="Q46" s="1" t="s">
        <v>14</v>
      </c>
      <c r="R46" s="44">
        <v>10</v>
      </c>
      <c r="S46" s="47">
        <v>20</v>
      </c>
    </row>
    <row r="47" spans="1:19" x14ac:dyDescent="0.25">
      <c r="A47" s="2">
        <v>44</v>
      </c>
      <c r="D47" s="9" t="s">
        <v>48</v>
      </c>
      <c r="E47" s="10"/>
      <c r="F47" s="10"/>
      <c r="G47" s="11"/>
      <c r="H47" s="12">
        <v>23</v>
      </c>
      <c r="I47" s="7" t="s">
        <v>2</v>
      </c>
      <c r="J47" s="3">
        <v>0</v>
      </c>
      <c r="K47" s="3">
        <v>0</v>
      </c>
      <c r="L47" s="3">
        <v>0</v>
      </c>
      <c r="M47" s="3">
        <v>0</v>
      </c>
      <c r="N47" s="3">
        <v>5</v>
      </c>
      <c r="O47" s="3">
        <v>0</v>
      </c>
      <c r="P47" s="4">
        <f t="shared" si="0"/>
        <v>18</v>
      </c>
      <c r="Q47" s="1" t="s">
        <v>14</v>
      </c>
      <c r="R47" s="44">
        <v>10</v>
      </c>
      <c r="S47" s="47">
        <v>20</v>
      </c>
    </row>
    <row r="48" spans="1:19" x14ac:dyDescent="0.25">
      <c r="A48" s="2">
        <v>45</v>
      </c>
      <c r="D48" s="16" t="s">
        <v>49</v>
      </c>
      <c r="E48" s="17"/>
      <c r="F48" s="17"/>
      <c r="G48" s="18"/>
      <c r="H48" s="12">
        <f>'KASIM 3 HAFTA '!P48</f>
        <v>0</v>
      </c>
      <c r="I48" s="7" t="s">
        <v>2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4">
        <f t="shared" si="0"/>
        <v>0</v>
      </c>
      <c r="Q48" s="1" t="s">
        <v>14</v>
      </c>
      <c r="R48" s="44">
        <v>10</v>
      </c>
      <c r="S48" s="47">
        <v>20</v>
      </c>
    </row>
    <row r="49" spans="1:20" x14ac:dyDescent="0.25">
      <c r="A49" s="2">
        <v>46</v>
      </c>
      <c r="D49" s="9" t="s">
        <v>11</v>
      </c>
      <c r="E49" s="10"/>
      <c r="F49" s="10"/>
      <c r="G49" s="11"/>
      <c r="H49" s="12">
        <v>317.5</v>
      </c>
      <c r="I49" s="7" t="s">
        <v>1</v>
      </c>
      <c r="J49" s="3">
        <v>0</v>
      </c>
      <c r="K49" s="3">
        <v>0</v>
      </c>
      <c r="L49" s="3">
        <v>40</v>
      </c>
      <c r="M49" s="3">
        <v>0</v>
      </c>
      <c r="N49" s="3">
        <v>0</v>
      </c>
      <c r="O49" s="3">
        <v>0</v>
      </c>
      <c r="P49" s="4">
        <f t="shared" si="0"/>
        <v>277.5</v>
      </c>
      <c r="Q49" s="1" t="s">
        <v>14</v>
      </c>
      <c r="R49" s="44">
        <v>20</v>
      </c>
      <c r="S49" s="47">
        <v>100</v>
      </c>
      <c r="T49" t="s">
        <v>75</v>
      </c>
    </row>
    <row r="50" spans="1:20" x14ac:dyDescent="0.25">
      <c r="A50" s="2">
        <v>47</v>
      </c>
      <c r="D50" s="16" t="s">
        <v>111</v>
      </c>
      <c r="E50" s="17"/>
      <c r="F50" s="17"/>
      <c r="G50" s="18"/>
      <c r="H50" s="12">
        <v>183</v>
      </c>
      <c r="I50" s="7" t="s">
        <v>2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14</v>
      </c>
      <c r="P50" s="4">
        <f t="shared" si="0"/>
        <v>169</v>
      </c>
      <c r="Q50" s="1" t="s">
        <v>14</v>
      </c>
      <c r="R50" s="44">
        <v>30</v>
      </c>
      <c r="S50" s="47">
        <v>100</v>
      </c>
    </row>
    <row r="51" spans="1:20" x14ac:dyDescent="0.25">
      <c r="A51" s="2">
        <v>48</v>
      </c>
      <c r="D51" s="9" t="s">
        <v>51</v>
      </c>
      <c r="E51" s="10"/>
      <c r="F51" s="10"/>
      <c r="G51" s="11"/>
      <c r="H51" s="12">
        <v>93</v>
      </c>
      <c r="I51" s="7" t="s">
        <v>2</v>
      </c>
      <c r="J51" s="3">
        <v>0</v>
      </c>
      <c r="K51" s="3">
        <v>0</v>
      </c>
      <c r="L51" s="3">
        <v>0</v>
      </c>
      <c r="M51" s="3">
        <v>0</v>
      </c>
      <c r="N51" s="3">
        <v>2</v>
      </c>
      <c r="O51" s="3">
        <v>0</v>
      </c>
      <c r="P51" s="4">
        <f t="shared" si="0"/>
        <v>91</v>
      </c>
      <c r="Q51" s="1" t="s">
        <v>14</v>
      </c>
      <c r="R51" s="44">
        <v>20</v>
      </c>
      <c r="S51" s="47">
        <v>50</v>
      </c>
    </row>
    <row r="52" spans="1:20" x14ac:dyDescent="0.25">
      <c r="A52" s="2">
        <v>49</v>
      </c>
      <c r="D52" s="16" t="s">
        <v>52</v>
      </c>
      <c r="E52" s="17"/>
      <c r="F52" s="17"/>
      <c r="G52" s="18"/>
      <c r="H52" s="12">
        <v>89</v>
      </c>
      <c r="I52" s="7" t="s">
        <v>2</v>
      </c>
      <c r="J52" s="3">
        <v>0</v>
      </c>
      <c r="K52" s="3">
        <v>0</v>
      </c>
      <c r="L52" s="3">
        <v>0</v>
      </c>
      <c r="M52" s="3">
        <v>0</v>
      </c>
      <c r="N52" s="3">
        <v>2</v>
      </c>
      <c r="O52" s="3">
        <v>0</v>
      </c>
      <c r="P52" s="4">
        <f t="shared" si="0"/>
        <v>87</v>
      </c>
      <c r="Q52" s="1" t="s">
        <v>14</v>
      </c>
      <c r="R52" s="44">
        <v>20</v>
      </c>
      <c r="S52" s="47">
        <v>50</v>
      </c>
    </row>
    <row r="53" spans="1:20" x14ac:dyDescent="0.25">
      <c r="A53" s="2">
        <v>50</v>
      </c>
      <c r="D53" s="9" t="s">
        <v>53</v>
      </c>
      <c r="E53" s="10"/>
      <c r="F53" s="10"/>
      <c r="G53" s="11"/>
      <c r="H53" s="12">
        <v>39</v>
      </c>
      <c r="I53" s="7" t="s">
        <v>2</v>
      </c>
      <c r="J53" s="3">
        <v>0</v>
      </c>
      <c r="K53" s="3">
        <v>0</v>
      </c>
      <c r="L53" s="3">
        <v>0</v>
      </c>
      <c r="M53" s="3">
        <v>0</v>
      </c>
      <c r="N53" s="3">
        <v>2</v>
      </c>
      <c r="O53" s="3">
        <v>0</v>
      </c>
      <c r="P53" s="4">
        <f t="shared" si="0"/>
        <v>37</v>
      </c>
      <c r="Q53" s="1" t="s">
        <v>14</v>
      </c>
      <c r="R53" s="44">
        <v>20</v>
      </c>
      <c r="S53" s="47">
        <v>50</v>
      </c>
    </row>
    <row r="54" spans="1:20" x14ac:dyDescent="0.25">
      <c r="A54" s="2">
        <v>51</v>
      </c>
      <c r="D54" s="52" t="s">
        <v>54</v>
      </c>
      <c r="E54" s="53"/>
      <c r="F54" s="53"/>
      <c r="G54" s="54"/>
      <c r="H54" s="12">
        <v>405</v>
      </c>
      <c r="I54" s="7" t="s">
        <v>1</v>
      </c>
      <c r="J54" s="3">
        <v>0</v>
      </c>
      <c r="K54" s="3">
        <v>30</v>
      </c>
      <c r="L54" s="3">
        <v>30</v>
      </c>
      <c r="M54" s="3">
        <v>0</v>
      </c>
      <c r="N54" s="3">
        <v>30</v>
      </c>
      <c r="O54" s="3">
        <v>15</v>
      </c>
      <c r="P54" s="4">
        <f t="shared" si="0"/>
        <v>300</v>
      </c>
      <c r="Q54" s="1" t="s">
        <v>120</v>
      </c>
      <c r="R54" s="44">
        <v>250</v>
      </c>
      <c r="S54" s="47">
        <v>750</v>
      </c>
      <c r="T54" t="s">
        <v>75</v>
      </c>
    </row>
    <row r="55" spans="1:20" x14ac:dyDescent="0.25">
      <c r="A55" s="2">
        <v>52</v>
      </c>
      <c r="D55" s="9" t="s">
        <v>55</v>
      </c>
      <c r="E55" s="10"/>
      <c r="F55" s="10"/>
      <c r="G55" s="11"/>
      <c r="H55" s="12">
        <v>4000</v>
      </c>
      <c r="I55" s="7" t="s">
        <v>2</v>
      </c>
      <c r="J55" s="3">
        <v>0</v>
      </c>
      <c r="K55" s="3">
        <v>0</v>
      </c>
      <c r="L55" s="3">
        <v>0</v>
      </c>
      <c r="M55" s="3">
        <v>0</v>
      </c>
      <c r="N55" s="3">
        <v>500</v>
      </c>
      <c r="O55" s="3">
        <v>0</v>
      </c>
      <c r="P55" s="4">
        <f t="shared" si="0"/>
        <v>3500</v>
      </c>
      <c r="Q55" s="1" t="s">
        <v>14</v>
      </c>
      <c r="R55" s="44">
        <v>0</v>
      </c>
      <c r="S55" s="46"/>
    </row>
    <row r="56" spans="1:20" x14ac:dyDescent="0.25">
      <c r="A56" s="2">
        <v>53</v>
      </c>
      <c r="D56" s="16" t="s">
        <v>56</v>
      </c>
      <c r="E56" s="17"/>
      <c r="F56" s="17"/>
      <c r="G56" s="18"/>
      <c r="H56" s="12">
        <f>'KASIM 3 HAFTA '!P56</f>
        <v>2000</v>
      </c>
      <c r="I56" s="7" t="s">
        <v>2</v>
      </c>
      <c r="J56" s="3">
        <v>0</v>
      </c>
      <c r="K56" s="3">
        <v>0</v>
      </c>
      <c r="L56" s="3">
        <v>0</v>
      </c>
      <c r="M56" s="3">
        <v>0</v>
      </c>
      <c r="N56" s="3">
        <v>500</v>
      </c>
      <c r="O56" s="3">
        <v>0</v>
      </c>
      <c r="P56" s="4">
        <f t="shared" si="0"/>
        <v>1500</v>
      </c>
      <c r="Q56" s="1" t="s">
        <v>14</v>
      </c>
      <c r="R56" s="44">
        <v>0</v>
      </c>
      <c r="S56" s="46"/>
    </row>
    <row r="57" spans="1:20" x14ac:dyDescent="0.25">
      <c r="A57" s="2">
        <v>54</v>
      </c>
      <c r="D57" s="9" t="s">
        <v>12</v>
      </c>
      <c r="E57" s="10"/>
      <c r="F57" s="10"/>
      <c r="G57" s="11"/>
      <c r="H57" s="12">
        <f>'KASIM 3 HAFTA '!P57</f>
        <v>2800</v>
      </c>
      <c r="I57" s="7" t="s">
        <v>2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  <c r="P57" s="4">
        <f t="shared" si="0"/>
        <v>2800</v>
      </c>
      <c r="Q57" s="1" t="s">
        <v>14</v>
      </c>
      <c r="R57" s="44">
        <v>0</v>
      </c>
      <c r="S57" s="46"/>
    </row>
    <row r="58" spans="1:20" x14ac:dyDescent="0.25">
      <c r="A58" s="2">
        <v>55</v>
      </c>
      <c r="D58" s="16" t="s">
        <v>57</v>
      </c>
      <c r="E58" s="17"/>
      <c r="F58" s="17"/>
      <c r="G58" s="18"/>
      <c r="H58" s="12">
        <f>'KASIM 3 HAFTA '!P58</f>
        <v>3000</v>
      </c>
      <c r="I58" s="7" t="s">
        <v>2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4">
        <f t="shared" si="0"/>
        <v>3000</v>
      </c>
      <c r="Q58" s="1" t="s">
        <v>14</v>
      </c>
      <c r="R58" s="44">
        <v>0</v>
      </c>
      <c r="S58" s="46"/>
    </row>
    <row r="59" spans="1:20" x14ac:dyDescent="0.25">
      <c r="A59" s="2">
        <v>56</v>
      </c>
      <c r="D59" s="9" t="s">
        <v>58</v>
      </c>
      <c r="E59" s="10"/>
      <c r="F59" s="10"/>
      <c r="G59" s="11"/>
      <c r="H59" s="12">
        <f>'KASIM 3 HAFTA '!P59</f>
        <v>5000</v>
      </c>
      <c r="I59" s="7" t="s">
        <v>2</v>
      </c>
      <c r="J59" s="3">
        <v>0</v>
      </c>
      <c r="K59" s="3">
        <v>0</v>
      </c>
      <c r="L59" s="3">
        <v>0</v>
      </c>
      <c r="M59" s="3">
        <v>0</v>
      </c>
      <c r="N59" s="3">
        <v>1000</v>
      </c>
      <c r="O59" s="3">
        <v>0</v>
      </c>
      <c r="P59" s="4">
        <f t="shared" si="0"/>
        <v>4000</v>
      </c>
      <c r="Q59" s="1" t="s">
        <v>14</v>
      </c>
      <c r="R59" s="44">
        <v>0</v>
      </c>
      <c r="S59" s="46"/>
    </row>
    <row r="60" spans="1:20" x14ac:dyDescent="0.25">
      <c r="A60" s="2">
        <v>57</v>
      </c>
      <c r="D60" s="16" t="s">
        <v>59</v>
      </c>
      <c r="E60" s="17"/>
      <c r="F60" s="17"/>
      <c r="G60" s="18"/>
      <c r="H60" s="12">
        <f>'KASIM 3 HAFTA '!P60</f>
        <v>3000</v>
      </c>
      <c r="I60" s="7" t="s">
        <v>2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4">
        <f t="shared" si="0"/>
        <v>3000</v>
      </c>
      <c r="Q60" s="1" t="s">
        <v>14</v>
      </c>
      <c r="R60" s="44">
        <v>0</v>
      </c>
      <c r="S60" s="46"/>
    </row>
    <row r="61" spans="1:20" x14ac:dyDescent="0.25">
      <c r="A61" s="2">
        <v>58</v>
      </c>
      <c r="D61" s="9" t="s">
        <v>60</v>
      </c>
      <c r="E61" s="10"/>
      <c r="F61" s="10"/>
      <c r="G61" s="11"/>
      <c r="H61" s="12">
        <v>4700</v>
      </c>
      <c r="I61" s="7" t="s">
        <v>2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4">
        <f t="shared" si="0"/>
        <v>4700</v>
      </c>
      <c r="Q61" s="1" t="s">
        <v>14</v>
      </c>
      <c r="R61" s="44">
        <v>0</v>
      </c>
      <c r="S61" s="46"/>
    </row>
    <row r="62" spans="1:20" x14ac:dyDescent="0.25">
      <c r="A62" s="2">
        <v>59</v>
      </c>
      <c r="D62" s="16" t="s">
        <v>61</v>
      </c>
      <c r="E62" s="17"/>
      <c r="F62" s="17"/>
      <c r="G62" s="18"/>
      <c r="H62" s="12">
        <f>'KASIM 3 HAFTA '!P62</f>
        <v>494</v>
      </c>
      <c r="I62" s="7" t="s">
        <v>2</v>
      </c>
      <c r="J62" s="3">
        <v>0</v>
      </c>
      <c r="K62" s="3">
        <v>0</v>
      </c>
      <c r="L62" s="3">
        <v>0</v>
      </c>
      <c r="M62" s="3">
        <v>0</v>
      </c>
      <c r="N62" s="3">
        <v>160</v>
      </c>
      <c r="O62" s="3">
        <v>0</v>
      </c>
      <c r="P62" s="4">
        <f t="shared" si="0"/>
        <v>334</v>
      </c>
      <c r="Q62" s="1" t="s">
        <v>14</v>
      </c>
      <c r="R62" s="44">
        <v>0</v>
      </c>
      <c r="S62" s="46"/>
    </row>
    <row r="63" spans="1:20" x14ac:dyDescent="0.25">
      <c r="A63" s="2">
        <v>60</v>
      </c>
      <c r="D63" s="9" t="s">
        <v>62</v>
      </c>
      <c r="E63" s="10"/>
      <c r="F63" s="10"/>
      <c r="G63" s="11"/>
      <c r="H63" s="12">
        <v>1084</v>
      </c>
      <c r="I63" s="7" t="s">
        <v>2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4">
        <f t="shared" si="0"/>
        <v>1084</v>
      </c>
      <c r="Q63" s="1" t="s">
        <v>14</v>
      </c>
      <c r="R63" s="44">
        <v>200</v>
      </c>
      <c r="S63" s="47">
        <v>1000</v>
      </c>
    </row>
    <row r="64" spans="1:20" x14ac:dyDescent="0.25">
      <c r="A64" s="2">
        <v>61</v>
      </c>
      <c r="D64" s="16" t="s">
        <v>13</v>
      </c>
      <c r="E64" s="17"/>
      <c r="F64" s="17"/>
      <c r="G64" s="18"/>
      <c r="H64" s="12">
        <f>'KASIM 3 HAFTA '!P64</f>
        <v>447</v>
      </c>
      <c r="I64" s="7" t="s">
        <v>2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4">
        <f t="shared" si="0"/>
        <v>447</v>
      </c>
      <c r="Q64" s="1" t="s">
        <v>14</v>
      </c>
      <c r="R64" s="44">
        <v>100</v>
      </c>
      <c r="S64" s="47">
        <v>300</v>
      </c>
    </row>
    <row r="65" spans="1:20" x14ac:dyDescent="0.25">
      <c r="A65" s="2">
        <v>62</v>
      </c>
      <c r="D65" s="9" t="s">
        <v>72</v>
      </c>
      <c r="E65" s="10"/>
      <c r="F65" s="10"/>
      <c r="G65" s="11"/>
      <c r="H65" s="12">
        <f>'KASIM 3 HAFTA '!P65</f>
        <v>315</v>
      </c>
      <c r="I65" s="7" t="s">
        <v>2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4">
        <f t="shared" si="0"/>
        <v>315</v>
      </c>
      <c r="Q65" s="1" t="s">
        <v>14</v>
      </c>
      <c r="R65" s="44">
        <v>100</v>
      </c>
      <c r="S65" s="47">
        <v>300</v>
      </c>
    </row>
    <row r="66" spans="1:20" x14ac:dyDescent="0.25">
      <c r="A66" s="2">
        <v>63</v>
      </c>
      <c r="D66" s="16" t="s">
        <v>63</v>
      </c>
      <c r="E66" s="17"/>
      <c r="F66" s="17"/>
      <c r="G66" s="18"/>
      <c r="H66" s="12">
        <f>'KASIM 3 HAFTA '!P66</f>
        <v>350</v>
      </c>
      <c r="I66" s="7" t="s">
        <v>2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  <c r="P66" s="4">
        <f t="shared" si="0"/>
        <v>350</v>
      </c>
      <c r="Q66" s="1" t="s">
        <v>14</v>
      </c>
      <c r="R66" s="44">
        <v>100</v>
      </c>
      <c r="S66" s="47">
        <v>300</v>
      </c>
    </row>
    <row r="67" spans="1:20" x14ac:dyDescent="0.25">
      <c r="A67" s="2">
        <v>64</v>
      </c>
      <c r="D67" s="9" t="s">
        <v>77</v>
      </c>
      <c r="E67" s="10"/>
      <c r="F67" s="10"/>
      <c r="G67" s="11"/>
      <c r="H67" s="12">
        <v>1912</v>
      </c>
      <c r="I67" s="7" t="s">
        <v>2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  <c r="P67" s="4">
        <f t="shared" si="0"/>
        <v>1912</v>
      </c>
      <c r="Q67" s="1" t="s">
        <v>14</v>
      </c>
      <c r="R67" s="44">
        <v>100</v>
      </c>
      <c r="S67" s="47">
        <v>300</v>
      </c>
    </row>
    <row r="68" spans="1:20" x14ac:dyDescent="0.25">
      <c r="A68" s="2">
        <v>65</v>
      </c>
      <c r="D68" s="16" t="s">
        <v>87</v>
      </c>
      <c r="E68" s="17"/>
      <c r="F68" s="17"/>
      <c r="G68" s="18"/>
      <c r="H68" s="12">
        <v>491</v>
      </c>
      <c r="I68" s="7" t="s">
        <v>2</v>
      </c>
      <c r="J68" s="3">
        <v>0</v>
      </c>
      <c r="K68" s="3">
        <v>0</v>
      </c>
      <c r="L68" s="3">
        <v>0</v>
      </c>
      <c r="M68" s="3">
        <v>0</v>
      </c>
      <c r="N68" s="3">
        <v>4</v>
      </c>
      <c r="O68" s="3">
        <v>0</v>
      </c>
      <c r="P68" s="4">
        <f t="shared" ref="P68:P86" si="1">+H68+J68-K68-L68-M68-N68-O68</f>
        <v>487</v>
      </c>
      <c r="Q68" s="1" t="s">
        <v>14</v>
      </c>
      <c r="R68" s="44">
        <v>0</v>
      </c>
      <c r="S68" s="46"/>
    </row>
    <row r="69" spans="1:20" x14ac:dyDescent="0.25">
      <c r="A69" s="2">
        <v>66</v>
      </c>
      <c r="D69" s="9" t="s">
        <v>64</v>
      </c>
      <c r="E69" s="10"/>
      <c r="F69" s="10"/>
      <c r="G69" s="11"/>
      <c r="H69" s="12">
        <v>317</v>
      </c>
      <c r="I69" s="7" t="s">
        <v>2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4">
        <f t="shared" si="1"/>
        <v>317</v>
      </c>
      <c r="Q69" s="1" t="s">
        <v>14</v>
      </c>
      <c r="R69" s="44">
        <v>50</v>
      </c>
      <c r="S69" s="47">
        <v>100</v>
      </c>
    </row>
    <row r="70" spans="1:20" x14ac:dyDescent="0.25">
      <c r="A70" s="2">
        <v>67</v>
      </c>
      <c r="D70" s="16" t="s">
        <v>65</v>
      </c>
      <c r="E70" s="17"/>
      <c r="F70" s="17"/>
      <c r="G70" s="18"/>
      <c r="H70" s="12">
        <f>'KASIM 3 HAFTA '!P70</f>
        <v>60</v>
      </c>
      <c r="I70" s="7" t="s">
        <v>2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4">
        <f t="shared" si="1"/>
        <v>60</v>
      </c>
      <c r="Q70" s="1" t="s">
        <v>14</v>
      </c>
      <c r="R70" s="44">
        <v>0</v>
      </c>
      <c r="S70" s="46"/>
    </row>
    <row r="71" spans="1:20" x14ac:dyDescent="0.25">
      <c r="A71" s="2">
        <v>68</v>
      </c>
      <c r="D71" s="9" t="s">
        <v>66</v>
      </c>
      <c r="E71" s="10"/>
      <c r="F71" s="10"/>
      <c r="G71" s="11"/>
      <c r="H71" s="12">
        <v>494</v>
      </c>
      <c r="I71" s="7" t="s">
        <v>2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4">
        <f t="shared" si="1"/>
        <v>494</v>
      </c>
      <c r="Q71" s="1" t="s">
        <v>14</v>
      </c>
      <c r="R71" s="44">
        <v>300</v>
      </c>
      <c r="S71" s="47">
        <v>1000</v>
      </c>
    </row>
    <row r="72" spans="1:20" x14ac:dyDescent="0.25">
      <c r="A72" s="2">
        <v>69</v>
      </c>
      <c r="D72" s="19" t="s">
        <v>86</v>
      </c>
      <c r="E72" s="20"/>
      <c r="F72" s="20"/>
      <c r="G72" s="21"/>
      <c r="H72" s="12">
        <f>'KASIM 3 HAFTA '!P72</f>
        <v>0</v>
      </c>
      <c r="I72" s="7" t="s">
        <v>2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  <c r="P72" s="4">
        <f t="shared" si="1"/>
        <v>0</v>
      </c>
      <c r="Q72" s="1" t="s">
        <v>14</v>
      </c>
      <c r="R72" s="44">
        <v>50</v>
      </c>
      <c r="S72" s="47">
        <v>150</v>
      </c>
    </row>
    <row r="73" spans="1:20" x14ac:dyDescent="0.25">
      <c r="A73" s="2">
        <v>70</v>
      </c>
      <c r="D73" s="22" t="s">
        <v>74</v>
      </c>
      <c r="E73" s="10"/>
      <c r="F73" s="10"/>
      <c r="G73" s="11"/>
      <c r="H73" s="12">
        <v>191.5</v>
      </c>
      <c r="I73" s="8" t="s">
        <v>75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4">
        <f t="shared" si="1"/>
        <v>191.5</v>
      </c>
      <c r="Q73" s="1" t="s">
        <v>91</v>
      </c>
      <c r="R73" s="44">
        <v>65</v>
      </c>
      <c r="S73" s="47">
        <v>150</v>
      </c>
    </row>
    <row r="74" spans="1:20" x14ac:dyDescent="0.25">
      <c r="A74" s="2">
        <v>71</v>
      </c>
      <c r="C74" s="1" t="s">
        <v>14</v>
      </c>
      <c r="D74" s="22" t="s">
        <v>76</v>
      </c>
      <c r="E74" s="10"/>
      <c r="F74" s="10"/>
      <c r="G74" s="11"/>
      <c r="H74" s="12">
        <v>114</v>
      </c>
      <c r="I74" s="8" t="s">
        <v>2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4">
        <f t="shared" si="1"/>
        <v>114</v>
      </c>
      <c r="Q74" s="1" t="s">
        <v>14</v>
      </c>
      <c r="R74" s="44">
        <v>50</v>
      </c>
      <c r="S74" s="47">
        <v>100</v>
      </c>
    </row>
    <row r="75" spans="1:20" x14ac:dyDescent="0.25">
      <c r="A75" s="2">
        <v>72</v>
      </c>
      <c r="D75" s="25" t="s">
        <v>114</v>
      </c>
      <c r="H75" s="12">
        <v>299</v>
      </c>
      <c r="I75" s="30" t="s">
        <v>2</v>
      </c>
      <c r="J75" s="3">
        <v>0</v>
      </c>
      <c r="K75" s="3">
        <v>0</v>
      </c>
      <c r="L75" s="3">
        <v>0</v>
      </c>
      <c r="M75" s="3">
        <v>0</v>
      </c>
      <c r="N75" s="3">
        <v>13</v>
      </c>
      <c r="O75" s="3">
        <v>0</v>
      </c>
      <c r="P75" s="4">
        <f t="shared" si="1"/>
        <v>286</v>
      </c>
      <c r="Q75" s="1" t="s">
        <v>14</v>
      </c>
      <c r="R75" s="44">
        <v>50</v>
      </c>
      <c r="S75" s="47">
        <v>100</v>
      </c>
    </row>
    <row r="76" spans="1:20" x14ac:dyDescent="0.25">
      <c r="A76" s="2">
        <v>73</v>
      </c>
      <c r="D76" s="26" t="s">
        <v>80</v>
      </c>
      <c r="E76" s="27"/>
      <c r="F76" s="27"/>
      <c r="G76" s="28"/>
      <c r="H76" s="12">
        <v>13</v>
      </c>
      <c r="I76" s="8" t="s">
        <v>2</v>
      </c>
      <c r="J76" s="3">
        <v>20</v>
      </c>
      <c r="K76" s="3">
        <v>20</v>
      </c>
      <c r="L76" s="3">
        <v>0</v>
      </c>
      <c r="M76" s="3">
        <v>0</v>
      </c>
      <c r="N76" s="3">
        <v>4</v>
      </c>
      <c r="O76" s="3">
        <v>0</v>
      </c>
      <c r="P76" s="4">
        <f t="shared" si="1"/>
        <v>9</v>
      </c>
      <c r="Q76" s="1" t="s">
        <v>14</v>
      </c>
      <c r="R76" s="44">
        <v>0</v>
      </c>
      <c r="S76" s="46"/>
    </row>
    <row r="77" spans="1:20" x14ac:dyDescent="0.25">
      <c r="A77" s="2">
        <v>74</v>
      </c>
      <c r="D77" s="26" t="s">
        <v>84</v>
      </c>
      <c r="E77" s="27"/>
      <c r="F77" s="27"/>
      <c r="G77" s="28"/>
      <c r="H77" s="12">
        <f>'KASIM 3 HAFTA '!P77</f>
        <v>50</v>
      </c>
      <c r="I77" s="8" t="s">
        <v>2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4">
        <f t="shared" si="1"/>
        <v>50</v>
      </c>
      <c r="Q77" s="1" t="s">
        <v>14</v>
      </c>
      <c r="R77" s="44">
        <v>100</v>
      </c>
      <c r="S77" s="47">
        <v>200</v>
      </c>
    </row>
    <row r="78" spans="1:20" x14ac:dyDescent="0.25">
      <c r="A78" s="2">
        <v>75</v>
      </c>
      <c r="D78" s="26" t="s">
        <v>85</v>
      </c>
      <c r="E78" s="27"/>
      <c r="F78" s="27"/>
      <c r="G78" s="28"/>
      <c r="H78" s="12">
        <f>'KASIM 3 HAFTA '!P78</f>
        <v>0</v>
      </c>
      <c r="I78" s="8" t="s">
        <v>2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  <c r="P78" s="4">
        <f t="shared" si="1"/>
        <v>0</v>
      </c>
      <c r="R78" s="44">
        <v>0</v>
      </c>
      <c r="S78" s="46"/>
    </row>
    <row r="79" spans="1:20" x14ac:dyDescent="0.25">
      <c r="A79" s="2">
        <v>76</v>
      </c>
      <c r="D79" s="37" t="s">
        <v>99</v>
      </c>
      <c r="E79" s="17"/>
      <c r="F79" s="33"/>
      <c r="G79" s="33"/>
      <c r="H79" s="12">
        <v>541</v>
      </c>
      <c r="I79" s="8" t="s">
        <v>2</v>
      </c>
      <c r="J79" s="3">
        <v>0</v>
      </c>
      <c r="K79" s="3">
        <v>0</v>
      </c>
      <c r="L79" s="3">
        <v>25</v>
      </c>
      <c r="M79" s="3">
        <v>0</v>
      </c>
      <c r="N79" s="3">
        <v>0</v>
      </c>
      <c r="O79" s="3">
        <v>0</v>
      </c>
      <c r="P79" s="4">
        <f t="shared" si="1"/>
        <v>516</v>
      </c>
      <c r="Q79" s="1" t="s">
        <v>14</v>
      </c>
      <c r="R79" s="44">
        <v>100</v>
      </c>
      <c r="S79" s="47">
        <v>500</v>
      </c>
      <c r="T79" t="s">
        <v>75</v>
      </c>
    </row>
    <row r="80" spans="1:20" x14ac:dyDescent="0.25">
      <c r="A80" s="2">
        <v>77</v>
      </c>
      <c r="D80" s="22" t="s">
        <v>100</v>
      </c>
      <c r="E80" s="10"/>
      <c r="F80" s="10"/>
      <c r="G80" s="28"/>
      <c r="H80" s="12">
        <f>'KASIM 3 HAFTA '!P80</f>
        <v>40</v>
      </c>
      <c r="I80" s="8" t="s">
        <v>2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  <c r="P80" s="4">
        <f t="shared" si="1"/>
        <v>40</v>
      </c>
      <c r="R80" s="44">
        <v>0</v>
      </c>
      <c r="S80" s="46"/>
    </row>
    <row r="81" spans="1:19" x14ac:dyDescent="0.25">
      <c r="A81" s="2">
        <v>78</v>
      </c>
      <c r="D81" s="37" t="s">
        <v>113</v>
      </c>
      <c r="E81" s="17"/>
      <c r="F81" s="17"/>
      <c r="G81" s="33"/>
      <c r="H81" s="12">
        <v>17.7</v>
      </c>
      <c r="I81" s="8" t="s">
        <v>97</v>
      </c>
      <c r="J81" s="3">
        <v>216</v>
      </c>
      <c r="K81" s="3">
        <v>13</v>
      </c>
      <c r="L81" s="3">
        <v>9</v>
      </c>
      <c r="M81" s="3">
        <v>0</v>
      </c>
      <c r="N81" s="3">
        <v>23</v>
      </c>
      <c r="O81" s="3">
        <v>23</v>
      </c>
      <c r="P81" s="4">
        <f t="shared" si="1"/>
        <v>165.7</v>
      </c>
      <c r="Q81" s="65" t="s">
        <v>121</v>
      </c>
      <c r="R81" s="44">
        <v>30</v>
      </c>
      <c r="S81" s="47">
        <v>100</v>
      </c>
    </row>
    <row r="82" spans="1:19" x14ac:dyDescent="0.25">
      <c r="A82" s="2">
        <v>79</v>
      </c>
      <c r="D82" s="22" t="s">
        <v>103</v>
      </c>
      <c r="E82" s="10"/>
      <c r="F82" s="10"/>
      <c r="G82" s="28"/>
      <c r="H82" s="12">
        <v>440</v>
      </c>
      <c r="I82" s="8" t="s">
        <v>2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40</v>
      </c>
      <c r="P82" s="4">
        <f t="shared" si="1"/>
        <v>400</v>
      </c>
      <c r="R82" s="44">
        <v>60</v>
      </c>
      <c r="S82" s="47">
        <v>100</v>
      </c>
    </row>
    <row r="83" spans="1:19" x14ac:dyDescent="0.25">
      <c r="A83" s="8">
        <v>80</v>
      </c>
      <c r="D83" s="49" t="s">
        <v>108</v>
      </c>
      <c r="E83" s="20"/>
      <c r="F83" s="20"/>
      <c r="G83" s="20"/>
      <c r="H83" s="12">
        <v>3485</v>
      </c>
      <c r="I83" s="8" t="s">
        <v>110</v>
      </c>
      <c r="J83" s="3">
        <v>0</v>
      </c>
      <c r="K83" s="3">
        <v>500</v>
      </c>
      <c r="L83" s="3">
        <v>0</v>
      </c>
      <c r="M83" s="3">
        <v>500</v>
      </c>
      <c r="N83" s="3">
        <v>1000</v>
      </c>
      <c r="O83" s="3">
        <v>1000</v>
      </c>
      <c r="P83" s="4">
        <f t="shared" si="1"/>
        <v>485</v>
      </c>
      <c r="R83" s="43">
        <v>1000</v>
      </c>
      <c r="S83" s="46">
        <v>10000</v>
      </c>
    </row>
    <row r="84" spans="1:19" x14ac:dyDescent="0.25">
      <c r="A84" s="48">
        <v>81</v>
      </c>
      <c r="B84" s="41"/>
      <c r="C84" s="41"/>
      <c r="D84" s="22" t="s">
        <v>115</v>
      </c>
      <c r="E84" s="10"/>
      <c r="F84" s="10"/>
      <c r="G84" s="11"/>
      <c r="H84" s="15">
        <v>212</v>
      </c>
      <c r="I84" s="62" t="s">
        <v>2</v>
      </c>
      <c r="J84" s="3">
        <v>0</v>
      </c>
      <c r="K84" s="3">
        <v>0</v>
      </c>
      <c r="L84" s="3">
        <v>0</v>
      </c>
      <c r="M84" s="3">
        <v>0</v>
      </c>
      <c r="N84" s="3">
        <v>13</v>
      </c>
      <c r="O84" s="3">
        <v>0</v>
      </c>
      <c r="P84" s="64">
        <f t="shared" si="1"/>
        <v>199</v>
      </c>
      <c r="R84" s="64">
        <v>50</v>
      </c>
      <c r="S84" s="64">
        <v>100</v>
      </c>
    </row>
    <row r="85" spans="1:19" x14ac:dyDescent="0.25">
      <c r="A85" s="61">
        <v>82</v>
      </c>
      <c r="B85" s="41"/>
      <c r="C85" s="41"/>
      <c r="D85" s="49" t="s">
        <v>118</v>
      </c>
      <c r="E85" s="35"/>
      <c r="F85" s="35"/>
      <c r="G85" s="60"/>
      <c r="H85" s="4">
        <v>50</v>
      </c>
      <c r="I85" s="4"/>
      <c r="J85" s="3">
        <v>0</v>
      </c>
      <c r="K85" s="3">
        <v>0</v>
      </c>
      <c r="L85" s="3">
        <v>0</v>
      </c>
      <c r="M85" s="3">
        <v>0</v>
      </c>
      <c r="N85" s="3">
        <v>2</v>
      </c>
      <c r="O85" s="3">
        <v>0</v>
      </c>
      <c r="P85" s="4">
        <f t="shared" si="1"/>
        <v>48</v>
      </c>
      <c r="Q85" s="4"/>
      <c r="R85" s="4"/>
      <c r="S85" s="4"/>
    </row>
    <row r="86" spans="1:19" x14ac:dyDescent="0.25">
      <c r="A86" s="8">
        <v>83</v>
      </c>
      <c r="D86" s="22" t="s">
        <v>123</v>
      </c>
      <c r="E86" s="10"/>
      <c r="F86" s="10"/>
      <c r="G86" s="11"/>
      <c r="H86" s="24"/>
      <c r="I86" s="66" t="s">
        <v>2</v>
      </c>
      <c r="J86" s="66">
        <v>5000</v>
      </c>
      <c r="K86" s="66">
        <v>600</v>
      </c>
      <c r="L86" s="66"/>
      <c r="M86" s="66"/>
      <c r="N86" s="66">
        <v>100</v>
      </c>
      <c r="O86" s="66"/>
      <c r="P86" s="4">
        <f t="shared" si="1"/>
        <v>4300</v>
      </c>
      <c r="Q86" s="4"/>
      <c r="R86" s="4"/>
      <c r="S86" s="4"/>
    </row>
  </sheetData>
  <pageMargins left="0.75" right="0.75" top="1" bottom="1" header="0.5" footer="0.5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T86"/>
  <sheetViews>
    <sheetView workbookViewId="0">
      <selection activeCell="O6" sqref="O6"/>
    </sheetView>
  </sheetViews>
  <sheetFormatPr defaultRowHeight="15" x14ac:dyDescent="0.25"/>
  <cols>
    <col min="1" max="1" width="5.5703125" customWidth="1"/>
    <col min="2" max="3" width="9.140625" hidden="1" customWidth="1"/>
    <col min="11" max="15" width="10.140625" bestFit="1" customWidth="1"/>
    <col min="17" max="17" width="4.85546875" customWidth="1"/>
    <col min="18" max="18" width="10" customWidth="1"/>
    <col min="19" max="19" width="11.140625" customWidth="1"/>
  </cols>
  <sheetData>
    <row r="1" spans="1:20" x14ac:dyDescent="0.25">
      <c r="G1" s="1"/>
      <c r="P1">
        <f>+H1+J1-K1-L1-M1-N1-O1</f>
        <v>0</v>
      </c>
    </row>
    <row r="2" spans="1:20" x14ac:dyDescent="0.25">
      <c r="A2" t="s">
        <v>14</v>
      </c>
      <c r="D2" t="s">
        <v>124</v>
      </c>
      <c r="O2" s="38" t="s">
        <v>14</v>
      </c>
      <c r="S2" s="50">
        <v>44837</v>
      </c>
    </row>
    <row r="3" spans="1:20" x14ac:dyDescent="0.25">
      <c r="A3" s="1" t="s">
        <v>15</v>
      </c>
      <c r="D3" s="9" t="s">
        <v>17</v>
      </c>
      <c r="E3" s="10"/>
      <c r="F3" s="10"/>
      <c r="G3" s="11"/>
      <c r="H3" s="12" t="s">
        <v>18</v>
      </c>
      <c r="I3" s="4" t="s">
        <v>19</v>
      </c>
      <c r="J3" s="3" t="s">
        <v>20</v>
      </c>
      <c r="K3" s="5">
        <v>44921</v>
      </c>
      <c r="L3" s="6">
        <v>44922</v>
      </c>
      <c r="M3" s="5">
        <v>44923</v>
      </c>
      <c r="N3" s="5">
        <v>44924</v>
      </c>
      <c r="O3" s="6">
        <v>44925</v>
      </c>
      <c r="P3" s="3" t="s">
        <v>21</v>
      </c>
      <c r="R3" s="42" t="s">
        <v>105</v>
      </c>
      <c r="S3" s="45" t="s">
        <v>104</v>
      </c>
    </row>
    <row r="4" spans="1:20" x14ac:dyDescent="0.25">
      <c r="A4" s="2">
        <v>1</v>
      </c>
      <c r="D4" s="13" t="s">
        <v>16</v>
      </c>
      <c r="E4" s="14"/>
      <c r="F4" s="14"/>
      <c r="G4" s="15"/>
      <c r="H4" s="12">
        <v>0</v>
      </c>
      <c r="I4" s="7" t="s">
        <v>1</v>
      </c>
      <c r="J4" s="3">
        <v>252.6</v>
      </c>
      <c r="K4" s="3">
        <v>17</v>
      </c>
      <c r="L4" s="3">
        <v>34</v>
      </c>
      <c r="M4" s="3">
        <v>17</v>
      </c>
      <c r="N4" s="3">
        <v>0</v>
      </c>
      <c r="O4" s="3">
        <v>0</v>
      </c>
      <c r="P4" s="4">
        <f t="shared" ref="P4:P67" si="0">+H4+J4-K4-L4-M4-N4-O4</f>
        <v>184.6</v>
      </c>
      <c r="Q4" t="s">
        <v>67</v>
      </c>
      <c r="R4" s="43">
        <v>100</v>
      </c>
      <c r="S4" s="46">
        <v>500</v>
      </c>
      <c r="T4" t="s">
        <v>75</v>
      </c>
    </row>
    <row r="5" spans="1:20" x14ac:dyDescent="0.25">
      <c r="A5" s="2">
        <v>2</v>
      </c>
      <c r="D5" s="9" t="s">
        <v>22</v>
      </c>
      <c r="E5" s="10"/>
      <c r="F5" s="10"/>
      <c r="G5" s="11"/>
      <c r="H5" s="12">
        <f>'ARALIK 3 HAFTA '!P5</f>
        <v>28</v>
      </c>
      <c r="I5" s="7" t="s">
        <v>2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4">
        <f t="shared" si="0"/>
        <v>28</v>
      </c>
      <c r="Q5" s="1" t="s">
        <v>14</v>
      </c>
      <c r="R5" s="44">
        <v>6</v>
      </c>
      <c r="S5" s="47">
        <v>10</v>
      </c>
    </row>
    <row r="6" spans="1:20" x14ac:dyDescent="0.25">
      <c r="A6" s="2">
        <v>3</v>
      </c>
      <c r="D6" s="16" t="s">
        <v>23</v>
      </c>
      <c r="E6" s="17"/>
      <c r="F6" s="17"/>
      <c r="G6" s="18"/>
      <c r="H6" s="12">
        <f>'ARALIK 3 HAFTA '!P6</f>
        <v>34</v>
      </c>
      <c r="I6" s="7" t="s">
        <v>2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4">
        <f t="shared" si="0"/>
        <v>34</v>
      </c>
      <c r="Q6" s="1" t="s">
        <v>14</v>
      </c>
      <c r="R6" s="44">
        <v>6</v>
      </c>
      <c r="S6" s="47">
        <v>10</v>
      </c>
    </row>
    <row r="7" spans="1:20" x14ac:dyDescent="0.25">
      <c r="A7" s="2">
        <v>4</v>
      </c>
      <c r="D7" s="9" t="s">
        <v>3</v>
      </c>
      <c r="E7" s="10"/>
      <c r="F7" s="10"/>
      <c r="G7" s="11"/>
      <c r="H7" s="12">
        <f>'ARALIK 3 HAFTA '!P7</f>
        <v>58</v>
      </c>
      <c r="I7" s="7" t="s">
        <v>2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4">
        <f t="shared" si="0"/>
        <v>58</v>
      </c>
      <c r="Q7" s="1" t="s">
        <v>14</v>
      </c>
      <c r="R7" s="44">
        <v>6</v>
      </c>
      <c r="S7" s="47">
        <v>10</v>
      </c>
    </row>
    <row r="8" spans="1:20" x14ac:dyDescent="0.25">
      <c r="A8" s="2">
        <v>5</v>
      </c>
      <c r="D8" s="16" t="s">
        <v>4</v>
      </c>
      <c r="E8" s="17"/>
      <c r="F8" s="17"/>
      <c r="G8" s="18"/>
      <c r="H8" s="12">
        <f>'ARALIK 3 HAFTA '!P8</f>
        <v>50</v>
      </c>
      <c r="I8" s="7" t="s">
        <v>2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4</v>
      </c>
      <c r="P8" s="4">
        <f t="shared" si="0"/>
        <v>46</v>
      </c>
      <c r="Q8" s="1" t="s">
        <v>14</v>
      </c>
      <c r="R8" s="44">
        <v>100</v>
      </c>
      <c r="S8" s="47">
        <v>400</v>
      </c>
    </row>
    <row r="9" spans="1:20" x14ac:dyDescent="0.25">
      <c r="A9" s="2">
        <v>6</v>
      </c>
      <c r="D9" s="9" t="s">
        <v>24</v>
      </c>
      <c r="E9" s="10"/>
      <c r="F9" s="10"/>
      <c r="G9" s="11"/>
      <c r="H9" s="12">
        <f>'ARALIK 3 HAFTA '!P9</f>
        <v>0</v>
      </c>
      <c r="I9" s="7" t="s">
        <v>2</v>
      </c>
      <c r="J9" s="3">
        <v>400</v>
      </c>
      <c r="K9" s="3">
        <v>60</v>
      </c>
      <c r="L9" s="3">
        <v>0</v>
      </c>
      <c r="M9" s="3">
        <v>0</v>
      </c>
      <c r="N9" s="3">
        <v>240</v>
      </c>
      <c r="O9" s="3">
        <v>0</v>
      </c>
      <c r="P9" s="4">
        <f t="shared" si="0"/>
        <v>100</v>
      </c>
      <c r="Q9" s="1" t="s">
        <v>14</v>
      </c>
      <c r="R9" s="44">
        <v>60</v>
      </c>
      <c r="S9" s="47">
        <v>200</v>
      </c>
    </row>
    <row r="10" spans="1:20" x14ac:dyDescent="0.25">
      <c r="A10" s="2">
        <v>7</v>
      </c>
      <c r="D10" s="16" t="s">
        <v>101</v>
      </c>
      <c r="E10" s="17"/>
      <c r="F10" s="17"/>
      <c r="G10" s="18"/>
      <c r="H10" s="12">
        <f>'ARALIK 3 HAFTA '!P10</f>
        <v>1295</v>
      </c>
      <c r="I10" s="7" t="s">
        <v>2</v>
      </c>
      <c r="J10" s="3">
        <v>0</v>
      </c>
      <c r="K10" s="3">
        <v>0</v>
      </c>
      <c r="L10" s="3">
        <v>10</v>
      </c>
      <c r="M10" s="3">
        <v>6</v>
      </c>
      <c r="N10" s="3">
        <v>0</v>
      </c>
      <c r="O10" s="3">
        <v>4</v>
      </c>
      <c r="P10" s="4">
        <f t="shared" si="0"/>
        <v>1275</v>
      </c>
      <c r="Q10" s="1" t="s">
        <v>14</v>
      </c>
      <c r="R10" s="44">
        <v>200</v>
      </c>
      <c r="S10" s="47">
        <v>500</v>
      </c>
    </row>
    <row r="11" spans="1:20" x14ac:dyDescent="0.25">
      <c r="A11" s="2">
        <v>8</v>
      </c>
      <c r="D11" s="9" t="s">
        <v>25</v>
      </c>
      <c r="E11" s="10"/>
      <c r="F11" s="10"/>
      <c r="G11" s="11"/>
      <c r="H11" s="12">
        <f>'ARALIK 3 HAFTA '!P11</f>
        <v>496</v>
      </c>
      <c r="I11" s="7" t="s">
        <v>2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4">
        <f t="shared" si="0"/>
        <v>496</v>
      </c>
      <c r="Q11" s="1" t="s">
        <v>14</v>
      </c>
      <c r="R11" s="44">
        <v>0</v>
      </c>
      <c r="S11" s="47">
        <v>0</v>
      </c>
    </row>
    <row r="12" spans="1:20" x14ac:dyDescent="0.25">
      <c r="A12" s="2">
        <v>9</v>
      </c>
      <c r="D12" s="16" t="s">
        <v>26</v>
      </c>
      <c r="E12" s="17"/>
      <c r="F12" s="17"/>
      <c r="G12" s="18"/>
      <c r="H12" s="12">
        <f>'ARALIK 3 HAFTA '!P12</f>
        <v>60</v>
      </c>
      <c r="I12" s="7" t="s">
        <v>2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4">
        <f t="shared" si="0"/>
        <v>60</v>
      </c>
      <c r="Q12" s="1" t="s">
        <v>14</v>
      </c>
      <c r="R12" s="44">
        <v>200</v>
      </c>
      <c r="S12" s="47">
        <v>400</v>
      </c>
    </row>
    <row r="13" spans="1:20" x14ac:dyDescent="0.25">
      <c r="A13" s="2">
        <v>10</v>
      </c>
      <c r="D13" s="9" t="s">
        <v>6</v>
      </c>
      <c r="E13" s="10"/>
      <c r="F13" s="10"/>
      <c r="G13" s="11"/>
      <c r="H13" s="12">
        <f>'ARALIK 3 HAFTA '!P13</f>
        <v>42</v>
      </c>
      <c r="I13" s="7" t="s">
        <v>2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4">
        <f t="shared" si="0"/>
        <v>42</v>
      </c>
      <c r="Q13" s="1" t="s">
        <v>14</v>
      </c>
      <c r="R13" s="44">
        <v>0</v>
      </c>
      <c r="S13" s="46"/>
    </row>
    <row r="14" spans="1:20" x14ac:dyDescent="0.25">
      <c r="A14" s="2">
        <v>11</v>
      </c>
      <c r="D14" s="16" t="s">
        <v>7</v>
      </c>
      <c r="E14" s="17"/>
      <c r="F14" s="17"/>
      <c r="G14" s="18"/>
      <c r="H14" s="12">
        <f>'ARALIK 3 HAFTA '!P14</f>
        <v>6</v>
      </c>
      <c r="I14" s="7" t="s">
        <v>2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4">
        <f t="shared" si="0"/>
        <v>6</v>
      </c>
      <c r="Q14" s="1" t="s">
        <v>14</v>
      </c>
      <c r="R14" s="44">
        <v>20</v>
      </c>
      <c r="S14" s="47">
        <v>50</v>
      </c>
    </row>
    <row r="15" spans="1:20" x14ac:dyDescent="0.25">
      <c r="A15" s="2">
        <v>12</v>
      </c>
      <c r="D15" s="9" t="s">
        <v>69</v>
      </c>
      <c r="E15" s="10"/>
      <c r="F15" s="10"/>
      <c r="G15" s="11"/>
      <c r="H15" s="12">
        <f>'ARALIK 3 HAFTA '!P15</f>
        <v>8</v>
      </c>
      <c r="I15" s="7" t="s">
        <v>2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4">
        <f t="shared" si="0"/>
        <v>8</v>
      </c>
      <c r="Q15" s="1" t="s">
        <v>14</v>
      </c>
      <c r="R15" s="44">
        <v>100</v>
      </c>
      <c r="S15" s="47">
        <v>200</v>
      </c>
    </row>
    <row r="16" spans="1:20" x14ac:dyDescent="0.25">
      <c r="A16" s="2">
        <v>13</v>
      </c>
      <c r="D16" s="16" t="s">
        <v>27</v>
      </c>
      <c r="E16" s="17"/>
      <c r="F16" s="17"/>
      <c r="G16" s="18"/>
      <c r="H16" s="12">
        <f>'ARALIK 3 HAFTA '!P16</f>
        <v>88</v>
      </c>
      <c r="I16" s="7" t="s">
        <v>2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4">
        <f t="shared" si="0"/>
        <v>88</v>
      </c>
      <c r="Q16" s="1" t="s">
        <v>14</v>
      </c>
      <c r="R16" s="44">
        <v>0</v>
      </c>
      <c r="S16" s="46"/>
    </row>
    <row r="17" spans="1:19" x14ac:dyDescent="0.25">
      <c r="A17" s="2">
        <v>14</v>
      </c>
      <c r="D17" s="9" t="s">
        <v>73</v>
      </c>
      <c r="E17" s="10"/>
      <c r="F17" s="10"/>
      <c r="G17" s="11"/>
      <c r="H17" s="12">
        <f>'ARALIK 3 HAFTA '!P17</f>
        <v>800</v>
      </c>
      <c r="I17" s="7" t="s">
        <v>2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4">
        <f t="shared" si="0"/>
        <v>800</v>
      </c>
      <c r="Q17" s="1" t="s">
        <v>14</v>
      </c>
      <c r="R17" s="44">
        <v>0</v>
      </c>
      <c r="S17" s="46"/>
    </row>
    <row r="18" spans="1:19" x14ac:dyDescent="0.25">
      <c r="A18" s="2">
        <v>15</v>
      </c>
      <c r="D18" s="16" t="s">
        <v>28</v>
      </c>
      <c r="E18" s="17"/>
      <c r="F18" s="17"/>
      <c r="G18" s="18"/>
      <c r="H18" s="12">
        <f>'ARALIK 3 HAFTA '!P18</f>
        <v>6</v>
      </c>
      <c r="I18" s="7" t="s">
        <v>2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4">
        <f t="shared" si="0"/>
        <v>6</v>
      </c>
      <c r="Q18" s="1" t="s">
        <v>14</v>
      </c>
      <c r="R18" s="44">
        <v>20</v>
      </c>
      <c r="S18" s="47">
        <v>50</v>
      </c>
    </row>
    <row r="19" spans="1:19" x14ac:dyDescent="0.25">
      <c r="A19" s="2">
        <v>16</v>
      </c>
      <c r="D19" s="9" t="s">
        <v>29</v>
      </c>
      <c r="E19" s="10"/>
      <c r="F19" s="10"/>
      <c r="G19" s="11"/>
      <c r="H19" s="12">
        <f>'ARALIK 3 HAFTA '!P19</f>
        <v>6</v>
      </c>
      <c r="I19" s="7" t="s">
        <v>2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4">
        <f t="shared" si="0"/>
        <v>6</v>
      </c>
      <c r="Q19" s="1" t="s">
        <v>14</v>
      </c>
      <c r="R19" s="44">
        <v>20</v>
      </c>
      <c r="S19" s="47">
        <v>50</v>
      </c>
    </row>
    <row r="20" spans="1:19" x14ac:dyDescent="0.25">
      <c r="A20" s="2">
        <v>17</v>
      </c>
      <c r="D20" s="16" t="s">
        <v>30</v>
      </c>
      <c r="E20" s="17"/>
      <c r="F20" s="17"/>
      <c r="G20" s="18"/>
      <c r="H20" s="12">
        <f>'ARALIK 3 HAFTA '!P20</f>
        <v>38</v>
      </c>
      <c r="I20" s="7" t="s">
        <v>2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4">
        <f t="shared" si="0"/>
        <v>38</v>
      </c>
      <c r="Q20" s="1" t="s">
        <v>14</v>
      </c>
      <c r="R20" s="44">
        <v>20</v>
      </c>
      <c r="S20" s="47">
        <v>50</v>
      </c>
    </row>
    <row r="21" spans="1:19" x14ac:dyDescent="0.25">
      <c r="A21" s="2">
        <v>18</v>
      </c>
      <c r="D21" s="9" t="s">
        <v>31</v>
      </c>
      <c r="E21" s="10"/>
      <c r="F21" s="10"/>
      <c r="G21" s="11"/>
      <c r="H21" s="12">
        <f>'ARALIK 3 HAFTA '!P21</f>
        <v>23</v>
      </c>
      <c r="I21" s="7" t="s">
        <v>2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4">
        <f t="shared" si="0"/>
        <v>23</v>
      </c>
      <c r="Q21" s="1" t="s">
        <v>14</v>
      </c>
      <c r="R21" s="44">
        <v>0</v>
      </c>
      <c r="S21" s="46"/>
    </row>
    <row r="22" spans="1:19" x14ac:dyDescent="0.25">
      <c r="A22" s="2">
        <v>19</v>
      </c>
      <c r="D22" s="55" t="s">
        <v>8</v>
      </c>
      <c r="E22" s="56"/>
      <c r="F22" s="56"/>
      <c r="G22" s="57"/>
      <c r="H22" s="12">
        <f>'ARALIK 3 HAFTA '!P22</f>
        <v>160</v>
      </c>
      <c r="I22" s="59" t="s">
        <v>1</v>
      </c>
      <c r="J22" s="3">
        <v>0</v>
      </c>
      <c r="K22" s="3">
        <v>0</v>
      </c>
      <c r="L22" s="3">
        <v>20</v>
      </c>
      <c r="M22" s="3">
        <v>0</v>
      </c>
      <c r="N22" s="3">
        <v>10</v>
      </c>
      <c r="O22" s="3">
        <v>85</v>
      </c>
      <c r="P22" s="46">
        <f t="shared" si="0"/>
        <v>45</v>
      </c>
      <c r="Q22" s="1" t="s">
        <v>14</v>
      </c>
      <c r="R22" s="44">
        <v>50</v>
      </c>
      <c r="S22" s="47">
        <v>200</v>
      </c>
    </row>
    <row r="23" spans="1:19" x14ac:dyDescent="0.25">
      <c r="A23" s="2">
        <v>20</v>
      </c>
      <c r="D23" s="9" t="s">
        <v>32</v>
      </c>
      <c r="E23" s="10"/>
      <c r="F23" s="10"/>
      <c r="G23" s="11"/>
      <c r="H23" s="12">
        <f>'ARALIK 3 HAFTA '!P23</f>
        <v>2000</v>
      </c>
      <c r="I23" s="7" t="s">
        <v>2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4">
        <f t="shared" si="0"/>
        <v>2000</v>
      </c>
      <c r="Q23" s="1" t="s">
        <v>14</v>
      </c>
      <c r="R23" s="44">
        <v>0</v>
      </c>
      <c r="S23" s="46"/>
    </row>
    <row r="24" spans="1:19" x14ac:dyDescent="0.25">
      <c r="A24" s="2">
        <v>21</v>
      </c>
      <c r="D24" s="16" t="s">
        <v>33</v>
      </c>
      <c r="E24" s="17"/>
      <c r="F24" s="17"/>
      <c r="G24" s="18"/>
      <c r="H24" s="12">
        <f>'ARALIK 3 HAFTA '!P24</f>
        <v>273</v>
      </c>
      <c r="I24" s="7" t="s">
        <v>2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4">
        <f t="shared" si="0"/>
        <v>273</v>
      </c>
      <c r="Q24" s="1" t="s">
        <v>14</v>
      </c>
      <c r="R24" s="44">
        <v>0</v>
      </c>
      <c r="S24" s="46"/>
    </row>
    <row r="25" spans="1:19" x14ac:dyDescent="0.25">
      <c r="A25" s="2">
        <v>22</v>
      </c>
      <c r="D25" s="9" t="s">
        <v>34</v>
      </c>
      <c r="E25" s="10"/>
      <c r="F25" s="10"/>
      <c r="G25" s="11"/>
      <c r="H25" s="12">
        <f>'ARALIK 3 HAFTA '!P25</f>
        <v>40</v>
      </c>
      <c r="I25" s="7" t="s">
        <v>2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4">
        <f t="shared" si="0"/>
        <v>40</v>
      </c>
      <c r="Q25" s="1" t="s">
        <v>14</v>
      </c>
      <c r="R25" s="44">
        <v>0</v>
      </c>
      <c r="S25" s="46"/>
    </row>
    <row r="26" spans="1:19" x14ac:dyDescent="0.25">
      <c r="A26" s="2">
        <v>23</v>
      </c>
      <c r="D26" s="16" t="s">
        <v>82</v>
      </c>
      <c r="E26" s="17"/>
      <c r="F26" s="17"/>
      <c r="G26" s="18"/>
      <c r="H26" s="12">
        <f>'ARALIK 3 HAFTA '!P26</f>
        <v>149</v>
      </c>
      <c r="I26" s="7" t="s">
        <v>2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1</v>
      </c>
      <c r="P26" s="4">
        <f t="shared" si="0"/>
        <v>148</v>
      </c>
      <c r="Q26" s="1" t="s">
        <v>14</v>
      </c>
      <c r="R26" s="44">
        <v>20</v>
      </c>
      <c r="S26" s="47">
        <v>50</v>
      </c>
    </row>
    <row r="27" spans="1:19" x14ac:dyDescent="0.25">
      <c r="A27" s="2">
        <v>24</v>
      </c>
      <c r="D27" s="9" t="s">
        <v>81</v>
      </c>
      <c r="E27" s="10"/>
      <c r="F27" s="10"/>
      <c r="G27" s="11"/>
      <c r="H27" s="12">
        <f>'ARALIK 3 HAFTA '!P27</f>
        <v>42</v>
      </c>
      <c r="I27" s="7" t="s">
        <v>2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  <c r="P27" s="4">
        <f t="shared" si="0"/>
        <v>42</v>
      </c>
      <c r="Q27" s="1" t="s">
        <v>14</v>
      </c>
      <c r="R27" s="44">
        <v>20</v>
      </c>
      <c r="S27" s="47">
        <v>50</v>
      </c>
    </row>
    <row r="28" spans="1:19" x14ac:dyDescent="0.25">
      <c r="A28" s="2">
        <v>25</v>
      </c>
      <c r="D28" s="16" t="s">
        <v>35</v>
      </c>
      <c r="E28" s="17"/>
      <c r="F28" s="17"/>
      <c r="G28" s="18"/>
      <c r="H28" s="12">
        <f>'ARALIK 3 HAFTA '!P28</f>
        <v>0</v>
      </c>
      <c r="I28" s="7" t="s">
        <v>2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4">
        <f t="shared" si="0"/>
        <v>0</v>
      </c>
      <c r="Q28" s="1" t="s">
        <v>14</v>
      </c>
      <c r="R28" s="44">
        <v>50</v>
      </c>
      <c r="S28" s="47">
        <v>100</v>
      </c>
    </row>
    <row r="29" spans="1:19" x14ac:dyDescent="0.25">
      <c r="A29" s="2">
        <v>26</v>
      </c>
      <c r="D29" s="9" t="s">
        <v>36</v>
      </c>
      <c r="E29" s="10"/>
      <c r="F29" s="10"/>
      <c r="G29" s="11"/>
      <c r="H29" s="12">
        <f>'ARALIK 3 HAFTA '!P29</f>
        <v>25</v>
      </c>
      <c r="I29" s="7" t="s">
        <v>2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4">
        <f t="shared" si="0"/>
        <v>25</v>
      </c>
      <c r="Q29" s="1" t="s">
        <v>14</v>
      </c>
      <c r="R29" s="44">
        <v>50</v>
      </c>
      <c r="S29" s="47">
        <v>100</v>
      </c>
    </row>
    <row r="30" spans="1:19" x14ac:dyDescent="0.25">
      <c r="A30" s="2">
        <v>27</v>
      </c>
      <c r="D30" s="16" t="s">
        <v>37</v>
      </c>
      <c r="E30" s="17"/>
      <c r="F30" s="17"/>
      <c r="G30" s="18"/>
      <c r="H30" s="12">
        <f>'ARALIK 3 HAFTA '!P30</f>
        <v>211</v>
      </c>
      <c r="I30" s="7" t="s">
        <v>2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1</v>
      </c>
      <c r="P30" s="4">
        <f t="shared" si="0"/>
        <v>210</v>
      </c>
      <c r="Q30" s="1" t="s">
        <v>14</v>
      </c>
      <c r="R30" s="44">
        <v>20</v>
      </c>
      <c r="S30" s="47">
        <v>50</v>
      </c>
    </row>
    <row r="31" spans="1:19" x14ac:dyDescent="0.25">
      <c r="A31" s="2">
        <v>28</v>
      </c>
      <c r="D31" s="9" t="s">
        <v>38</v>
      </c>
      <c r="E31" s="10"/>
      <c r="F31" s="10"/>
      <c r="G31" s="11"/>
      <c r="H31" s="12">
        <f>'ARALIK 3 HAFTA '!P31</f>
        <v>505</v>
      </c>
      <c r="I31" s="7" t="s">
        <v>2</v>
      </c>
      <c r="J31" s="3">
        <v>0</v>
      </c>
      <c r="K31" s="3">
        <v>0</v>
      </c>
      <c r="L31" s="3">
        <v>5</v>
      </c>
      <c r="M31" s="3">
        <v>0</v>
      </c>
      <c r="N31" s="3">
        <v>0</v>
      </c>
      <c r="O31" s="3">
        <v>1</v>
      </c>
      <c r="P31" s="4">
        <f t="shared" si="0"/>
        <v>499</v>
      </c>
      <c r="Q31" s="1" t="s">
        <v>14</v>
      </c>
      <c r="R31" s="44">
        <v>50</v>
      </c>
      <c r="S31" s="47">
        <v>100</v>
      </c>
    </row>
    <row r="32" spans="1:19" x14ac:dyDescent="0.25">
      <c r="A32" s="2">
        <v>29</v>
      </c>
      <c r="D32" s="16" t="s">
        <v>39</v>
      </c>
      <c r="E32" s="17"/>
      <c r="F32" s="17"/>
      <c r="G32" s="18"/>
      <c r="H32" s="12">
        <f>'ARALIK 3 HAFTA '!P32</f>
        <v>29</v>
      </c>
      <c r="I32" s="7" t="s">
        <v>2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1</v>
      </c>
      <c r="P32" s="4">
        <f t="shared" si="0"/>
        <v>28</v>
      </c>
      <c r="Q32" s="1" t="s">
        <v>14</v>
      </c>
      <c r="R32" s="44">
        <v>20</v>
      </c>
      <c r="S32" s="47">
        <v>50</v>
      </c>
    </row>
    <row r="33" spans="1:19" x14ac:dyDescent="0.25">
      <c r="A33" s="2">
        <v>30</v>
      </c>
      <c r="D33" s="9" t="s">
        <v>40</v>
      </c>
      <c r="E33" s="10"/>
      <c r="F33" s="10"/>
      <c r="G33" s="11"/>
      <c r="H33" s="12">
        <f>'ARALIK 3 HAFTA '!P33</f>
        <v>1075</v>
      </c>
      <c r="I33" s="7" t="s">
        <v>2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4">
        <f t="shared" si="0"/>
        <v>1075</v>
      </c>
      <c r="Q33" s="1" t="s">
        <v>14</v>
      </c>
      <c r="R33" s="44">
        <v>0</v>
      </c>
      <c r="S33" s="46"/>
    </row>
    <row r="34" spans="1:19" x14ac:dyDescent="0.25">
      <c r="A34" s="2">
        <v>31</v>
      </c>
      <c r="D34" s="16" t="s">
        <v>9</v>
      </c>
      <c r="E34" s="17"/>
      <c r="F34" s="17"/>
      <c r="G34" s="18"/>
      <c r="H34" s="12">
        <f>'ARALIK 3 HAFTA '!P34</f>
        <v>524</v>
      </c>
      <c r="I34" s="7" t="s">
        <v>2</v>
      </c>
      <c r="J34" s="3">
        <v>0</v>
      </c>
      <c r="K34" s="3">
        <v>0</v>
      </c>
      <c r="L34" s="3">
        <v>10</v>
      </c>
      <c r="M34" s="3">
        <v>0</v>
      </c>
      <c r="N34" s="3">
        <v>0</v>
      </c>
      <c r="O34" s="3">
        <v>0</v>
      </c>
      <c r="P34" s="4">
        <f t="shared" si="0"/>
        <v>514</v>
      </c>
      <c r="Q34" s="1" t="s">
        <v>14</v>
      </c>
      <c r="R34" s="44">
        <v>50</v>
      </c>
      <c r="S34" s="47">
        <v>100</v>
      </c>
    </row>
    <row r="35" spans="1:19" x14ac:dyDescent="0.25">
      <c r="A35" s="2">
        <v>32</v>
      </c>
      <c r="D35" s="9" t="s">
        <v>83</v>
      </c>
      <c r="E35" s="10"/>
      <c r="F35" s="10"/>
      <c r="G35" s="11"/>
      <c r="H35" s="12">
        <f>'ARALIK 3 HAFTA '!P35</f>
        <v>75</v>
      </c>
      <c r="I35" s="7" t="s">
        <v>2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1</v>
      </c>
      <c r="P35" s="4">
        <f t="shared" si="0"/>
        <v>74</v>
      </c>
      <c r="Q35" s="1" t="s">
        <v>14</v>
      </c>
      <c r="R35" s="44">
        <v>20</v>
      </c>
      <c r="S35" s="47">
        <v>50</v>
      </c>
    </row>
    <row r="36" spans="1:19" x14ac:dyDescent="0.25">
      <c r="A36" s="2">
        <v>33</v>
      </c>
      <c r="D36" s="16" t="s">
        <v>70</v>
      </c>
      <c r="E36" s="17"/>
      <c r="F36" s="17"/>
      <c r="G36" s="18"/>
      <c r="H36" s="12">
        <f>'ARALIK 3 HAFTA '!P36</f>
        <v>934</v>
      </c>
      <c r="I36" s="7" t="s">
        <v>2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4">
        <f t="shared" si="0"/>
        <v>934</v>
      </c>
      <c r="Q36" s="1" t="s">
        <v>14</v>
      </c>
      <c r="R36" s="44">
        <v>0</v>
      </c>
      <c r="S36" s="46"/>
    </row>
    <row r="37" spans="1:19" x14ac:dyDescent="0.25">
      <c r="A37" s="2">
        <v>34</v>
      </c>
      <c r="D37" s="9" t="s">
        <v>41</v>
      </c>
      <c r="E37" s="10"/>
      <c r="F37" s="10"/>
      <c r="G37" s="11"/>
      <c r="H37" s="12">
        <f>'ARALIK 3 HAFTA '!P37</f>
        <v>279</v>
      </c>
      <c r="I37" s="7" t="s">
        <v>2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4">
        <f t="shared" si="0"/>
        <v>279</v>
      </c>
      <c r="Q37" s="1" t="s">
        <v>14</v>
      </c>
      <c r="R37" s="44">
        <v>50</v>
      </c>
      <c r="S37" s="47">
        <v>100</v>
      </c>
    </row>
    <row r="38" spans="1:19" x14ac:dyDescent="0.25">
      <c r="A38" s="2">
        <v>35</v>
      </c>
      <c r="D38" s="16" t="s">
        <v>42</v>
      </c>
      <c r="E38" s="17"/>
      <c r="F38" s="17"/>
      <c r="G38" s="18"/>
      <c r="H38" s="12">
        <f>'ARALIK 3 HAFTA '!P38</f>
        <v>283</v>
      </c>
      <c r="I38" s="7" t="s">
        <v>2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4">
        <f t="shared" si="0"/>
        <v>283</v>
      </c>
      <c r="Q38" s="1" t="s">
        <v>14</v>
      </c>
      <c r="R38" s="44">
        <v>50</v>
      </c>
      <c r="S38" s="47">
        <v>100</v>
      </c>
    </row>
    <row r="39" spans="1:19" x14ac:dyDescent="0.25">
      <c r="A39" s="2">
        <v>36</v>
      </c>
      <c r="D39" s="9" t="s">
        <v>43</v>
      </c>
      <c r="E39" s="10"/>
      <c r="F39" s="10"/>
      <c r="G39" s="11"/>
      <c r="H39" s="12">
        <f>'ARALIK 3 HAFTA '!P39</f>
        <v>14</v>
      </c>
      <c r="I39" s="7" t="s">
        <v>2</v>
      </c>
      <c r="J39" s="3">
        <v>0</v>
      </c>
      <c r="K39" s="3">
        <v>0</v>
      </c>
      <c r="L39" s="3">
        <v>5</v>
      </c>
      <c r="M39" s="3">
        <v>0</v>
      </c>
      <c r="N39" s="3">
        <v>0</v>
      </c>
      <c r="O39" s="3">
        <v>0</v>
      </c>
      <c r="P39" s="4">
        <f t="shared" si="0"/>
        <v>9</v>
      </c>
      <c r="Q39" s="1" t="s">
        <v>14</v>
      </c>
      <c r="R39" s="44">
        <v>50</v>
      </c>
      <c r="S39" s="47">
        <v>100</v>
      </c>
    </row>
    <row r="40" spans="1:19" x14ac:dyDescent="0.25">
      <c r="A40" s="2">
        <v>37</v>
      </c>
      <c r="D40" s="16" t="s">
        <v>119</v>
      </c>
      <c r="E40" s="17"/>
      <c r="F40" s="17"/>
      <c r="G40" s="18"/>
      <c r="H40" s="12">
        <f>'ARALIK 3 HAFTA '!P40</f>
        <v>46</v>
      </c>
      <c r="I40" s="7" t="s">
        <v>2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4">
        <f t="shared" si="0"/>
        <v>46</v>
      </c>
      <c r="Q40" s="1" t="s">
        <v>14</v>
      </c>
      <c r="R40" s="44">
        <v>0</v>
      </c>
      <c r="S40" s="46"/>
    </row>
    <row r="41" spans="1:19" x14ac:dyDescent="0.25">
      <c r="A41" s="2">
        <v>38</v>
      </c>
      <c r="D41" s="9" t="s">
        <v>71</v>
      </c>
      <c r="E41" s="10"/>
      <c r="F41" s="10"/>
      <c r="G41" s="11"/>
      <c r="H41" s="12">
        <f>'ARALIK 3 HAFTA '!P41</f>
        <v>20</v>
      </c>
      <c r="I41" s="7" t="s">
        <v>2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4">
        <f t="shared" si="0"/>
        <v>20</v>
      </c>
      <c r="Q41" s="1" t="s">
        <v>14</v>
      </c>
      <c r="R41" s="44">
        <v>5</v>
      </c>
      <c r="S41" s="47">
        <v>10</v>
      </c>
    </row>
    <row r="42" spans="1:19" x14ac:dyDescent="0.25">
      <c r="A42" s="2">
        <v>39</v>
      </c>
      <c r="D42" s="16" t="s">
        <v>10</v>
      </c>
      <c r="E42" s="17"/>
      <c r="F42" s="17"/>
      <c r="G42" s="18"/>
      <c r="H42" s="12">
        <f>'ARALIK 3 HAFTA '!P42</f>
        <v>28</v>
      </c>
      <c r="I42" s="7" t="s">
        <v>2</v>
      </c>
      <c r="J42" s="3">
        <v>0</v>
      </c>
      <c r="K42" s="3">
        <v>0</v>
      </c>
      <c r="L42" s="3">
        <v>28</v>
      </c>
      <c r="M42" s="3">
        <v>0</v>
      </c>
      <c r="N42" s="3">
        <v>0</v>
      </c>
      <c r="O42" s="3">
        <v>0</v>
      </c>
      <c r="P42" s="4">
        <f t="shared" si="0"/>
        <v>0</v>
      </c>
      <c r="Q42" s="1" t="s">
        <v>14</v>
      </c>
      <c r="R42" s="44">
        <v>40</v>
      </c>
      <c r="S42" s="47">
        <v>100</v>
      </c>
    </row>
    <row r="43" spans="1:19" x14ac:dyDescent="0.25">
      <c r="A43" s="2">
        <v>40</v>
      </c>
      <c r="D43" s="9" t="s">
        <v>45</v>
      </c>
      <c r="E43" s="10"/>
      <c r="F43" s="10"/>
      <c r="G43" s="11"/>
      <c r="H43" s="12">
        <f>'ARALIK 3 HAFTA '!P43</f>
        <v>78</v>
      </c>
      <c r="I43" s="7" t="s">
        <v>2</v>
      </c>
      <c r="J43" s="3">
        <v>0</v>
      </c>
      <c r="K43" s="3">
        <v>0</v>
      </c>
      <c r="L43" s="3">
        <v>41</v>
      </c>
      <c r="M43" s="3">
        <v>0</v>
      </c>
      <c r="N43" s="3">
        <v>0</v>
      </c>
      <c r="O43" s="3">
        <v>0</v>
      </c>
      <c r="P43" s="4">
        <f t="shared" si="0"/>
        <v>37</v>
      </c>
      <c r="Q43" s="1" t="s">
        <v>14</v>
      </c>
      <c r="R43" s="44">
        <v>20</v>
      </c>
      <c r="S43" s="47">
        <v>50</v>
      </c>
    </row>
    <row r="44" spans="1:19" x14ac:dyDescent="0.25">
      <c r="A44" s="2">
        <v>41</v>
      </c>
      <c r="D44" s="16" t="s">
        <v>46</v>
      </c>
      <c r="E44" s="17"/>
      <c r="F44" s="17"/>
      <c r="G44" s="18"/>
      <c r="H44" s="12">
        <f>'ARALIK 3 HAFTA '!P44</f>
        <v>78</v>
      </c>
      <c r="I44" s="7" t="s">
        <v>2</v>
      </c>
      <c r="J44" s="3">
        <v>0</v>
      </c>
      <c r="K44" s="3">
        <v>0</v>
      </c>
      <c r="L44" s="3">
        <v>41</v>
      </c>
      <c r="M44" s="3">
        <v>0</v>
      </c>
      <c r="N44" s="3">
        <v>0</v>
      </c>
      <c r="O44" s="3">
        <v>0</v>
      </c>
      <c r="P44" s="4">
        <f t="shared" si="0"/>
        <v>37</v>
      </c>
      <c r="Q44" s="1" t="s">
        <v>14</v>
      </c>
      <c r="R44" s="44">
        <v>20</v>
      </c>
      <c r="S44" s="47">
        <v>50</v>
      </c>
    </row>
    <row r="45" spans="1:19" x14ac:dyDescent="0.25">
      <c r="A45" s="2">
        <v>42</v>
      </c>
      <c r="D45" s="9" t="s">
        <v>47</v>
      </c>
      <c r="E45" s="10"/>
      <c r="F45" s="10"/>
      <c r="G45" s="11"/>
      <c r="H45" s="12">
        <f>'ARALIK 3 HAFTA '!P45</f>
        <v>93</v>
      </c>
      <c r="I45" s="7" t="s">
        <v>2</v>
      </c>
      <c r="J45" s="3">
        <v>0</v>
      </c>
      <c r="K45" s="3">
        <v>0</v>
      </c>
      <c r="L45" s="3">
        <v>41</v>
      </c>
      <c r="M45" s="3">
        <v>0</v>
      </c>
      <c r="N45" s="3">
        <v>0</v>
      </c>
      <c r="O45" s="3">
        <v>0</v>
      </c>
      <c r="P45" s="4">
        <f t="shared" si="0"/>
        <v>52</v>
      </c>
      <c r="Q45" s="1" t="s">
        <v>14</v>
      </c>
      <c r="R45" s="44">
        <v>20</v>
      </c>
      <c r="S45" s="47">
        <v>50</v>
      </c>
    </row>
    <row r="46" spans="1:19" x14ac:dyDescent="0.25">
      <c r="A46" s="2">
        <v>43</v>
      </c>
      <c r="D46" s="16" t="s">
        <v>79</v>
      </c>
      <c r="E46" s="17"/>
      <c r="F46" s="17"/>
      <c r="G46" s="18"/>
      <c r="H46" s="12">
        <f>'ARALIK 3 HAFTA '!P46</f>
        <v>43</v>
      </c>
      <c r="I46" s="7" t="s">
        <v>2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4">
        <f t="shared" si="0"/>
        <v>43</v>
      </c>
      <c r="Q46" s="1" t="s">
        <v>14</v>
      </c>
      <c r="R46" s="44">
        <v>10</v>
      </c>
      <c r="S46" s="47">
        <v>20</v>
      </c>
    </row>
    <row r="47" spans="1:19" x14ac:dyDescent="0.25">
      <c r="A47" s="2">
        <v>44</v>
      </c>
      <c r="D47" s="9" t="s">
        <v>48</v>
      </c>
      <c r="E47" s="10"/>
      <c r="F47" s="10"/>
      <c r="G47" s="11"/>
      <c r="H47" s="12">
        <f>'ARALIK 3 HAFTA '!P47</f>
        <v>18</v>
      </c>
      <c r="I47" s="7" t="s">
        <v>2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4">
        <f t="shared" si="0"/>
        <v>18</v>
      </c>
      <c r="Q47" s="1" t="s">
        <v>14</v>
      </c>
      <c r="R47" s="44">
        <v>10</v>
      </c>
      <c r="S47" s="47">
        <v>20</v>
      </c>
    </row>
    <row r="48" spans="1:19" x14ac:dyDescent="0.25">
      <c r="A48" s="2">
        <v>45</v>
      </c>
      <c r="D48" s="16" t="s">
        <v>49</v>
      </c>
      <c r="E48" s="17"/>
      <c r="F48" s="17"/>
      <c r="G48" s="18"/>
      <c r="H48" s="12">
        <f>'ARALIK 3 HAFTA '!P48</f>
        <v>0</v>
      </c>
      <c r="I48" s="7" t="s">
        <v>2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4">
        <f t="shared" si="0"/>
        <v>0</v>
      </c>
      <c r="Q48" s="1" t="s">
        <v>14</v>
      </c>
      <c r="R48" s="44">
        <v>10</v>
      </c>
      <c r="S48" s="47">
        <v>20</v>
      </c>
    </row>
    <row r="49" spans="1:20" x14ac:dyDescent="0.25">
      <c r="A49" s="2">
        <v>46</v>
      </c>
      <c r="D49" s="9" t="s">
        <v>11</v>
      </c>
      <c r="E49" s="10"/>
      <c r="F49" s="10"/>
      <c r="G49" s="11"/>
      <c r="H49" s="12">
        <f>'ARALIK 3 HAFTA '!P49</f>
        <v>277.5</v>
      </c>
      <c r="I49" s="7" t="s">
        <v>1</v>
      </c>
      <c r="J49" s="3">
        <v>0</v>
      </c>
      <c r="K49" s="3">
        <v>0</v>
      </c>
      <c r="L49" s="3">
        <v>0</v>
      </c>
      <c r="M49" s="3">
        <v>20</v>
      </c>
      <c r="N49" s="3">
        <v>0</v>
      </c>
      <c r="O49" s="3">
        <v>0</v>
      </c>
      <c r="P49" s="4">
        <f t="shared" si="0"/>
        <v>257.5</v>
      </c>
      <c r="Q49" s="1" t="s">
        <v>14</v>
      </c>
      <c r="R49" s="44">
        <v>20</v>
      </c>
      <c r="S49" s="47">
        <v>100</v>
      </c>
      <c r="T49" t="s">
        <v>75</v>
      </c>
    </row>
    <row r="50" spans="1:20" x14ac:dyDescent="0.25">
      <c r="A50" s="2">
        <v>47</v>
      </c>
      <c r="D50" s="16" t="s">
        <v>111</v>
      </c>
      <c r="E50" s="17"/>
      <c r="F50" s="17"/>
      <c r="G50" s="18"/>
      <c r="H50" s="12">
        <f>'ARALIK 3 HAFTA '!P50</f>
        <v>169</v>
      </c>
      <c r="I50" s="7" t="s">
        <v>2</v>
      </c>
      <c r="J50" s="3">
        <v>0</v>
      </c>
      <c r="K50" s="3">
        <v>0</v>
      </c>
      <c r="L50" s="3">
        <v>4</v>
      </c>
      <c r="M50" s="3">
        <v>23</v>
      </c>
      <c r="N50" s="3">
        <v>0</v>
      </c>
      <c r="O50" s="3">
        <v>0</v>
      </c>
      <c r="P50" s="4">
        <f t="shared" si="0"/>
        <v>142</v>
      </c>
      <c r="Q50" s="1" t="s">
        <v>14</v>
      </c>
      <c r="R50" s="44">
        <v>30</v>
      </c>
      <c r="S50" s="47">
        <v>100</v>
      </c>
    </row>
    <row r="51" spans="1:20" x14ac:dyDescent="0.25">
      <c r="A51" s="2">
        <v>48</v>
      </c>
      <c r="D51" s="9" t="s">
        <v>51</v>
      </c>
      <c r="E51" s="10"/>
      <c r="F51" s="10"/>
      <c r="G51" s="11"/>
      <c r="H51" s="12">
        <f>'ARALIK 3 HAFTA '!P51</f>
        <v>91</v>
      </c>
      <c r="I51" s="7" t="s">
        <v>2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1</v>
      </c>
      <c r="P51" s="4">
        <f t="shared" si="0"/>
        <v>90</v>
      </c>
      <c r="Q51" s="1" t="s">
        <v>14</v>
      </c>
      <c r="R51" s="44">
        <v>20</v>
      </c>
      <c r="S51" s="47">
        <v>50</v>
      </c>
    </row>
    <row r="52" spans="1:20" x14ac:dyDescent="0.25">
      <c r="A52" s="2">
        <v>49</v>
      </c>
      <c r="D52" s="16" t="s">
        <v>52</v>
      </c>
      <c r="E52" s="17"/>
      <c r="F52" s="17"/>
      <c r="G52" s="18"/>
      <c r="H52" s="12">
        <f>'ARALIK 3 HAFTA '!P52</f>
        <v>87</v>
      </c>
      <c r="I52" s="7" t="s">
        <v>2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1</v>
      </c>
      <c r="P52" s="4">
        <f t="shared" si="0"/>
        <v>86</v>
      </c>
      <c r="Q52" s="1" t="s">
        <v>14</v>
      </c>
      <c r="R52" s="44">
        <v>20</v>
      </c>
      <c r="S52" s="47">
        <v>50</v>
      </c>
    </row>
    <row r="53" spans="1:20" x14ac:dyDescent="0.25">
      <c r="A53" s="2">
        <v>50</v>
      </c>
      <c r="D53" s="9" t="s">
        <v>53</v>
      </c>
      <c r="E53" s="10"/>
      <c r="F53" s="10"/>
      <c r="G53" s="11"/>
      <c r="H53" s="12">
        <f>'ARALIK 3 HAFTA '!P53</f>
        <v>37</v>
      </c>
      <c r="I53" s="7" t="s">
        <v>2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1</v>
      </c>
      <c r="P53" s="4">
        <f t="shared" si="0"/>
        <v>36</v>
      </c>
      <c r="Q53" s="1" t="s">
        <v>14</v>
      </c>
      <c r="R53" s="44">
        <v>20</v>
      </c>
      <c r="S53" s="47">
        <v>50</v>
      </c>
    </row>
    <row r="54" spans="1:20" x14ac:dyDescent="0.25">
      <c r="A54" s="2">
        <v>51</v>
      </c>
      <c r="D54" s="52" t="s">
        <v>54</v>
      </c>
      <c r="E54" s="53"/>
      <c r="F54" s="53"/>
      <c r="G54" s="54"/>
      <c r="H54" s="12">
        <f>'ARALIK 3 HAFTA '!P54</f>
        <v>300</v>
      </c>
      <c r="I54" s="7" t="s">
        <v>1</v>
      </c>
      <c r="J54" s="3">
        <v>0</v>
      </c>
      <c r="K54" s="3">
        <v>60</v>
      </c>
      <c r="L54" s="3">
        <v>45</v>
      </c>
      <c r="M54" s="3">
        <v>30</v>
      </c>
      <c r="N54" s="3">
        <v>30</v>
      </c>
      <c r="O54" s="3">
        <v>15</v>
      </c>
      <c r="P54" s="4">
        <f t="shared" si="0"/>
        <v>120</v>
      </c>
      <c r="Q54" s="1" t="s">
        <v>120</v>
      </c>
      <c r="R54" s="44">
        <v>250</v>
      </c>
      <c r="S54" s="47">
        <v>750</v>
      </c>
      <c r="T54" t="s">
        <v>75</v>
      </c>
    </row>
    <row r="55" spans="1:20" x14ac:dyDescent="0.25">
      <c r="A55" s="2">
        <v>52</v>
      </c>
      <c r="D55" s="9" t="s">
        <v>55</v>
      </c>
      <c r="E55" s="10"/>
      <c r="F55" s="10"/>
      <c r="G55" s="11"/>
      <c r="H55" s="12">
        <f>'ARALIK 3 HAFTA '!P55</f>
        <v>3500</v>
      </c>
      <c r="I55" s="7" t="s">
        <v>2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  <c r="P55" s="4">
        <f t="shared" si="0"/>
        <v>3500</v>
      </c>
      <c r="Q55" s="1" t="s">
        <v>14</v>
      </c>
      <c r="R55" s="44">
        <v>0</v>
      </c>
      <c r="S55" s="46"/>
    </row>
    <row r="56" spans="1:20" x14ac:dyDescent="0.25">
      <c r="A56" s="2">
        <v>53</v>
      </c>
      <c r="D56" s="16" t="s">
        <v>56</v>
      </c>
      <c r="E56" s="17"/>
      <c r="F56" s="17"/>
      <c r="G56" s="18"/>
      <c r="H56" s="12">
        <f>'ARALIK 3 HAFTA '!P56</f>
        <v>1500</v>
      </c>
      <c r="I56" s="7" t="s">
        <v>2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  <c r="P56" s="4">
        <f t="shared" si="0"/>
        <v>1500</v>
      </c>
      <c r="Q56" s="1" t="s">
        <v>14</v>
      </c>
      <c r="R56" s="44">
        <v>0</v>
      </c>
      <c r="S56" s="46"/>
    </row>
    <row r="57" spans="1:20" x14ac:dyDescent="0.25">
      <c r="A57" s="2">
        <v>54</v>
      </c>
      <c r="D57" s="9" t="s">
        <v>12</v>
      </c>
      <c r="E57" s="10"/>
      <c r="F57" s="10"/>
      <c r="G57" s="11"/>
      <c r="H57" s="12">
        <f>'ARALIK 3 HAFTA '!P57</f>
        <v>2800</v>
      </c>
      <c r="I57" s="7" t="s">
        <v>2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  <c r="P57" s="4">
        <f t="shared" si="0"/>
        <v>2800</v>
      </c>
      <c r="Q57" s="1" t="s">
        <v>14</v>
      </c>
      <c r="R57" s="44">
        <v>0</v>
      </c>
      <c r="S57" s="46"/>
    </row>
    <row r="58" spans="1:20" x14ac:dyDescent="0.25">
      <c r="A58" s="2">
        <v>55</v>
      </c>
      <c r="D58" s="16" t="s">
        <v>57</v>
      </c>
      <c r="E58" s="17"/>
      <c r="F58" s="17"/>
      <c r="G58" s="18"/>
      <c r="H58" s="12">
        <f>'ARALIK 3 HAFTA '!P58</f>
        <v>3000</v>
      </c>
      <c r="I58" s="7" t="s">
        <v>2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4">
        <f t="shared" si="0"/>
        <v>3000</v>
      </c>
      <c r="Q58" s="1" t="s">
        <v>14</v>
      </c>
      <c r="R58" s="44">
        <v>0</v>
      </c>
      <c r="S58" s="46"/>
    </row>
    <row r="59" spans="1:20" x14ac:dyDescent="0.25">
      <c r="A59" s="2">
        <v>56</v>
      </c>
      <c r="D59" s="9" t="s">
        <v>58</v>
      </c>
      <c r="E59" s="10"/>
      <c r="F59" s="10"/>
      <c r="G59" s="11"/>
      <c r="H59" s="12">
        <f>'ARALIK 3 HAFTA '!P59</f>
        <v>4000</v>
      </c>
      <c r="I59" s="7" t="s">
        <v>2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  <c r="P59" s="4">
        <f t="shared" si="0"/>
        <v>4000</v>
      </c>
      <c r="Q59" s="1" t="s">
        <v>14</v>
      </c>
      <c r="R59" s="44">
        <v>0</v>
      </c>
      <c r="S59" s="46"/>
    </row>
    <row r="60" spans="1:20" x14ac:dyDescent="0.25">
      <c r="A60" s="2">
        <v>57</v>
      </c>
      <c r="D60" s="16" t="s">
        <v>59</v>
      </c>
      <c r="E60" s="17"/>
      <c r="F60" s="17"/>
      <c r="G60" s="18"/>
      <c r="H60" s="12">
        <f>'ARALIK 3 HAFTA '!P60</f>
        <v>3000</v>
      </c>
      <c r="I60" s="7" t="s">
        <v>2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4">
        <f t="shared" si="0"/>
        <v>3000</v>
      </c>
      <c r="Q60" s="1" t="s">
        <v>14</v>
      </c>
      <c r="R60" s="44">
        <v>0</v>
      </c>
      <c r="S60" s="46"/>
    </row>
    <row r="61" spans="1:20" x14ac:dyDescent="0.25">
      <c r="A61" s="2">
        <v>58</v>
      </c>
      <c r="D61" s="9" t="s">
        <v>60</v>
      </c>
      <c r="E61" s="10"/>
      <c r="F61" s="10"/>
      <c r="G61" s="11"/>
      <c r="H61" s="12">
        <f>'ARALIK 3 HAFTA '!P61</f>
        <v>4700</v>
      </c>
      <c r="I61" s="7" t="s">
        <v>2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4">
        <f t="shared" si="0"/>
        <v>4700</v>
      </c>
      <c r="Q61" s="1" t="s">
        <v>14</v>
      </c>
      <c r="R61" s="44">
        <v>0</v>
      </c>
      <c r="S61" s="46"/>
    </row>
    <row r="62" spans="1:20" x14ac:dyDescent="0.25">
      <c r="A62" s="2">
        <v>59</v>
      </c>
      <c r="D62" s="16" t="s">
        <v>61</v>
      </c>
      <c r="E62" s="17"/>
      <c r="F62" s="17"/>
      <c r="G62" s="18"/>
      <c r="H62" s="12">
        <f>'ARALIK 3 HAFTA '!P62</f>
        <v>334</v>
      </c>
      <c r="I62" s="7" t="s">
        <v>2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4">
        <f t="shared" si="0"/>
        <v>334</v>
      </c>
      <c r="Q62" s="1" t="s">
        <v>14</v>
      </c>
      <c r="R62" s="44">
        <v>0</v>
      </c>
      <c r="S62" s="46"/>
    </row>
    <row r="63" spans="1:20" x14ac:dyDescent="0.25">
      <c r="A63" s="2">
        <v>60</v>
      </c>
      <c r="D63" s="9" t="s">
        <v>62</v>
      </c>
      <c r="E63" s="10"/>
      <c r="F63" s="10"/>
      <c r="G63" s="11"/>
      <c r="H63" s="12">
        <f>'ARALIK 3 HAFTA '!P63</f>
        <v>1084</v>
      </c>
      <c r="I63" s="7" t="s">
        <v>2</v>
      </c>
      <c r="J63" s="3">
        <v>0</v>
      </c>
      <c r="K63" s="3">
        <v>100</v>
      </c>
      <c r="L63" s="3">
        <v>0</v>
      </c>
      <c r="M63" s="3">
        <v>0</v>
      </c>
      <c r="N63" s="3">
        <v>0</v>
      </c>
      <c r="O63" s="3">
        <v>0</v>
      </c>
      <c r="P63" s="4">
        <f t="shared" si="0"/>
        <v>984</v>
      </c>
      <c r="Q63" s="1" t="s">
        <v>14</v>
      </c>
      <c r="R63" s="44">
        <v>200</v>
      </c>
      <c r="S63" s="47">
        <v>1000</v>
      </c>
    </row>
    <row r="64" spans="1:20" x14ac:dyDescent="0.25">
      <c r="A64" s="2">
        <v>61</v>
      </c>
      <c r="D64" s="16" t="s">
        <v>13</v>
      </c>
      <c r="E64" s="17"/>
      <c r="F64" s="17"/>
      <c r="G64" s="18"/>
      <c r="H64" s="12">
        <f>'ARALIK 3 HAFTA '!P64</f>
        <v>447</v>
      </c>
      <c r="I64" s="7" t="s">
        <v>2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4">
        <f t="shared" si="0"/>
        <v>447</v>
      </c>
      <c r="Q64" s="1" t="s">
        <v>14</v>
      </c>
      <c r="R64" s="44">
        <v>100</v>
      </c>
      <c r="S64" s="47">
        <v>300</v>
      </c>
    </row>
    <row r="65" spans="1:20" x14ac:dyDescent="0.25">
      <c r="A65" s="2">
        <v>62</v>
      </c>
      <c r="D65" s="9" t="s">
        <v>72</v>
      </c>
      <c r="E65" s="10"/>
      <c r="F65" s="10"/>
      <c r="G65" s="11"/>
      <c r="H65" s="12">
        <f>'ARALIK 3 HAFTA '!P65</f>
        <v>315</v>
      </c>
      <c r="I65" s="7" t="s">
        <v>2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4">
        <f t="shared" si="0"/>
        <v>315</v>
      </c>
      <c r="Q65" s="1" t="s">
        <v>14</v>
      </c>
      <c r="R65" s="44">
        <v>100</v>
      </c>
      <c r="S65" s="47">
        <v>300</v>
      </c>
    </row>
    <row r="66" spans="1:20" x14ac:dyDescent="0.25">
      <c r="A66" s="2">
        <v>63</v>
      </c>
      <c r="D66" s="16" t="s">
        <v>63</v>
      </c>
      <c r="E66" s="17"/>
      <c r="F66" s="17"/>
      <c r="G66" s="18"/>
      <c r="H66" s="12">
        <f>'ARALIK 3 HAFTA '!P66</f>
        <v>350</v>
      </c>
      <c r="I66" s="7" t="s">
        <v>2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  <c r="P66" s="4">
        <f t="shared" si="0"/>
        <v>350</v>
      </c>
      <c r="Q66" s="1" t="s">
        <v>14</v>
      </c>
      <c r="R66" s="44">
        <v>100</v>
      </c>
      <c r="S66" s="47">
        <v>300</v>
      </c>
    </row>
    <row r="67" spans="1:20" x14ac:dyDescent="0.25">
      <c r="A67" s="2">
        <v>64</v>
      </c>
      <c r="D67" s="9" t="s">
        <v>77</v>
      </c>
      <c r="E67" s="10"/>
      <c r="F67" s="10"/>
      <c r="G67" s="11"/>
      <c r="H67" s="12">
        <f>'ARALIK 3 HAFTA '!P67</f>
        <v>1912</v>
      </c>
      <c r="I67" s="7" t="s">
        <v>2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  <c r="P67" s="4">
        <f t="shared" si="0"/>
        <v>1912</v>
      </c>
      <c r="Q67" s="1" t="s">
        <v>14</v>
      </c>
      <c r="R67" s="44">
        <v>100</v>
      </c>
      <c r="S67" s="47">
        <v>300</v>
      </c>
    </row>
    <row r="68" spans="1:20" x14ac:dyDescent="0.25">
      <c r="A68" s="2">
        <v>65</v>
      </c>
      <c r="D68" s="16" t="s">
        <v>87</v>
      </c>
      <c r="E68" s="17"/>
      <c r="F68" s="17"/>
      <c r="G68" s="18"/>
      <c r="H68" s="12">
        <f>'ARALIK 3 HAFTA '!P68</f>
        <v>487</v>
      </c>
      <c r="I68" s="7" t="s">
        <v>2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2</v>
      </c>
      <c r="P68" s="4">
        <f t="shared" ref="P68:P86" si="1">+H68+J68-K68-L68-M68-N68-O68</f>
        <v>485</v>
      </c>
      <c r="Q68" s="1" t="s">
        <v>14</v>
      </c>
      <c r="R68" s="44">
        <v>0</v>
      </c>
      <c r="S68" s="46"/>
    </row>
    <row r="69" spans="1:20" x14ac:dyDescent="0.25">
      <c r="A69" s="2">
        <v>66</v>
      </c>
      <c r="D69" s="9" t="s">
        <v>64</v>
      </c>
      <c r="E69" s="10"/>
      <c r="F69" s="10"/>
      <c r="G69" s="11"/>
      <c r="H69" s="12">
        <f>'ARALIK 3 HAFTA '!P69</f>
        <v>317</v>
      </c>
      <c r="I69" s="7" t="s">
        <v>2</v>
      </c>
      <c r="J69" s="3">
        <v>0</v>
      </c>
      <c r="K69" s="3">
        <v>0</v>
      </c>
      <c r="L69" s="3">
        <v>5</v>
      </c>
      <c r="M69" s="3">
        <v>0</v>
      </c>
      <c r="N69" s="3">
        <v>0</v>
      </c>
      <c r="O69" s="3">
        <v>0</v>
      </c>
      <c r="P69" s="4">
        <f t="shared" si="1"/>
        <v>312</v>
      </c>
      <c r="Q69" s="1" t="s">
        <v>14</v>
      </c>
      <c r="R69" s="44">
        <v>50</v>
      </c>
      <c r="S69" s="47">
        <v>100</v>
      </c>
    </row>
    <row r="70" spans="1:20" x14ac:dyDescent="0.25">
      <c r="A70" s="2">
        <v>67</v>
      </c>
      <c r="D70" s="16" t="s">
        <v>65</v>
      </c>
      <c r="E70" s="17"/>
      <c r="F70" s="17"/>
      <c r="G70" s="18"/>
      <c r="H70" s="12">
        <f>'ARALIK 3 HAFTA '!P70</f>
        <v>60</v>
      </c>
      <c r="I70" s="7" t="s">
        <v>2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4">
        <f t="shared" si="1"/>
        <v>60</v>
      </c>
      <c r="Q70" s="1" t="s">
        <v>14</v>
      </c>
      <c r="R70" s="44">
        <v>0</v>
      </c>
      <c r="S70" s="46"/>
    </row>
    <row r="71" spans="1:20" x14ac:dyDescent="0.25">
      <c r="A71" s="2">
        <v>68</v>
      </c>
      <c r="D71" s="9" t="s">
        <v>66</v>
      </c>
      <c r="E71" s="10"/>
      <c r="F71" s="10"/>
      <c r="G71" s="11"/>
      <c r="H71" s="12">
        <f>'ARALIK 3 HAFTA '!P71</f>
        <v>494</v>
      </c>
      <c r="I71" s="7" t="s">
        <v>2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4">
        <f t="shared" si="1"/>
        <v>494</v>
      </c>
      <c r="Q71" s="1" t="s">
        <v>14</v>
      </c>
      <c r="R71" s="44">
        <v>300</v>
      </c>
      <c r="S71" s="47">
        <v>1000</v>
      </c>
    </row>
    <row r="72" spans="1:20" x14ac:dyDescent="0.25">
      <c r="A72" s="2">
        <v>69</v>
      </c>
      <c r="D72" s="19" t="s">
        <v>86</v>
      </c>
      <c r="E72" s="20"/>
      <c r="F72" s="20"/>
      <c r="G72" s="21"/>
      <c r="H72" s="12">
        <f>'ARALIK 3 HAFTA '!P72</f>
        <v>0</v>
      </c>
      <c r="I72" s="7" t="s">
        <v>2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  <c r="P72" s="4">
        <f t="shared" si="1"/>
        <v>0</v>
      </c>
      <c r="Q72" s="1" t="s">
        <v>14</v>
      </c>
      <c r="R72" s="44">
        <v>50</v>
      </c>
      <c r="S72" s="47">
        <v>150</v>
      </c>
    </row>
    <row r="73" spans="1:20" x14ac:dyDescent="0.25">
      <c r="A73" s="2">
        <v>70</v>
      </c>
      <c r="D73" s="22" t="s">
        <v>74</v>
      </c>
      <c r="E73" s="10"/>
      <c r="F73" s="10"/>
      <c r="G73" s="11"/>
      <c r="H73" s="12">
        <f>'ARALIK 3 HAFTA '!P73</f>
        <v>191.5</v>
      </c>
      <c r="I73" s="8" t="s">
        <v>75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4">
        <f t="shared" si="1"/>
        <v>191.5</v>
      </c>
      <c r="Q73" s="1" t="s">
        <v>91</v>
      </c>
      <c r="R73" s="44">
        <v>65</v>
      </c>
      <c r="S73" s="47">
        <v>150</v>
      </c>
    </row>
    <row r="74" spans="1:20" x14ac:dyDescent="0.25">
      <c r="A74" s="2">
        <v>71</v>
      </c>
      <c r="C74" s="1" t="s">
        <v>14</v>
      </c>
      <c r="D74" s="22" t="s">
        <v>76</v>
      </c>
      <c r="E74" s="10"/>
      <c r="F74" s="10"/>
      <c r="G74" s="11"/>
      <c r="H74" s="12">
        <f>'ARALIK 3 HAFTA '!P74</f>
        <v>114</v>
      </c>
      <c r="I74" s="8" t="s">
        <v>2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4">
        <f t="shared" si="1"/>
        <v>114</v>
      </c>
      <c r="Q74" s="1" t="s">
        <v>14</v>
      </c>
      <c r="R74" s="44">
        <v>50</v>
      </c>
      <c r="S74" s="47">
        <v>100</v>
      </c>
    </row>
    <row r="75" spans="1:20" x14ac:dyDescent="0.25">
      <c r="A75" s="2">
        <v>72</v>
      </c>
      <c r="D75" s="25" t="s">
        <v>114</v>
      </c>
      <c r="H75" s="12">
        <f>'ARALIK 3 HAFTA '!P75</f>
        <v>286</v>
      </c>
      <c r="I75" s="30" t="s">
        <v>2</v>
      </c>
      <c r="J75" s="3">
        <v>0</v>
      </c>
      <c r="K75" s="3">
        <v>0</v>
      </c>
      <c r="L75" s="3">
        <v>5</v>
      </c>
      <c r="M75" s="3">
        <v>0</v>
      </c>
      <c r="N75" s="3">
        <v>0</v>
      </c>
      <c r="O75" s="3">
        <v>0</v>
      </c>
      <c r="P75" s="4">
        <f t="shared" si="1"/>
        <v>281</v>
      </c>
      <c r="Q75" s="1" t="s">
        <v>14</v>
      </c>
      <c r="R75" s="44">
        <v>50</v>
      </c>
      <c r="S75" s="47">
        <v>100</v>
      </c>
    </row>
    <row r="76" spans="1:20" x14ac:dyDescent="0.25">
      <c r="A76" s="2">
        <v>73</v>
      </c>
      <c r="D76" s="26" t="s">
        <v>80</v>
      </c>
      <c r="E76" s="27"/>
      <c r="F76" s="27"/>
      <c r="G76" s="28"/>
      <c r="H76" s="12">
        <f>'ARALIK 3 HAFTA '!P76</f>
        <v>9</v>
      </c>
      <c r="I76" s="8" t="s">
        <v>2</v>
      </c>
      <c r="J76" s="3">
        <v>0</v>
      </c>
      <c r="K76" s="3">
        <v>0</v>
      </c>
      <c r="L76" s="3">
        <v>0</v>
      </c>
      <c r="M76" s="3">
        <v>6</v>
      </c>
      <c r="N76" s="3">
        <v>0</v>
      </c>
      <c r="O76" s="3">
        <v>0</v>
      </c>
      <c r="P76" s="4">
        <f t="shared" si="1"/>
        <v>3</v>
      </c>
      <c r="Q76" s="1" t="s">
        <v>14</v>
      </c>
      <c r="R76" s="44">
        <v>0</v>
      </c>
      <c r="S76" s="46"/>
    </row>
    <row r="77" spans="1:20" x14ac:dyDescent="0.25">
      <c r="A77" s="2">
        <v>74</v>
      </c>
      <c r="D77" s="26" t="s">
        <v>84</v>
      </c>
      <c r="E77" s="27"/>
      <c r="F77" s="27"/>
      <c r="G77" s="28"/>
      <c r="H77" s="12">
        <f>'ARALIK 3 HAFTA '!P77</f>
        <v>50</v>
      </c>
      <c r="I77" s="8" t="s">
        <v>2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4">
        <f t="shared" si="1"/>
        <v>50</v>
      </c>
      <c r="Q77" s="1" t="s">
        <v>14</v>
      </c>
      <c r="R77" s="44">
        <v>100</v>
      </c>
      <c r="S77" s="47">
        <v>200</v>
      </c>
    </row>
    <row r="78" spans="1:20" x14ac:dyDescent="0.25">
      <c r="A78" s="2">
        <v>75</v>
      </c>
      <c r="D78" s="26" t="s">
        <v>85</v>
      </c>
      <c r="E78" s="27"/>
      <c r="F78" s="27"/>
      <c r="G78" s="28"/>
      <c r="H78" s="12">
        <f>'ARALIK 3 HAFTA '!P78</f>
        <v>0</v>
      </c>
      <c r="I78" s="8" t="s">
        <v>2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  <c r="P78" s="4">
        <f t="shared" si="1"/>
        <v>0</v>
      </c>
      <c r="R78" s="44">
        <v>0</v>
      </c>
      <c r="S78" s="46"/>
    </row>
    <row r="79" spans="1:20" x14ac:dyDescent="0.25">
      <c r="A79" s="2">
        <v>76</v>
      </c>
      <c r="D79" s="37" t="s">
        <v>99</v>
      </c>
      <c r="E79" s="17"/>
      <c r="F79" s="33"/>
      <c r="G79" s="33"/>
      <c r="H79" s="12">
        <f>'ARALIK 3 HAFTA '!P79</f>
        <v>516</v>
      </c>
      <c r="I79" s="8" t="s">
        <v>2</v>
      </c>
      <c r="J79" s="3">
        <v>0</v>
      </c>
      <c r="K79" s="3">
        <v>0</v>
      </c>
      <c r="L79" s="3">
        <v>25</v>
      </c>
      <c r="M79" s="3">
        <v>0</v>
      </c>
      <c r="N79" s="3">
        <v>0</v>
      </c>
      <c r="O79" s="3">
        <v>25</v>
      </c>
      <c r="P79" s="4">
        <f t="shared" si="1"/>
        <v>466</v>
      </c>
      <c r="Q79" s="1" t="s">
        <v>14</v>
      </c>
      <c r="R79" s="44">
        <v>100</v>
      </c>
      <c r="S79" s="47">
        <v>500</v>
      </c>
      <c r="T79" t="s">
        <v>75</v>
      </c>
    </row>
    <row r="80" spans="1:20" x14ac:dyDescent="0.25">
      <c r="A80" s="2">
        <v>77</v>
      </c>
      <c r="D80" s="22" t="s">
        <v>100</v>
      </c>
      <c r="E80" s="10"/>
      <c r="F80" s="10"/>
      <c r="G80" s="28"/>
      <c r="H80" s="12">
        <f>'ARALIK 3 HAFTA '!P80</f>
        <v>40</v>
      </c>
      <c r="I80" s="8" t="s">
        <v>2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  <c r="P80" s="4">
        <f t="shared" si="1"/>
        <v>40</v>
      </c>
      <c r="R80" s="44">
        <v>0</v>
      </c>
      <c r="S80" s="46"/>
    </row>
    <row r="81" spans="1:19" x14ac:dyDescent="0.25">
      <c r="A81" s="2">
        <v>78</v>
      </c>
      <c r="D81" s="37" t="s">
        <v>113</v>
      </c>
      <c r="E81" s="17"/>
      <c r="F81" s="17"/>
      <c r="G81" s="33"/>
      <c r="H81" s="12">
        <f>'ARALIK 3 HAFTA '!P81</f>
        <v>165.7</v>
      </c>
      <c r="I81" s="8" t="s">
        <v>97</v>
      </c>
      <c r="J81" s="3">
        <v>373.4</v>
      </c>
      <c r="K81" s="3">
        <v>23</v>
      </c>
      <c r="L81" s="3">
        <v>0</v>
      </c>
      <c r="M81" s="3">
        <v>13</v>
      </c>
      <c r="N81" s="3">
        <v>25.5</v>
      </c>
      <c r="O81" s="3">
        <v>0</v>
      </c>
      <c r="P81" s="4">
        <f t="shared" si="1"/>
        <v>477.59999999999991</v>
      </c>
      <c r="Q81" s="65" t="s">
        <v>121</v>
      </c>
      <c r="R81" s="44">
        <v>30</v>
      </c>
      <c r="S81" s="47">
        <v>100</v>
      </c>
    </row>
    <row r="82" spans="1:19" x14ac:dyDescent="0.25">
      <c r="A82" s="2">
        <v>79</v>
      </c>
      <c r="D82" s="22" t="s">
        <v>103</v>
      </c>
      <c r="E82" s="10"/>
      <c r="F82" s="10"/>
      <c r="G82" s="28"/>
      <c r="H82" s="12">
        <f>'ARALIK 3 HAFTA '!P82</f>
        <v>400</v>
      </c>
      <c r="I82" s="8" t="s">
        <v>2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  <c r="P82" s="4">
        <f t="shared" si="1"/>
        <v>400</v>
      </c>
      <c r="R82" s="44">
        <v>60</v>
      </c>
      <c r="S82" s="47">
        <v>100</v>
      </c>
    </row>
    <row r="83" spans="1:19" x14ac:dyDescent="0.25">
      <c r="A83" s="8">
        <v>80</v>
      </c>
      <c r="D83" s="49" t="s">
        <v>108</v>
      </c>
      <c r="E83" s="20"/>
      <c r="F83" s="20"/>
      <c r="G83" s="20"/>
      <c r="H83" s="12">
        <f>'ARALIK 3 HAFTA '!P83</f>
        <v>485</v>
      </c>
      <c r="I83" s="8" t="s">
        <v>110</v>
      </c>
      <c r="J83" s="3">
        <v>4500</v>
      </c>
      <c r="K83" s="3">
        <v>485</v>
      </c>
      <c r="L83" s="3">
        <v>500</v>
      </c>
      <c r="M83" s="3">
        <v>0</v>
      </c>
      <c r="N83" s="3">
        <v>0</v>
      </c>
      <c r="O83" s="3">
        <v>0</v>
      </c>
      <c r="P83" s="4">
        <f t="shared" si="1"/>
        <v>4000</v>
      </c>
      <c r="R83" s="43">
        <v>1000</v>
      </c>
      <c r="S83" s="46">
        <v>10000</v>
      </c>
    </row>
    <row r="84" spans="1:19" x14ac:dyDescent="0.25">
      <c r="A84" s="48">
        <v>81</v>
      </c>
      <c r="B84" s="41"/>
      <c r="C84" s="41"/>
      <c r="D84" s="22" t="s">
        <v>115</v>
      </c>
      <c r="E84" s="10"/>
      <c r="F84" s="10"/>
      <c r="G84" s="11"/>
      <c r="H84" s="12">
        <f>'ARALIK 3 HAFTA '!P84</f>
        <v>199</v>
      </c>
      <c r="I84" s="62" t="s">
        <v>2</v>
      </c>
      <c r="J84" s="3">
        <v>0</v>
      </c>
      <c r="K84" s="3">
        <v>0</v>
      </c>
      <c r="L84" s="3">
        <v>5</v>
      </c>
      <c r="M84" s="3">
        <v>0</v>
      </c>
      <c r="N84" s="3">
        <v>0</v>
      </c>
      <c r="O84" s="3">
        <v>0</v>
      </c>
      <c r="P84" s="64">
        <f t="shared" si="1"/>
        <v>194</v>
      </c>
      <c r="R84" s="64">
        <v>50</v>
      </c>
      <c r="S84" s="64">
        <v>100</v>
      </c>
    </row>
    <row r="85" spans="1:19" x14ac:dyDescent="0.25">
      <c r="A85" s="61">
        <v>82</v>
      </c>
      <c r="B85" s="41"/>
      <c r="C85" s="41"/>
      <c r="D85" s="49" t="s">
        <v>118</v>
      </c>
      <c r="E85" s="35"/>
      <c r="F85" s="35"/>
      <c r="G85" s="60"/>
      <c r="H85" s="12">
        <f>'ARALIK 3 HAFTA '!P85</f>
        <v>48</v>
      </c>
      <c r="I85" s="4"/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4">
        <f t="shared" si="1"/>
        <v>48</v>
      </c>
      <c r="Q85" s="4"/>
      <c r="R85" s="4"/>
      <c r="S85" s="4"/>
    </row>
    <row r="86" spans="1:19" x14ac:dyDescent="0.25">
      <c r="A86" s="8">
        <v>83</v>
      </c>
      <c r="D86" s="22" t="s">
        <v>123</v>
      </c>
      <c r="E86" s="10"/>
      <c r="F86" s="10"/>
      <c r="G86" s="11"/>
      <c r="H86" s="12">
        <f>'ARALIK 3 HAFTA '!P86</f>
        <v>4300</v>
      </c>
      <c r="I86" s="8" t="s">
        <v>2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4">
        <f t="shared" si="1"/>
        <v>4300</v>
      </c>
      <c r="Q86" s="4"/>
      <c r="R86" s="4"/>
      <c r="S86" s="4"/>
    </row>
  </sheetData>
  <pageMargins left="0.75" right="0.75" top="1" bottom="1" header="0.5" footer="0.5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T88"/>
  <sheetViews>
    <sheetView workbookViewId="0">
      <selection activeCell="L15" sqref="L15"/>
    </sheetView>
  </sheetViews>
  <sheetFormatPr defaultRowHeight="15" x14ac:dyDescent="0.25"/>
  <cols>
    <col min="1" max="1" width="5.5703125" customWidth="1"/>
    <col min="2" max="3" width="9.140625" hidden="1" customWidth="1"/>
    <col min="11" max="15" width="10.140625" bestFit="1" customWidth="1"/>
    <col min="17" max="17" width="4.85546875" customWidth="1"/>
    <col min="18" max="18" width="10" customWidth="1"/>
    <col min="19" max="19" width="11.140625" customWidth="1"/>
  </cols>
  <sheetData>
    <row r="1" spans="1:20" x14ac:dyDescent="0.25">
      <c r="G1" s="1"/>
      <c r="P1">
        <f>+H1+J1-K1-L1-M1-N1-O1</f>
        <v>0</v>
      </c>
    </row>
    <row r="2" spans="1:20" x14ac:dyDescent="0.25">
      <c r="A2" t="s">
        <v>14</v>
      </c>
      <c r="D2" t="s">
        <v>125</v>
      </c>
      <c r="O2" s="38" t="s">
        <v>14</v>
      </c>
      <c r="S2" s="50">
        <v>44837</v>
      </c>
    </row>
    <row r="3" spans="1:20" x14ac:dyDescent="0.25">
      <c r="A3" s="1" t="s">
        <v>15</v>
      </c>
      <c r="D3" s="9" t="s">
        <v>17</v>
      </c>
      <c r="E3" s="10"/>
      <c r="F3" s="10"/>
      <c r="G3" s="11"/>
      <c r="H3" s="12" t="s">
        <v>18</v>
      </c>
      <c r="I3" s="4" t="s">
        <v>19</v>
      </c>
      <c r="J3" s="3" t="s">
        <v>20</v>
      </c>
      <c r="K3" s="5">
        <v>44928</v>
      </c>
      <c r="L3" s="6">
        <v>44929</v>
      </c>
      <c r="M3" s="5">
        <v>44930</v>
      </c>
      <c r="N3" s="5">
        <v>44931</v>
      </c>
      <c r="O3" s="6">
        <v>44932</v>
      </c>
      <c r="P3" s="3" t="s">
        <v>21</v>
      </c>
      <c r="R3" s="42" t="s">
        <v>105</v>
      </c>
      <c r="S3" s="45" t="s">
        <v>104</v>
      </c>
    </row>
    <row r="4" spans="1:20" x14ac:dyDescent="0.25">
      <c r="A4" s="2">
        <v>1</v>
      </c>
      <c r="D4" s="13" t="s">
        <v>16</v>
      </c>
      <c r="E4" s="14"/>
      <c r="F4" s="14"/>
      <c r="G4" s="15"/>
      <c r="H4" s="12">
        <v>184.6</v>
      </c>
      <c r="I4" s="7" t="s">
        <v>1</v>
      </c>
      <c r="J4" s="3">
        <v>0</v>
      </c>
      <c r="K4" s="3">
        <v>34</v>
      </c>
      <c r="L4" s="3">
        <v>0</v>
      </c>
      <c r="M4" s="3">
        <v>17</v>
      </c>
      <c r="N4" s="3">
        <v>17</v>
      </c>
      <c r="O4" s="3">
        <v>17</v>
      </c>
      <c r="P4" s="4">
        <f t="shared" ref="P4:P67" si="0">+H4+J4-K4-L4-M4-N4-O4</f>
        <v>99.6</v>
      </c>
      <c r="Q4" t="s">
        <v>67</v>
      </c>
      <c r="R4" s="43">
        <v>100</v>
      </c>
      <c r="S4" s="46">
        <v>500</v>
      </c>
      <c r="T4" t="s">
        <v>75</v>
      </c>
    </row>
    <row r="5" spans="1:20" x14ac:dyDescent="0.25">
      <c r="A5" s="2">
        <v>2</v>
      </c>
      <c r="D5" s="9" t="s">
        <v>22</v>
      </c>
      <c r="E5" s="10"/>
      <c r="F5" s="10"/>
      <c r="G5" s="11"/>
      <c r="H5" s="12">
        <f>'ARALIK 3 HAFTA '!P5</f>
        <v>28</v>
      </c>
      <c r="I5" s="7" t="s">
        <v>2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4">
        <f t="shared" si="0"/>
        <v>28</v>
      </c>
      <c r="Q5" s="1" t="s">
        <v>14</v>
      </c>
      <c r="R5" s="44">
        <v>6</v>
      </c>
      <c r="S5" s="47">
        <v>10</v>
      </c>
    </row>
    <row r="6" spans="1:20" x14ac:dyDescent="0.25">
      <c r="A6" s="2">
        <v>3</v>
      </c>
      <c r="D6" s="16" t="s">
        <v>23</v>
      </c>
      <c r="E6" s="17"/>
      <c r="F6" s="17"/>
      <c r="G6" s="18"/>
      <c r="H6" s="12">
        <f>'ARALIK 3 HAFTA '!P6</f>
        <v>34</v>
      </c>
      <c r="I6" s="7" t="s">
        <v>2</v>
      </c>
      <c r="J6" s="3">
        <v>20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4">
        <f t="shared" si="0"/>
        <v>54</v>
      </c>
      <c r="Q6" s="1" t="s">
        <v>14</v>
      </c>
      <c r="R6" s="44">
        <v>6</v>
      </c>
      <c r="S6" s="47">
        <v>10</v>
      </c>
    </row>
    <row r="7" spans="1:20" x14ac:dyDescent="0.25">
      <c r="A7" s="2">
        <v>4</v>
      </c>
      <c r="D7" s="9" t="s">
        <v>3</v>
      </c>
      <c r="E7" s="10"/>
      <c r="F7" s="10"/>
      <c r="G7" s="11"/>
      <c r="H7" s="12">
        <f>'ARALIK 3 HAFTA '!P7</f>
        <v>58</v>
      </c>
      <c r="I7" s="7" t="s">
        <v>2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4">
        <f t="shared" si="0"/>
        <v>58</v>
      </c>
      <c r="Q7" s="1" t="s">
        <v>14</v>
      </c>
      <c r="R7" s="44">
        <v>6</v>
      </c>
      <c r="S7" s="47">
        <v>10</v>
      </c>
    </row>
    <row r="8" spans="1:20" x14ac:dyDescent="0.25">
      <c r="A8" s="2">
        <v>5</v>
      </c>
      <c r="D8" s="16" t="s">
        <v>4</v>
      </c>
      <c r="E8" s="17"/>
      <c r="F8" s="17"/>
      <c r="G8" s="18"/>
      <c r="H8" s="12">
        <v>120</v>
      </c>
      <c r="I8" s="7" t="s">
        <v>2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4">
        <f t="shared" si="0"/>
        <v>120</v>
      </c>
      <c r="Q8" s="1" t="s">
        <v>14</v>
      </c>
      <c r="R8" s="44">
        <v>100</v>
      </c>
      <c r="S8" s="47">
        <v>400</v>
      </c>
    </row>
    <row r="9" spans="1:20" x14ac:dyDescent="0.25">
      <c r="A9" s="2">
        <v>6</v>
      </c>
      <c r="D9" s="9" t="s">
        <v>24</v>
      </c>
      <c r="E9" s="10"/>
      <c r="F9" s="10"/>
      <c r="G9" s="11"/>
      <c r="H9" s="12">
        <v>100</v>
      </c>
      <c r="I9" s="7" t="s">
        <v>2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4">
        <f t="shared" si="0"/>
        <v>100</v>
      </c>
      <c r="Q9" s="1" t="s">
        <v>14</v>
      </c>
      <c r="R9" s="44">
        <v>60</v>
      </c>
      <c r="S9" s="47">
        <v>200</v>
      </c>
    </row>
    <row r="10" spans="1:20" x14ac:dyDescent="0.25">
      <c r="A10" s="2">
        <v>7</v>
      </c>
      <c r="D10" s="16" t="s">
        <v>101</v>
      </c>
      <c r="E10" s="17"/>
      <c r="F10" s="17"/>
      <c r="G10" s="18"/>
      <c r="H10" s="12">
        <v>1620</v>
      </c>
      <c r="I10" s="7" t="s">
        <v>2</v>
      </c>
      <c r="J10" s="3">
        <v>20</v>
      </c>
      <c r="K10" s="3">
        <v>0</v>
      </c>
      <c r="L10" s="3">
        <v>0</v>
      </c>
      <c r="M10" s="3">
        <v>0</v>
      </c>
      <c r="N10" s="3">
        <v>12</v>
      </c>
      <c r="O10" s="3">
        <v>20</v>
      </c>
      <c r="P10" s="4">
        <f t="shared" si="0"/>
        <v>1608</v>
      </c>
      <c r="Q10" s="1" t="s">
        <v>14</v>
      </c>
      <c r="R10" s="44">
        <v>200</v>
      </c>
      <c r="S10" s="47">
        <v>500</v>
      </c>
    </row>
    <row r="11" spans="1:20" x14ac:dyDescent="0.25">
      <c r="A11" s="2">
        <v>8</v>
      </c>
      <c r="D11" s="9" t="s">
        <v>25</v>
      </c>
      <c r="E11" s="10"/>
      <c r="F11" s="10"/>
      <c r="G11" s="11"/>
      <c r="H11" s="12">
        <v>430</v>
      </c>
      <c r="I11" s="7" t="s">
        <v>2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4">
        <f t="shared" si="0"/>
        <v>430</v>
      </c>
      <c r="Q11" s="1" t="s">
        <v>14</v>
      </c>
      <c r="R11" s="44">
        <v>0</v>
      </c>
      <c r="S11" s="47">
        <v>0</v>
      </c>
    </row>
    <row r="12" spans="1:20" x14ac:dyDescent="0.25">
      <c r="A12" s="2">
        <v>9</v>
      </c>
      <c r="D12" s="16" t="s">
        <v>26</v>
      </c>
      <c r="E12" s="17"/>
      <c r="F12" s="17"/>
      <c r="G12" s="18"/>
      <c r="H12" s="12">
        <f>'ARALIK 3 HAFTA '!P12</f>
        <v>60</v>
      </c>
      <c r="I12" s="7" t="s">
        <v>2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4">
        <f t="shared" si="0"/>
        <v>60</v>
      </c>
      <c r="Q12" s="1" t="s">
        <v>14</v>
      </c>
      <c r="R12" s="44">
        <v>200</v>
      </c>
      <c r="S12" s="47">
        <v>400</v>
      </c>
    </row>
    <row r="13" spans="1:20" x14ac:dyDescent="0.25">
      <c r="A13" s="2">
        <v>10</v>
      </c>
      <c r="D13" s="9" t="s">
        <v>6</v>
      </c>
      <c r="E13" s="10"/>
      <c r="F13" s="10"/>
      <c r="G13" s="11"/>
      <c r="H13" s="12">
        <f>'ARALIK 3 HAFTA '!P13</f>
        <v>42</v>
      </c>
      <c r="I13" s="7" t="s">
        <v>2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4">
        <f t="shared" si="0"/>
        <v>42</v>
      </c>
      <c r="Q13" s="1" t="s">
        <v>14</v>
      </c>
      <c r="R13" s="44">
        <v>0</v>
      </c>
      <c r="S13" s="46"/>
    </row>
    <row r="14" spans="1:20" x14ac:dyDescent="0.25">
      <c r="A14" s="2">
        <v>11</v>
      </c>
      <c r="D14" s="16" t="s">
        <v>7</v>
      </c>
      <c r="E14" s="17"/>
      <c r="F14" s="17"/>
      <c r="G14" s="18"/>
      <c r="H14" s="12">
        <f>'ARALIK 3 HAFTA '!P14</f>
        <v>6</v>
      </c>
      <c r="I14" s="7" t="s">
        <v>2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4">
        <f t="shared" si="0"/>
        <v>6</v>
      </c>
      <c r="Q14" s="1" t="s">
        <v>14</v>
      </c>
      <c r="R14" s="44">
        <v>20</v>
      </c>
      <c r="S14" s="47">
        <v>50</v>
      </c>
    </row>
    <row r="15" spans="1:20" x14ac:dyDescent="0.25">
      <c r="A15" s="2">
        <v>12</v>
      </c>
      <c r="D15" s="9" t="s">
        <v>69</v>
      </c>
      <c r="E15" s="10"/>
      <c r="F15" s="10"/>
      <c r="G15" s="11"/>
      <c r="H15" s="12">
        <v>0</v>
      </c>
      <c r="I15" s="7" t="s">
        <v>2</v>
      </c>
      <c r="J15" s="3">
        <v>20</v>
      </c>
      <c r="K15" s="3">
        <v>0</v>
      </c>
      <c r="L15" s="3">
        <v>0</v>
      </c>
      <c r="M15" s="3">
        <v>0</v>
      </c>
      <c r="N15" s="3">
        <v>4</v>
      </c>
      <c r="O15" s="3">
        <v>2</v>
      </c>
      <c r="P15" s="4">
        <f t="shared" si="0"/>
        <v>14</v>
      </c>
      <c r="Q15" s="1" t="s">
        <v>14</v>
      </c>
      <c r="R15" s="44">
        <v>100</v>
      </c>
      <c r="S15" s="47">
        <v>200</v>
      </c>
    </row>
    <row r="16" spans="1:20" x14ac:dyDescent="0.25">
      <c r="A16" s="2">
        <v>13</v>
      </c>
      <c r="D16" s="16" t="s">
        <v>27</v>
      </c>
      <c r="E16" s="17"/>
      <c r="F16" s="17"/>
      <c r="G16" s="18"/>
      <c r="H16" s="12">
        <f>'ARALIK 3 HAFTA '!P16</f>
        <v>88</v>
      </c>
      <c r="I16" s="7" t="s">
        <v>2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4">
        <f t="shared" si="0"/>
        <v>88</v>
      </c>
      <c r="Q16" s="1" t="s">
        <v>14</v>
      </c>
      <c r="R16" s="44">
        <v>0</v>
      </c>
      <c r="S16" s="46"/>
    </row>
    <row r="17" spans="1:19" x14ac:dyDescent="0.25">
      <c r="A17" s="2">
        <v>14</v>
      </c>
      <c r="D17" s="9" t="s">
        <v>73</v>
      </c>
      <c r="E17" s="10"/>
      <c r="F17" s="10"/>
      <c r="G17" s="11"/>
      <c r="H17" s="12">
        <f>'ARALIK 3 HAFTA '!P17</f>
        <v>800</v>
      </c>
      <c r="I17" s="7" t="s">
        <v>2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6</v>
      </c>
      <c r="P17" s="4">
        <f t="shared" si="0"/>
        <v>794</v>
      </c>
      <c r="Q17" s="1" t="s">
        <v>14</v>
      </c>
      <c r="R17" s="44">
        <v>0</v>
      </c>
      <c r="S17" s="46"/>
    </row>
    <row r="18" spans="1:19" x14ac:dyDescent="0.25">
      <c r="A18" s="2">
        <v>15</v>
      </c>
      <c r="D18" s="16" t="s">
        <v>28</v>
      </c>
      <c r="E18" s="17"/>
      <c r="F18" s="17"/>
      <c r="G18" s="18"/>
      <c r="H18" s="12">
        <f>'ARALIK 3 HAFTA '!P18</f>
        <v>6</v>
      </c>
      <c r="I18" s="7" t="s">
        <v>2</v>
      </c>
      <c r="J18" s="3">
        <v>100</v>
      </c>
      <c r="K18" s="3">
        <v>0</v>
      </c>
      <c r="L18" s="3">
        <v>20</v>
      </c>
      <c r="M18" s="3">
        <v>0</v>
      </c>
      <c r="N18" s="3">
        <v>0</v>
      </c>
      <c r="O18" s="3">
        <v>3</v>
      </c>
      <c r="P18" s="4">
        <f t="shared" si="0"/>
        <v>83</v>
      </c>
      <c r="Q18" s="1" t="s">
        <v>14</v>
      </c>
      <c r="R18" s="44">
        <v>20</v>
      </c>
      <c r="S18" s="47">
        <v>50</v>
      </c>
    </row>
    <row r="19" spans="1:19" x14ac:dyDescent="0.25">
      <c r="A19" s="2">
        <v>16</v>
      </c>
      <c r="D19" s="9" t="s">
        <v>29</v>
      </c>
      <c r="E19" s="10"/>
      <c r="F19" s="10"/>
      <c r="G19" s="11"/>
      <c r="H19" s="12">
        <f>'ARALIK 3 HAFTA '!P19</f>
        <v>6</v>
      </c>
      <c r="I19" s="7" t="s">
        <v>2</v>
      </c>
      <c r="J19" s="3">
        <v>100</v>
      </c>
      <c r="K19" s="3">
        <v>0</v>
      </c>
      <c r="L19" s="3">
        <v>20</v>
      </c>
      <c r="M19" s="3">
        <v>0</v>
      </c>
      <c r="N19" s="3">
        <v>0</v>
      </c>
      <c r="O19" s="3">
        <v>3</v>
      </c>
      <c r="P19" s="4">
        <f t="shared" si="0"/>
        <v>83</v>
      </c>
      <c r="Q19" s="1" t="s">
        <v>14</v>
      </c>
      <c r="R19" s="44">
        <v>20</v>
      </c>
      <c r="S19" s="47">
        <v>50</v>
      </c>
    </row>
    <row r="20" spans="1:19" x14ac:dyDescent="0.25">
      <c r="A20" s="2">
        <v>17</v>
      </c>
      <c r="D20" s="16" t="s">
        <v>30</v>
      </c>
      <c r="E20" s="17"/>
      <c r="F20" s="17"/>
      <c r="G20" s="18"/>
      <c r="H20" s="12">
        <f>'ARALIK 3 HAFTA '!P20</f>
        <v>38</v>
      </c>
      <c r="I20" s="7" t="s">
        <v>2</v>
      </c>
      <c r="J20" s="3">
        <v>100</v>
      </c>
      <c r="K20" s="3">
        <v>0</v>
      </c>
      <c r="L20" s="3">
        <v>20</v>
      </c>
      <c r="M20" s="3">
        <v>0</v>
      </c>
      <c r="N20" s="3">
        <v>0</v>
      </c>
      <c r="O20" s="3">
        <v>3</v>
      </c>
      <c r="P20" s="4">
        <f t="shared" si="0"/>
        <v>115</v>
      </c>
      <c r="Q20" s="1" t="s">
        <v>14</v>
      </c>
      <c r="R20" s="44">
        <v>20</v>
      </c>
      <c r="S20" s="47">
        <v>50</v>
      </c>
    </row>
    <row r="21" spans="1:19" x14ac:dyDescent="0.25">
      <c r="A21" s="2">
        <v>18</v>
      </c>
      <c r="D21" s="9" t="s">
        <v>31</v>
      </c>
      <c r="E21" s="10"/>
      <c r="F21" s="10"/>
      <c r="G21" s="11"/>
      <c r="H21" s="12">
        <f>'ARALIK 3 HAFTA '!P21</f>
        <v>23</v>
      </c>
      <c r="I21" s="7" t="s">
        <v>2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4">
        <f t="shared" si="0"/>
        <v>23</v>
      </c>
      <c r="Q21" s="1" t="s">
        <v>14</v>
      </c>
      <c r="R21" s="44">
        <v>0</v>
      </c>
      <c r="S21" s="46"/>
    </row>
    <row r="22" spans="1:19" x14ac:dyDescent="0.25">
      <c r="A22" s="2">
        <v>19</v>
      </c>
      <c r="D22" s="55" t="s">
        <v>8</v>
      </c>
      <c r="E22" s="56"/>
      <c r="F22" s="56"/>
      <c r="G22" s="57"/>
      <c r="H22" s="12">
        <v>55</v>
      </c>
      <c r="I22" s="59" t="s">
        <v>1</v>
      </c>
      <c r="J22" s="3">
        <v>300</v>
      </c>
      <c r="K22" s="3">
        <v>15</v>
      </c>
      <c r="L22" s="3">
        <v>5</v>
      </c>
      <c r="M22" s="3">
        <v>0</v>
      </c>
      <c r="N22" s="3">
        <v>30</v>
      </c>
      <c r="O22" s="3">
        <v>0</v>
      </c>
      <c r="P22" s="46">
        <f t="shared" si="0"/>
        <v>305</v>
      </c>
      <c r="Q22" s="1" t="s">
        <v>14</v>
      </c>
      <c r="R22" s="44">
        <v>50</v>
      </c>
      <c r="S22" s="47">
        <v>200</v>
      </c>
    </row>
    <row r="23" spans="1:19" x14ac:dyDescent="0.25">
      <c r="A23" s="2">
        <v>20</v>
      </c>
      <c r="D23" s="9" t="s">
        <v>32</v>
      </c>
      <c r="E23" s="10"/>
      <c r="F23" s="10"/>
      <c r="G23" s="11"/>
      <c r="H23" s="12">
        <f>'ARALIK 3 HAFTA '!P23</f>
        <v>2000</v>
      </c>
      <c r="I23" s="7" t="s">
        <v>2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4">
        <f t="shared" si="0"/>
        <v>2000</v>
      </c>
      <c r="Q23" s="1" t="s">
        <v>14</v>
      </c>
      <c r="R23" s="44">
        <v>0</v>
      </c>
      <c r="S23" s="46"/>
    </row>
    <row r="24" spans="1:19" x14ac:dyDescent="0.25">
      <c r="A24" s="2">
        <v>21</v>
      </c>
      <c r="D24" s="16" t="s">
        <v>33</v>
      </c>
      <c r="E24" s="17"/>
      <c r="F24" s="17"/>
      <c r="G24" s="18"/>
      <c r="H24" s="12">
        <v>190</v>
      </c>
      <c r="I24" s="7" t="s">
        <v>2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4">
        <f t="shared" si="0"/>
        <v>190</v>
      </c>
      <c r="Q24" s="1" t="s">
        <v>14</v>
      </c>
      <c r="R24" s="44">
        <v>0</v>
      </c>
      <c r="S24" s="46"/>
    </row>
    <row r="25" spans="1:19" x14ac:dyDescent="0.25">
      <c r="A25" s="2">
        <v>22</v>
      </c>
      <c r="D25" s="9" t="s">
        <v>34</v>
      </c>
      <c r="E25" s="10"/>
      <c r="F25" s="10"/>
      <c r="G25" s="11"/>
      <c r="H25" s="12">
        <v>50</v>
      </c>
      <c r="I25" s="7" t="s">
        <v>2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4">
        <f t="shared" si="0"/>
        <v>50</v>
      </c>
      <c r="Q25" s="1" t="s">
        <v>14</v>
      </c>
      <c r="R25" s="44">
        <v>0</v>
      </c>
      <c r="S25" s="46"/>
    </row>
    <row r="26" spans="1:19" x14ac:dyDescent="0.25">
      <c r="A26" s="2">
        <v>23</v>
      </c>
      <c r="D26" s="16" t="s">
        <v>82</v>
      </c>
      <c r="E26" s="17"/>
      <c r="F26" s="17"/>
      <c r="G26" s="18"/>
      <c r="H26" s="12">
        <v>70</v>
      </c>
      <c r="I26" s="7" t="s">
        <v>2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4">
        <f t="shared" si="0"/>
        <v>70</v>
      </c>
      <c r="Q26" s="1" t="s">
        <v>14</v>
      </c>
      <c r="R26" s="44">
        <v>20</v>
      </c>
      <c r="S26" s="47">
        <v>50</v>
      </c>
    </row>
    <row r="27" spans="1:19" x14ac:dyDescent="0.25">
      <c r="A27" s="2">
        <v>24</v>
      </c>
      <c r="D27" s="9" t="s">
        <v>81</v>
      </c>
      <c r="E27" s="10"/>
      <c r="F27" s="10"/>
      <c r="G27" s="11"/>
      <c r="H27" s="12">
        <v>102</v>
      </c>
      <c r="I27" s="7" t="s">
        <v>2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  <c r="P27" s="4">
        <f t="shared" si="0"/>
        <v>102</v>
      </c>
      <c r="Q27" s="1" t="s">
        <v>14</v>
      </c>
      <c r="R27" s="44">
        <v>20</v>
      </c>
      <c r="S27" s="47">
        <v>50</v>
      </c>
    </row>
    <row r="28" spans="1:19" x14ac:dyDescent="0.25">
      <c r="A28" s="2">
        <v>25</v>
      </c>
      <c r="D28" s="16" t="s">
        <v>35</v>
      </c>
      <c r="E28" s="17"/>
      <c r="F28" s="17"/>
      <c r="G28" s="18"/>
      <c r="H28" s="12">
        <f>'ARALIK 3 HAFTA '!P28</f>
        <v>0</v>
      </c>
      <c r="I28" s="7" t="s">
        <v>2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4">
        <f t="shared" si="0"/>
        <v>0</v>
      </c>
      <c r="Q28" s="1" t="s">
        <v>14</v>
      </c>
      <c r="R28" s="44">
        <v>50</v>
      </c>
      <c r="S28" s="47">
        <v>100</v>
      </c>
    </row>
    <row r="29" spans="1:19" x14ac:dyDescent="0.25">
      <c r="A29" s="2">
        <v>26</v>
      </c>
      <c r="D29" s="9" t="s">
        <v>36</v>
      </c>
      <c r="E29" s="10"/>
      <c r="F29" s="10"/>
      <c r="G29" s="11"/>
      <c r="H29" s="12">
        <f>'ARALIK 3 HAFTA '!P29</f>
        <v>25</v>
      </c>
      <c r="I29" s="7" t="s">
        <v>2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4">
        <f t="shared" si="0"/>
        <v>25</v>
      </c>
      <c r="Q29" s="1" t="s">
        <v>14</v>
      </c>
      <c r="R29" s="44">
        <v>50</v>
      </c>
      <c r="S29" s="47">
        <v>100</v>
      </c>
    </row>
    <row r="30" spans="1:19" x14ac:dyDescent="0.25">
      <c r="A30" s="2">
        <v>27</v>
      </c>
      <c r="D30" s="16" t="s">
        <v>37</v>
      </c>
      <c r="E30" s="17"/>
      <c r="F30" s="17"/>
      <c r="G30" s="18"/>
      <c r="H30" s="12">
        <v>150</v>
      </c>
      <c r="I30" s="7" t="s">
        <v>2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4">
        <f t="shared" si="0"/>
        <v>150</v>
      </c>
      <c r="Q30" s="1" t="s">
        <v>14</v>
      </c>
      <c r="R30" s="44">
        <v>20</v>
      </c>
      <c r="S30" s="47">
        <v>50</v>
      </c>
    </row>
    <row r="31" spans="1:19" x14ac:dyDescent="0.25">
      <c r="A31" s="2">
        <v>28</v>
      </c>
      <c r="D31" s="9" t="s">
        <v>38</v>
      </c>
      <c r="E31" s="10"/>
      <c r="F31" s="10"/>
      <c r="G31" s="11"/>
      <c r="H31" s="12">
        <v>499</v>
      </c>
      <c r="I31" s="7" t="s">
        <v>2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4">
        <f t="shared" si="0"/>
        <v>499</v>
      </c>
      <c r="Q31" s="1" t="s">
        <v>14</v>
      </c>
      <c r="R31" s="44">
        <v>50</v>
      </c>
      <c r="S31" s="47">
        <v>100</v>
      </c>
    </row>
    <row r="32" spans="1:19" x14ac:dyDescent="0.25">
      <c r="A32" s="2">
        <v>29</v>
      </c>
      <c r="D32" s="16" t="s">
        <v>39</v>
      </c>
      <c r="E32" s="17"/>
      <c r="F32" s="17"/>
      <c r="G32" s="18"/>
      <c r="H32" s="12">
        <v>28</v>
      </c>
      <c r="I32" s="7" t="s">
        <v>2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4">
        <f t="shared" si="0"/>
        <v>28</v>
      </c>
      <c r="Q32" s="1" t="s">
        <v>14</v>
      </c>
      <c r="R32" s="44">
        <v>20</v>
      </c>
      <c r="S32" s="47">
        <v>50</v>
      </c>
    </row>
    <row r="33" spans="1:19" x14ac:dyDescent="0.25">
      <c r="A33" s="2">
        <v>30</v>
      </c>
      <c r="D33" s="9" t="s">
        <v>40</v>
      </c>
      <c r="E33" s="10"/>
      <c r="F33" s="10"/>
      <c r="G33" s="11"/>
      <c r="H33" s="12">
        <f>'ARALIK 3 HAFTA '!P33</f>
        <v>1075</v>
      </c>
      <c r="I33" s="7" t="s">
        <v>2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4">
        <f t="shared" si="0"/>
        <v>1075</v>
      </c>
      <c r="Q33" s="1" t="s">
        <v>14</v>
      </c>
      <c r="R33" s="44">
        <v>0</v>
      </c>
      <c r="S33" s="46"/>
    </row>
    <row r="34" spans="1:19" x14ac:dyDescent="0.25">
      <c r="A34" s="2">
        <v>31</v>
      </c>
      <c r="D34" s="16" t="s">
        <v>9</v>
      </c>
      <c r="E34" s="17"/>
      <c r="F34" s="17"/>
      <c r="G34" s="18"/>
      <c r="H34" s="12">
        <v>514</v>
      </c>
      <c r="I34" s="7" t="s">
        <v>2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4">
        <f t="shared" si="0"/>
        <v>514</v>
      </c>
      <c r="Q34" s="1" t="s">
        <v>14</v>
      </c>
      <c r="R34" s="44">
        <v>50</v>
      </c>
      <c r="S34" s="47">
        <v>100</v>
      </c>
    </row>
    <row r="35" spans="1:19" x14ac:dyDescent="0.25">
      <c r="A35" s="2">
        <v>32</v>
      </c>
      <c r="D35" s="9" t="s">
        <v>83</v>
      </c>
      <c r="E35" s="10"/>
      <c r="F35" s="10"/>
      <c r="G35" s="11"/>
      <c r="H35" s="12">
        <v>60</v>
      </c>
      <c r="I35" s="7" t="s">
        <v>2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4">
        <f t="shared" si="0"/>
        <v>60</v>
      </c>
      <c r="Q35" s="1" t="s">
        <v>14</v>
      </c>
      <c r="R35" s="44">
        <v>20</v>
      </c>
      <c r="S35" s="47">
        <v>50</v>
      </c>
    </row>
    <row r="36" spans="1:19" x14ac:dyDescent="0.25">
      <c r="A36" s="2">
        <v>33</v>
      </c>
      <c r="D36" s="16" t="s">
        <v>70</v>
      </c>
      <c r="E36" s="17"/>
      <c r="F36" s="17"/>
      <c r="G36" s="18"/>
      <c r="H36" s="12">
        <f>'ARALIK 3 HAFTA '!P36</f>
        <v>934</v>
      </c>
      <c r="I36" s="7" t="s">
        <v>2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4">
        <f t="shared" si="0"/>
        <v>934</v>
      </c>
      <c r="Q36" s="1" t="s">
        <v>14</v>
      </c>
      <c r="R36" s="44">
        <v>0</v>
      </c>
      <c r="S36" s="46"/>
    </row>
    <row r="37" spans="1:19" x14ac:dyDescent="0.25">
      <c r="A37" s="2">
        <v>34</v>
      </c>
      <c r="D37" s="9" t="s">
        <v>41</v>
      </c>
      <c r="E37" s="10"/>
      <c r="F37" s="10"/>
      <c r="G37" s="11"/>
      <c r="H37" s="12">
        <f>'ARALIK 3 HAFTA '!P37</f>
        <v>279</v>
      </c>
      <c r="I37" s="7" t="s">
        <v>2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4">
        <f t="shared" si="0"/>
        <v>279</v>
      </c>
      <c r="Q37" s="1" t="s">
        <v>14</v>
      </c>
      <c r="R37" s="44">
        <v>50</v>
      </c>
      <c r="S37" s="47">
        <v>100</v>
      </c>
    </row>
    <row r="38" spans="1:19" x14ac:dyDescent="0.25">
      <c r="A38" s="2">
        <v>35</v>
      </c>
      <c r="D38" s="16" t="s">
        <v>42</v>
      </c>
      <c r="E38" s="17"/>
      <c r="F38" s="17"/>
      <c r="G38" s="18"/>
      <c r="H38" s="12">
        <v>280</v>
      </c>
      <c r="I38" s="7" t="s">
        <v>2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4">
        <f t="shared" si="0"/>
        <v>280</v>
      </c>
      <c r="Q38" s="1" t="s">
        <v>14</v>
      </c>
      <c r="R38" s="44">
        <v>50</v>
      </c>
      <c r="S38" s="47">
        <v>100</v>
      </c>
    </row>
    <row r="39" spans="1:19" x14ac:dyDescent="0.25">
      <c r="A39" s="2">
        <v>36</v>
      </c>
      <c r="D39" s="9" t="s">
        <v>43</v>
      </c>
      <c r="E39" s="10"/>
      <c r="F39" s="10"/>
      <c r="G39" s="11"/>
      <c r="H39" s="12">
        <v>9</v>
      </c>
      <c r="I39" s="7" t="s">
        <v>2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4">
        <f t="shared" si="0"/>
        <v>9</v>
      </c>
      <c r="Q39" s="1" t="s">
        <v>14</v>
      </c>
      <c r="R39" s="44">
        <v>50</v>
      </c>
      <c r="S39" s="47">
        <v>100</v>
      </c>
    </row>
    <row r="40" spans="1:19" x14ac:dyDescent="0.25">
      <c r="A40" s="2">
        <v>37</v>
      </c>
      <c r="D40" s="16" t="s">
        <v>119</v>
      </c>
      <c r="E40" s="17"/>
      <c r="F40" s="17"/>
      <c r="G40" s="18"/>
      <c r="H40" s="12">
        <f>'ARALIK 3 HAFTA '!P40</f>
        <v>46</v>
      </c>
      <c r="I40" s="7" t="s">
        <v>2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4">
        <f t="shared" si="0"/>
        <v>46</v>
      </c>
      <c r="Q40" s="1" t="s">
        <v>14</v>
      </c>
      <c r="R40" s="44">
        <v>0</v>
      </c>
      <c r="S40" s="46"/>
    </row>
    <row r="41" spans="1:19" x14ac:dyDescent="0.25">
      <c r="A41" s="2">
        <v>38</v>
      </c>
      <c r="D41" s="9" t="s">
        <v>71</v>
      </c>
      <c r="E41" s="10"/>
      <c r="F41" s="10"/>
      <c r="G41" s="11"/>
      <c r="H41" s="12">
        <f>'ARALIK 3 HAFTA '!P41</f>
        <v>20</v>
      </c>
      <c r="I41" s="7" t="s">
        <v>2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4">
        <f t="shared" si="0"/>
        <v>20</v>
      </c>
      <c r="Q41" s="1" t="s">
        <v>14</v>
      </c>
      <c r="R41" s="44">
        <v>5</v>
      </c>
      <c r="S41" s="47">
        <v>10</v>
      </c>
    </row>
    <row r="42" spans="1:19" x14ac:dyDescent="0.25">
      <c r="A42" s="2">
        <v>39</v>
      </c>
      <c r="D42" s="16" t="s">
        <v>10</v>
      </c>
      <c r="E42" s="17"/>
      <c r="F42" s="17"/>
      <c r="G42" s="18"/>
      <c r="H42" s="12">
        <v>12</v>
      </c>
      <c r="I42" s="7" t="s">
        <v>2</v>
      </c>
      <c r="J42" s="3">
        <v>3000</v>
      </c>
      <c r="K42" s="3">
        <v>0</v>
      </c>
      <c r="L42" s="3">
        <v>0</v>
      </c>
      <c r="M42" s="3">
        <v>32</v>
      </c>
      <c r="N42" s="3">
        <v>0</v>
      </c>
      <c r="O42" s="3">
        <v>0</v>
      </c>
      <c r="P42" s="4">
        <f t="shared" si="0"/>
        <v>2980</v>
      </c>
      <c r="Q42" s="1" t="s">
        <v>14</v>
      </c>
      <c r="R42" s="44">
        <v>40</v>
      </c>
      <c r="S42" s="47">
        <v>100</v>
      </c>
    </row>
    <row r="43" spans="1:19" x14ac:dyDescent="0.25">
      <c r="A43" s="2">
        <v>40</v>
      </c>
      <c r="D43" s="9" t="s">
        <v>45</v>
      </c>
      <c r="E43" s="10"/>
      <c r="F43" s="10"/>
      <c r="G43" s="11"/>
      <c r="H43" s="12">
        <v>37</v>
      </c>
      <c r="I43" s="7" t="s">
        <v>2</v>
      </c>
      <c r="J43" s="3">
        <v>1500</v>
      </c>
      <c r="K43" s="3">
        <v>0</v>
      </c>
      <c r="L43" s="3">
        <v>0</v>
      </c>
      <c r="M43" s="3">
        <v>22</v>
      </c>
      <c r="N43" s="3">
        <v>0</v>
      </c>
      <c r="O43" s="3">
        <v>0</v>
      </c>
      <c r="P43" s="4">
        <f t="shared" si="0"/>
        <v>1515</v>
      </c>
      <c r="Q43" s="1" t="s">
        <v>14</v>
      </c>
      <c r="R43" s="44">
        <v>20</v>
      </c>
      <c r="S43" s="47">
        <v>50</v>
      </c>
    </row>
    <row r="44" spans="1:19" x14ac:dyDescent="0.25">
      <c r="A44" s="2">
        <v>41</v>
      </c>
      <c r="D44" s="16" t="s">
        <v>46</v>
      </c>
      <c r="E44" s="17"/>
      <c r="F44" s="17"/>
      <c r="G44" s="18"/>
      <c r="H44" s="12">
        <v>37</v>
      </c>
      <c r="I44" s="7" t="s">
        <v>2</v>
      </c>
      <c r="J44" s="3">
        <v>1500</v>
      </c>
      <c r="K44" s="3">
        <v>0</v>
      </c>
      <c r="L44" s="3">
        <v>0</v>
      </c>
      <c r="M44" s="3">
        <v>22</v>
      </c>
      <c r="N44" s="3">
        <v>0</v>
      </c>
      <c r="O44" s="3">
        <v>0</v>
      </c>
      <c r="P44" s="4">
        <f t="shared" si="0"/>
        <v>1515</v>
      </c>
      <c r="Q44" s="1" t="s">
        <v>14</v>
      </c>
      <c r="R44" s="44">
        <v>20</v>
      </c>
      <c r="S44" s="47">
        <v>50</v>
      </c>
    </row>
    <row r="45" spans="1:19" x14ac:dyDescent="0.25">
      <c r="A45" s="2">
        <v>42</v>
      </c>
      <c r="D45" s="9" t="s">
        <v>47</v>
      </c>
      <c r="E45" s="10"/>
      <c r="F45" s="10"/>
      <c r="G45" s="11"/>
      <c r="H45" s="12">
        <v>52</v>
      </c>
      <c r="I45" s="7" t="s">
        <v>2</v>
      </c>
      <c r="J45" s="3">
        <v>1500</v>
      </c>
      <c r="K45" s="3">
        <v>0</v>
      </c>
      <c r="L45" s="3">
        <v>0</v>
      </c>
      <c r="M45" s="3">
        <v>22</v>
      </c>
      <c r="N45" s="3">
        <v>0</v>
      </c>
      <c r="O45" s="3">
        <v>0</v>
      </c>
      <c r="P45" s="4">
        <f t="shared" si="0"/>
        <v>1530</v>
      </c>
      <c r="Q45" s="1" t="s">
        <v>14</v>
      </c>
      <c r="R45" s="44">
        <v>20</v>
      </c>
      <c r="S45" s="47">
        <v>50</v>
      </c>
    </row>
    <row r="46" spans="1:19" x14ac:dyDescent="0.25">
      <c r="A46" s="2">
        <v>43</v>
      </c>
      <c r="D46" s="16" t="s">
        <v>79</v>
      </c>
      <c r="E46" s="17"/>
      <c r="F46" s="17"/>
      <c r="G46" s="18"/>
      <c r="H46" s="12">
        <v>21</v>
      </c>
      <c r="I46" s="7" t="s">
        <v>2</v>
      </c>
      <c r="J46" s="3">
        <v>0</v>
      </c>
      <c r="K46" s="3">
        <v>0</v>
      </c>
      <c r="L46" s="3">
        <v>0</v>
      </c>
      <c r="M46" s="3">
        <v>6</v>
      </c>
      <c r="N46" s="3">
        <v>0</v>
      </c>
      <c r="O46" s="3">
        <v>0</v>
      </c>
      <c r="P46" s="4">
        <f t="shared" si="0"/>
        <v>15</v>
      </c>
      <c r="Q46" s="1" t="s">
        <v>14</v>
      </c>
      <c r="R46" s="44">
        <v>10</v>
      </c>
      <c r="S46" s="47">
        <v>20</v>
      </c>
    </row>
    <row r="47" spans="1:19" x14ac:dyDescent="0.25">
      <c r="A47" s="2">
        <v>44</v>
      </c>
      <c r="D47" s="9" t="s">
        <v>48</v>
      </c>
      <c r="E47" s="10"/>
      <c r="F47" s="10"/>
      <c r="G47" s="11"/>
      <c r="H47" s="12">
        <v>12</v>
      </c>
      <c r="I47" s="7" t="s">
        <v>2</v>
      </c>
      <c r="J47" s="3">
        <v>0</v>
      </c>
      <c r="K47" s="3">
        <v>0</v>
      </c>
      <c r="L47" s="3">
        <v>0</v>
      </c>
      <c r="M47" s="3">
        <v>6</v>
      </c>
      <c r="N47" s="3">
        <v>0</v>
      </c>
      <c r="O47" s="3">
        <v>0</v>
      </c>
      <c r="P47" s="4">
        <f t="shared" si="0"/>
        <v>6</v>
      </c>
      <c r="Q47" s="1" t="s">
        <v>14</v>
      </c>
      <c r="R47" s="44">
        <v>10</v>
      </c>
      <c r="S47" s="47">
        <v>20</v>
      </c>
    </row>
    <row r="48" spans="1:19" x14ac:dyDescent="0.25">
      <c r="A48" s="2">
        <v>45</v>
      </c>
      <c r="D48" s="16" t="s">
        <v>49</v>
      </c>
      <c r="E48" s="17"/>
      <c r="F48" s="17"/>
      <c r="G48" s="18"/>
      <c r="H48" s="12">
        <f>'ARALIK 3 HAFTA '!P48</f>
        <v>0</v>
      </c>
      <c r="I48" s="7" t="s">
        <v>2</v>
      </c>
      <c r="J48" s="3">
        <v>25</v>
      </c>
      <c r="K48" s="3">
        <v>0</v>
      </c>
      <c r="L48" s="3">
        <v>0</v>
      </c>
      <c r="M48" s="3">
        <v>6</v>
      </c>
      <c r="N48" s="3">
        <v>0</v>
      </c>
      <c r="O48" s="3">
        <v>0</v>
      </c>
      <c r="P48" s="4">
        <f t="shared" si="0"/>
        <v>19</v>
      </c>
      <c r="Q48" s="1" t="s">
        <v>14</v>
      </c>
      <c r="R48" s="44">
        <v>10</v>
      </c>
      <c r="S48" s="47">
        <v>20</v>
      </c>
    </row>
    <row r="49" spans="1:20" x14ac:dyDescent="0.25">
      <c r="A49" s="2">
        <v>46</v>
      </c>
      <c r="D49" s="9" t="s">
        <v>11</v>
      </c>
      <c r="E49" s="10"/>
      <c r="F49" s="10"/>
      <c r="G49" s="11"/>
      <c r="H49" s="12">
        <v>257.5</v>
      </c>
      <c r="I49" s="7" t="s">
        <v>1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4">
        <f t="shared" si="0"/>
        <v>257.5</v>
      </c>
      <c r="Q49" s="1" t="s">
        <v>14</v>
      </c>
      <c r="R49" s="44">
        <v>20</v>
      </c>
      <c r="S49" s="47">
        <v>100</v>
      </c>
      <c r="T49" t="s">
        <v>75</v>
      </c>
    </row>
    <row r="50" spans="1:20" x14ac:dyDescent="0.25">
      <c r="A50" s="2">
        <v>47</v>
      </c>
      <c r="D50" s="16" t="s">
        <v>111</v>
      </c>
      <c r="E50" s="17"/>
      <c r="F50" s="17"/>
      <c r="G50" s="18"/>
      <c r="H50" s="12">
        <v>142</v>
      </c>
      <c r="I50" s="7" t="s">
        <v>2</v>
      </c>
      <c r="J50" s="3">
        <v>0</v>
      </c>
      <c r="K50" s="3">
        <v>0</v>
      </c>
      <c r="L50" s="3">
        <v>0</v>
      </c>
      <c r="M50" s="3">
        <v>0</v>
      </c>
      <c r="N50" s="3">
        <v>16</v>
      </c>
      <c r="O50" s="3">
        <v>0</v>
      </c>
      <c r="P50" s="4">
        <f t="shared" si="0"/>
        <v>126</v>
      </c>
      <c r="Q50" s="1" t="s">
        <v>14</v>
      </c>
      <c r="R50" s="44">
        <v>30</v>
      </c>
      <c r="S50" s="47">
        <v>100</v>
      </c>
    </row>
    <row r="51" spans="1:20" x14ac:dyDescent="0.25">
      <c r="A51" s="2">
        <v>48</v>
      </c>
      <c r="D51" s="9" t="s">
        <v>51</v>
      </c>
      <c r="E51" s="10"/>
      <c r="F51" s="10"/>
      <c r="G51" s="11"/>
      <c r="H51" s="12">
        <v>98</v>
      </c>
      <c r="I51" s="7" t="s">
        <v>2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4">
        <f t="shared" si="0"/>
        <v>98</v>
      </c>
      <c r="Q51" s="1" t="s">
        <v>14</v>
      </c>
      <c r="R51" s="44">
        <v>20</v>
      </c>
      <c r="S51" s="47">
        <v>50</v>
      </c>
    </row>
    <row r="52" spans="1:20" x14ac:dyDescent="0.25">
      <c r="A52" s="2">
        <v>49</v>
      </c>
      <c r="D52" s="16" t="s">
        <v>52</v>
      </c>
      <c r="E52" s="17"/>
      <c r="F52" s="17"/>
      <c r="G52" s="18"/>
      <c r="H52" s="12">
        <v>140</v>
      </c>
      <c r="I52" s="7" t="s">
        <v>2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4">
        <f t="shared" si="0"/>
        <v>140</v>
      </c>
      <c r="Q52" s="1" t="s">
        <v>14</v>
      </c>
      <c r="R52" s="44">
        <v>20</v>
      </c>
      <c r="S52" s="47">
        <v>50</v>
      </c>
    </row>
    <row r="53" spans="1:20" x14ac:dyDescent="0.25">
      <c r="A53" s="2">
        <v>50</v>
      </c>
      <c r="D53" s="9" t="s">
        <v>53</v>
      </c>
      <c r="E53" s="10"/>
      <c r="F53" s="10"/>
      <c r="G53" s="11"/>
      <c r="H53" s="12">
        <v>90</v>
      </c>
      <c r="I53" s="7" t="s">
        <v>2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4">
        <f t="shared" si="0"/>
        <v>90</v>
      </c>
      <c r="Q53" s="1" t="s">
        <v>14</v>
      </c>
      <c r="R53" s="44">
        <v>20</v>
      </c>
      <c r="S53" s="47">
        <v>50</v>
      </c>
    </row>
    <row r="54" spans="1:20" x14ac:dyDescent="0.25">
      <c r="A54" s="2">
        <v>51</v>
      </c>
      <c r="D54" s="52" t="s">
        <v>54</v>
      </c>
      <c r="E54" s="53"/>
      <c r="F54" s="53"/>
      <c r="G54" s="54"/>
      <c r="H54" s="12">
        <v>120</v>
      </c>
      <c r="I54" s="7" t="s">
        <v>1</v>
      </c>
      <c r="J54" s="3">
        <v>1095</v>
      </c>
      <c r="K54" s="3">
        <v>45</v>
      </c>
      <c r="L54" s="3">
        <v>75</v>
      </c>
      <c r="M54" s="3">
        <v>0</v>
      </c>
      <c r="N54" s="3">
        <v>30</v>
      </c>
      <c r="O54" s="3">
        <v>30</v>
      </c>
      <c r="P54" s="4">
        <f t="shared" si="0"/>
        <v>1035</v>
      </c>
      <c r="Q54" s="1" t="s">
        <v>120</v>
      </c>
      <c r="R54" s="44">
        <v>250</v>
      </c>
      <c r="S54" s="47">
        <v>750</v>
      </c>
      <c r="T54" t="s">
        <v>75</v>
      </c>
    </row>
    <row r="55" spans="1:20" x14ac:dyDescent="0.25">
      <c r="A55" s="2">
        <v>52</v>
      </c>
      <c r="D55" s="9" t="s">
        <v>55</v>
      </c>
      <c r="E55" s="10"/>
      <c r="F55" s="10"/>
      <c r="G55" s="11"/>
      <c r="H55" s="12">
        <f>'ARALIK 3 HAFTA '!P55</f>
        <v>3500</v>
      </c>
      <c r="I55" s="7" t="s">
        <v>2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  <c r="P55" s="4">
        <f t="shared" si="0"/>
        <v>3500</v>
      </c>
      <c r="Q55" s="1" t="s">
        <v>14</v>
      </c>
      <c r="R55" s="44">
        <v>0</v>
      </c>
      <c r="S55" s="46"/>
    </row>
    <row r="56" spans="1:20" x14ac:dyDescent="0.25">
      <c r="A56" s="2">
        <v>53</v>
      </c>
      <c r="D56" s="16" t="s">
        <v>56</v>
      </c>
      <c r="E56" s="17"/>
      <c r="F56" s="17"/>
      <c r="G56" s="18"/>
      <c r="H56" s="12">
        <f>'ARALIK 3 HAFTA '!P56</f>
        <v>1500</v>
      </c>
      <c r="I56" s="7" t="s">
        <v>2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  <c r="P56" s="4">
        <f t="shared" si="0"/>
        <v>1500</v>
      </c>
      <c r="Q56" s="1" t="s">
        <v>14</v>
      </c>
      <c r="R56" s="44">
        <v>0</v>
      </c>
      <c r="S56" s="46"/>
    </row>
    <row r="57" spans="1:20" x14ac:dyDescent="0.25">
      <c r="A57" s="2">
        <v>54</v>
      </c>
      <c r="D57" s="9" t="s">
        <v>12</v>
      </c>
      <c r="E57" s="10"/>
      <c r="F57" s="10"/>
      <c r="G57" s="11"/>
      <c r="H57" s="12">
        <f>'ARALIK 3 HAFTA '!P57</f>
        <v>2800</v>
      </c>
      <c r="I57" s="7" t="s">
        <v>2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  <c r="P57" s="4">
        <f t="shared" si="0"/>
        <v>2800</v>
      </c>
      <c r="Q57" s="1" t="s">
        <v>14</v>
      </c>
      <c r="R57" s="44">
        <v>0</v>
      </c>
      <c r="S57" s="46"/>
    </row>
    <row r="58" spans="1:20" x14ac:dyDescent="0.25">
      <c r="A58" s="2">
        <v>55</v>
      </c>
      <c r="D58" s="16" t="s">
        <v>57</v>
      </c>
      <c r="E58" s="17"/>
      <c r="F58" s="17"/>
      <c r="G58" s="18"/>
      <c r="H58" s="12">
        <f>'ARALIK 3 HAFTA '!P58</f>
        <v>3000</v>
      </c>
      <c r="I58" s="7" t="s">
        <v>2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4">
        <f t="shared" si="0"/>
        <v>3000</v>
      </c>
      <c r="Q58" s="1" t="s">
        <v>14</v>
      </c>
      <c r="R58" s="44">
        <v>0</v>
      </c>
      <c r="S58" s="46"/>
    </row>
    <row r="59" spans="1:20" x14ac:dyDescent="0.25">
      <c r="A59" s="2">
        <v>56</v>
      </c>
      <c r="D59" s="9" t="s">
        <v>58</v>
      </c>
      <c r="E59" s="10"/>
      <c r="F59" s="10"/>
      <c r="G59" s="11"/>
      <c r="H59" s="12">
        <f>'ARALIK 3 HAFTA '!P59</f>
        <v>4000</v>
      </c>
      <c r="I59" s="7" t="s">
        <v>2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  <c r="P59" s="4">
        <f t="shared" si="0"/>
        <v>4000</v>
      </c>
      <c r="Q59" s="1" t="s">
        <v>14</v>
      </c>
      <c r="R59" s="44">
        <v>0</v>
      </c>
      <c r="S59" s="46"/>
    </row>
    <row r="60" spans="1:20" x14ac:dyDescent="0.25">
      <c r="A60" s="2">
        <v>57</v>
      </c>
      <c r="D60" s="16" t="s">
        <v>59</v>
      </c>
      <c r="E60" s="17"/>
      <c r="F60" s="17"/>
      <c r="G60" s="18"/>
      <c r="H60" s="12">
        <f>'ARALIK 3 HAFTA '!P60</f>
        <v>3000</v>
      </c>
      <c r="I60" s="7" t="s">
        <v>2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4">
        <f t="shared" si="0"/>
        <v>3000</v>
      </c>
      <c r="Q60" s="1" t="s">
        <v>14</v>
      </c>
      <c r="R60" s="44">
        <v>0</v>
      </c>
      <c r="S60" s="46"/>
    </row>
    <row r="61" spans="1:20" x14ac:dyDescent="0.25">
      <c r="A61" s="2">
        <v>58</v>
      </c>
      <c r="D61" s="9" t="s">
        <v>60</v>
      </c>
      <c r="E61" s="10"/>
      <c r="F61" s="10"/>
      <c r="G61" s="11"/>
      <c r="H61" s="12">
        <f>'ARALIK 3 HAFTA '!P61</f>
        <v>4700</v>
      </c>
      <c r="I61" s="7" t="s">
        <v>2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4">
        <f t="shared" si="0"/>
        <v>4700</v>
      </c>
      <c r="Q61" s="1" t="s">
        <v>14</v>
      </c>
      <c r="R61" s="44">
        <v>0</v>
      </c>
      <c r="S61" s="46"/>
    </row>
    <row r="62" spans="1:20" x14ac:dyDescent="0.25">
      <c r="A62" s="2">
        <v>59</v>
      </c>
      <c r="D62" s="16" t="s">
        <v>61</v>
      </c>
      <c r="E62" s="17"/>
      <c r="F62" s="17"/>
      <c r="G62" s="18"/>
      <c r="H62" s="12">
        <f>'ARALIK 3 HAFTA '!P62</f>
        <v>334</v>
      </c>
      <c r="I62" s="7" t="s">
        <v>2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4">
        <f t="shared" si="0"/>
        <v>334</v>
      </c>
      <c r="Q62" s="1" t="s">
        <v>14</v>
      </c>
      <c r="R62" s="44">
        <v>0</v>
      </c>
      <c r="S62" s="46"/>
    </row>
    <row r="63" spans="1:20" x14ac:dyDescent="0.25">
      <c r="A63" s="2">
        <v>60</v>
      </c>
      <c r="D63" s="9" t="s">
        <v>62</v>
      </c>
      <c r="E63" s="10"/>
      <c r="F63" s="10"/>
      <c r="G63" s="11"/>
      <c r="H63" s="12">
        <v>984</v>
      </c>
      <c r="I63" s="7" t="s">
        <v>2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100</v>
      </c>
      <c r="P63" s="4">
        <f t="shared" si="0"/>
        <v>884</v>
      </c>
      <c r="Q63" s="1" t="s">
        <v>14</v>
      </c>
      <c r="R63" s="44">
        <v>200</v>
      </c>
      <c r="S63" s="47">
        <v>1000</v>
      </c>
    </row>
    <row r="64" spans="1:20" x14ac:dyDescent="0.25">
      <c r="A64" s="2">
        <v>61</v>
      </c>
      <c r="D64" s="16" t="s">
        <v>13</v>
      </c>
      <c r="E64" s="17"/>
      <c r="F64" s="17"/>
      <c r="G64" s="18"/>
      <c r="H64" s="12">
        <f>'ARALIK 3 HAFTA '!P64</f>
        <v>447</v>
      </c>
      <c r="I64" s="7" t="s">
        <v>2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4">
        <f t="shared" si="0"/>
        <v>447</v>
      </c>
      <c r="Q64" s="1" t="s">
        <v>14</v>
      </c>
      <c r="R64" s="44">
        <v>100</v>
      </c>
      <c r="S64" s="47">
        <v>300</v>
      </c>
    </row>
    <row r="65" spans="1:20" x14ac:dyDescent="0.25">
      <c r="A65" s="2">
        <v>62</v>
      </c>
      <c r="D65" s="9" t="s">
        <v>72</v>
      </c>
      <c r="E65" s="10"/>
      <c r="F65" s="10"/>
      <c r="G65" s="11"/>
      <c r="H65" s="12">
        <f>'ARALIK 3 HAFTA '!P65</f>
        <v>315</v>
      </c>
      <c r="I65" s="7" t="s">
        <v>2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4">
        <f t="shared" si="0"/>
        <v>315</v>
      </c>
      <c r="Q65" s="1" t="s">
        <v>14</v>
      </c>
      <c r="R65" s="44">
        <v>100</v>
      </c>
      <c r="S65" s="47">
        <v>300</v>
      </c>
    </row>
    <row r="66" spans="1:20" x14ac:dyDescent="0.25">
      <c r="A66" s="2">
        <v>63</v>
      </c>
      <c r="D66" s="16" t="s">
        <v>63</v>
      </c>
      <c r="E66" s="17"/>
      <c r="F66" s="17"/>
      <c r="G66" s="18"/>
      <c r="H66" s="12">
        <f>'ARALIK 3 HAFTA '!P66</f>
        <v>350</v>
      </c>
      <c r="I66" s="7" t="s">
        <v>2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  <c r="P66" s="4">
        <f t="shared" si="0"/>
        <v>350</v>
      </c>
      <c r="Q66" s="1" t="s">
        <v>14</v>
      </c>
      <c r="R66" s="44">
        <v>100</v>
      </c>
      <c r="S66" s="47">
        <v>300</v>
      </c>
    </row>
    <row r="67" spans="1:20" x14ac:dyDescent="0.25">
      <c r="A67" s="2">
        <v>64</v>
      </c>
      <c r="D67" s="9" t="s">
        <v>77</v>
      </c>
      <c r="E67" s="10"/>
      <c r="F67" s="10"/>
      <c r="G67" s="11"/>
      <c r="H67" s="12">
        <f>'ARALIK 3 HAFTA '!P67</f>
        <v>1912</v>
      </c>
      <c r="I67" s="7" t="s">
        <v>2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  <c r="P67" s="4">
        <f t="shared" si="0"/>
        <v>1912</v>
      </c>
      <c r="Q67" s="1" t="s">
        <v>14</v>
      </c>
      <c r="R67" s="44">
        <v>100</v>
      </c>
      <c r="S67" s="47">
        <v>300</v>
      </c>
    </row>
    <row r="68" spans="1:20" x14ac:dyDescent="0.25">
      <c r="A68" s="2">
        <v>65</v>
      </c>
      <c r="D68" s="16" t="s">
        <v>87</v>
      </c>
      <c r="E68" s="17"/>
      <c r="F68" s="17"/>
      <c r="G68" s="18"/>
      <c r="H68" s="12">
        <v>420</v>
      </c>
      <c r="I68" s="7" t="s">
        <v>2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4">
        <f t="shared" ref="P68:P88" si="1">+H68+J68-K68-L68-M68-N68-O68</f>
        <v>420</v>
      </c>
      <c r="Q68" s="1" t="s">
        <v>14</v>
      </c>
      <c r="R68" s="44">
        <v>0</v>
      </c>
      <c r="S68" s="46"/>
    </row>
    <row r="69" spans="1:20" x14ac:dyDescent="0.25">
      <c r="A69" s="2">
        <v>66</v>
      </c>
      <c r="D69" s="9" t="s">
        <v>64</v>
      </c>
      <c r="E69" s="10"/>
      <c r="F69" s="10"/>
      <c r="G69" s="11"/>
      <c r="H69" s="12">
        <v>280</v>
      </c>
      <c r="I69" s="7" t="s">
        <v>2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4">
        <f t="shared" si="1"/>
        <v>280</v>
      </c>
      <c r="Q69" s="1" t="s">
        <v>14</v>
      </c>
      <c r="R69" s="44">
        <v>50</v>
      </c>
      <c r="S69" s="47">
        <v>100</v>
      </c>
    </row>
    <row r="70" spans="1:20" x14ac:dyDescent="0.25">
      <c r="A70" s="2">
        <v>67</v>
      </c>
      <c r="D70" s="16" t="s">
        <v>65</v>
      </c>
      <c r="E70" s="17"/>
      <c r="F70" s="17"/>
      <c r="G70" s="18"/>
      <c r="H70" s="12">
        <f>'ARALIK 3 HAFTA '!P70</f>
        <v>60</v>
      </c>
      <c r="I70" s="7" t="s">
        <v>2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4">
        <f t="shared" si="1"/>
        <v>60</v>
      </c>
      <c r="Q70" s="1" t="s">
        <v>14</v>
      </c>
      <c r="R70" s="44">
        <v>0</v>
      </c>
      <c r="S70" s="46"/>
    </row>
    <row r="71" spans="1:20" x14ac:dyDescent="0.25">
      <c r="A71" s="2">
        <v>68</v>
      </c>
      <c r="D71" s="9" t="s">
        <v>66</v>
      </c>
      <c r="E71" s="10"/>
      <c r="F71" s="10"/>
      <c r="G71" s="11"/>
      <c r="H71" s="12">
        <f>'ARALIK 3 HAFTA '!P71</f>
        <v>494</v>
      </c>
      <c r="I71" s="7" t="s">
        <v>2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4">
        <f t="shared" si="1"/>
        <v>494</v>
      </c>
      <c r="Q71" s="1" t="s">
        <v>14</v>
      </c>
      <c r="R71" s="44">
        <v>300</v>
      </c>
      <c r="S71" s="47">
        <v>1000</v>
      </c>
    </row>
    <row r="72" spans="1:20" x14ac:dyDescent="0.25">
      <c r="A72" s="2">
        <v>69</v>
      </c>
      <c r="D72" s="19" t="s">
        <v>86</v>
      </c>
      <c r="E72" s="20"/>
      <c r="F72" s="20"/>
      <c r="G72" s="21"/>
      <c r="H72" s="12">
        <f>'ARALIK 3 HAFTA '!P72</f>
        <v>0</v>
      </c>
      <c r="I72" s="7" t="s">
        <v>2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  <c r="P72" s="4">
        <f t="shared" si="1"/>
        <v>0</v>
      </c>
      <c r="Q72" s="1" t="s">
        <v>14</v>
      </c>
      <c r="R72" s="44">
        <v>50</v>
      </c>
      <c r="S72" s="47">
        <v>150</v>
      </c>
    </row>
    <row r="73" spans="1:20" x14ac:dyDescent="0.25">
      <c r="A73" s="2">
        <v>70</v>
      </c>
      <c r="D73" s="22" t="s">
        <v>74</v>
      </c>
      <c r="E73" s="10"/>
      <c r="F73" s="10"/>
      <c r="G73" s="11"/>
      <c r="H73" s="12">
        <f>'ARALIK 3 HAFTA '!P73</f>
        <v>191.5</v>
      </c>
      <c r="I73" s="8" t="s">
        <v>75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4">
        <f t="shared" si="1"/>
        <v>191.5</v>
      </c>
      <c r="Q73" s="1" t="s">
        <v>91</v>
      </c>
      <c r="R73" s="44">
        <v>65</v>
      </c>
      <c r="S73" s="47">
        <v>150</v>
      </c>
    </row>
    <row r="74" spans="1:20" x14ac:dyDescent="0.25">
      <c r="A74" s="2">
        <v>71</v>
      </c>
      <c r="C74" s="1" t="s">
        <v>14</v>
      </c>
      <c r="D74" s="22" t="s">
        <v>76</v>
      </c>
      <c r="E74" s="10"/>
      <c r="F74" s="10"/>
      <c r="G74" s="11"/>
      <c r="H74" s="12">
        <f>'ARALIK 3 HAFTA '!P74</f>
        <v>114</v>
      </c>
      <c r="I74" s="8" t="s">
        <v>2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4">
        <f t="shared" si="1"/>
        <v>114</v>
      </c>
      <c r="Q74" s="1" t="s">
        <v>14</v>
      </c>
      <c r="R74" s="44">
        <v>50</v>
      </c>
      <c r="S74" s="47">
        <v>100</v>
      </c>
    </row>
    <row r="75" spans="1:20" x14ac:dyDescent="0.25">
      <c r="A75" s="2">
        <v>72</v>
      </c>
      <c r="D75" s="25" t="s">
        <v>114</v>
      </c>
      <c r="H75" s="12">
        <v>181</v>
      </c>
      <c r="I75" s="30" t="s">
        <v>2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10</v>
      </c>
      <c r="P75" s="4">
        <f t="shared" si="1"/>
        <v>171</v>
      </c>
      <c r="Q75" s="1" t="s">
        <v>14</v>
      </c>
      <c r="R75" s="44">
        <v>50</v>
      </c>
      <c r="S75" s="47">
        <v>100</v>
      </c>
    </row>
    <row r="76" spans="1:20" x14ac:dyDescent="0.25">
      <c r="A76" s="2">
        <v>73</v>
      </c>
      <c r="D76" s="26" t="s">
        <v>80</v>
      </c>
      <c r="E76" s="27"/>
      <c r="F76" s="27"/>
      <c r="G76" s="28"/>
      <c r="H76" s="12">
        <v>3</v>
      </c>
      <c r="I76" s="8" t="s">
        <v>2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  <c r="P76" s="4">
        <f t="shared" si="1"/>
        <v>3</v>
      </c>
      <c r="Q76" s="1" t="s">
        <v>14</v>
      </c>
      <c r="R76" s="44">
        <v>0</v>
      </c>
      <c r="S76" s="46"/>
    </row>
    <row r="77" spans="1:20" x14ac:dyDescent="0.25">
      <c r="A77" s="2">
        <v>74</v>
      </c>
      <c r="D77" s="26" t="s">
        <v>84</v>
      </c>
      <c r="E77" s="27"/>
      <c r="F77" s="27"/>
      <c r="G77" s="28"/>
      <c r="H77" s="12">
        <f>'ARALIK 3 HAFTA '!P77</f>
        <v>50</v>
      </c>
      <c r="I77" s="8" t="s">
        <v>2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4">
        <f t="shared" si="1"/>
        <v>50</v>
      </c>
      <c r="Q77" s="1" t="s">
        <v>14</v>
      </c>
      <c r="R77" s="44">
        <v>100</v>
      </c>
      <c r="S77" s="47">
        <v>200</v>
      </c>
    </row>
    <row r="78" spans="1:20" x14ac:dyDescent="0.25">
      <c r="A78" s="2">
        <v>75</v>
      </c>
      <c r="D78" s="26" t="s">
        <v>85</v>
      </c>
      <c r="E78" s="27"/>
      <c r="F78" s="27"/>
      <c r="G78" s="28"/>
      <c r="H78" s="12">
        <f>'ARALIK 3 HAFTA '!P78</f>
        <v>0</v>
      </c>
      <c r="I78" s="8" t="s">
        <v>2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  <c r="P78" s="4">
        <f t="shared" si="1"/>
        <v>0</v>
      </c>
      <c r="R78" s="44">
        <v>0</v>
      </c>
      <c r="S78" s="46"/>
    </row>
    <row r="79" spans="1:20" x14ac:dyDescent="0.25">
      <c r="A79" s="2">
        <v>76</v>
      </c>
      <c r="D79" s="37" t="s">
        <v>99</v>
      </c>
      <c r="E79" s="17"/>
      <c r="F79" s="33"/>
      <c r="G79" s="33"/>
      <c r="H79" s="12">
        <v>466</v>
      </c>
      <c r="I79" s="8" t="s">
        <v>2</v>
      </c>
      <c r="J79" s="3">
        <v>327.2</v>
      </c>
      <c r="K79" s="3">
        <v>0</v>
      </c>
      <c r="L79" s="3">
        <v>0</v>
      </c>
      <c r="M79" s="3">
        <v>25</v>
      </c>
      <c r="N79" s="3">
        <v>0</v>
      </c>
      <c r="O79" s="3">
        <v>0</v>
      </c>
      <c r="P79" s="4">
        <f t="shared" si="1"/>
        <v>768.2</v>
      </c>
      <c r="Q79" s="1" t="s">
        <v>14</v>
      </c>
      <c r="R79" s="44">
        <v>100</v>
      </c>
      <c r="S79" s="47">
        <v>500</v>
      </c>
      <c r="T79" t="s">
        <v>75</v>
      </c>
    </row>
    <row r="80" spans="1:20" x14ac:dyDescent="0.25">
      <c r="A80" s="2">
        <v>77</v>
      </c>
      <c r="D80" s="22" t="s">
        <v>100</v>
      </c>
      <c r="E80" s="10"/>
      <c r="F80" s="10"/>
      <c r="G80" s="28"/>
      <c r="H80" s="12">
        <f>'ARALIK 3 HAFTA '!P80</f>
        <v>40</v>
      </c>
      <c r="I80" s="8" t="s">
        <v>2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  <c r="P80" s="4">
        <f t="shared" si="1"/>
        <v>40</v>
      </c>
      <c r="R80" s="44">
        <v>0</v>
      </c>
      <c r="S80" s="46"/>
    </row>
    <row r="81" spans="1:19" x14ac:dyDescent="0.25">
      <c r="A81" s="2">
        <v>78</v>
      </c>
      <c r="D81" s="37" t="s">
        <v>113</v>
      </c>
      <c r="E81" s="17"/>
      <c r="F81" s="17"/>
      <c r="G81" s="33"/>
      <c r="H81" s="12">
        <v>477.6</v>
      </c>
      <c r="I81" s="8" t="s">
        <v>97</v>
      </c>
      <c r="J81" s="3">
        <v>0</v>
      </c>
      <c r="K81" s="3">
        <v>29.9</v>
      </c>
      <c r="L81" s="3">
        <v>0</v>
      </c>
      <c r="M81" s="3">
        <v>32.200000000000003</v>
      </c>
      <c r="N81" s="3">
        <v>0</v>
      </c>
      <c r="O81" s="3">
        <v>27.2</v>
      </c>
      <c r="P81" s="4">
        <f t="shared" si="1"/>
        <v>388.30000000000007</v>
      </c>
      <c r="Q81" s="65" t="s">
        <v>121</v>
      </c>
      <c r="R81" s="44">
        <v>30</v>
      </c>
      <c r="S81" s="47">
        <v>100</v>
      </c>
    </row>
    <row r="82" spans="1:19" x14ac:dyDescent="0.25">
      <c r="A82" s="2">
        <v>79</v>
      </c>
      <c r="D82" s="22" t="s">
        <v>103</v>
      </c>
      <c r="E82" s="10"/>
      <c r="F82" s="10"/>
      <c r="G82" s="28"/>
      <c r="H82" s="12">
        <v>220</v>
      </c>
      <c r="I82" s="8" t="s">
        <v>2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  <c r="P82" s="4">
        <f t="shared" si="1"/>
        <v>220</v>
      </c>
      <c r="R82" s="44">
        <v>60</v>
      </c>
      <c r="S82" s="47">
        <v>100</v>
      </c>
    </row>
    <row r="83" spans="1:19" x14ac:dyDescent="0.25">
      <c r="A83" s="8">
        <v>80</v>
      </c>
      <c r="D83" s="49" t="s">
        <v>108</v>
      </c>
      <c r="E83" s="20"/>
      <c r="F83" s="20"/>
      <c r="G83" s="20"/>
      <c r="H83" s="12">
        <v>4000</v>
      </c>
      <c r="I83" s="8" t="s">
        <v>110</v>
      </c>
      <c r="J83" s="3">
        <v>5500</v>
      </c>
      <c r="K83" s="3">
        <v>4000</v>
      </c>
      <c r="L83" s="3">
        <v>0</v>
      </c>
      <c r="M83" s="3">
        <v>0</v>
      </c>
      <c r="N83" s="3">
        <v>500</v>
      </c>
      <c r="O83" s="3">
        <v>0</v>
      </c>
      <c r="P83" s="4">
        <f t="shared" si="1"/>
        <v>5000</v>
      </c>
      <c r="R83" s="43">
        <v>1000</v>
      </c>
      <c r="S83" s="46">
        <v>10000</v>
      </c>
    </row>
    <row r="84" spans="1:19" x14ac:dyDescent="0.25">
      <c r="A84" s="48">
        <v>81</v>
      </c>
      <c r="B84" s="41"/>
      <c r="C84" s="41"/>
      <c r="D84" s="22" t="s">
        <v>115</v>
      </c>
      <c r="E84" s="10"/>
      <c r="F84" s="10"/>
      <c r="G84" s="11"/>
      <c r="H84" s="12">
        <v>190</v>
      </c>
      <c r="I84" s="62" t="s">
        <v>2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10</v>
      </c>
      <c r="P84" s="64">
        <f t="shared" si="1"/>
        <v>180</v>
      </c>
      <c r="R84" s="64">
        <v>50</v>
      </c>
      <c r="S84" s="64">
        <v>100</v>
      </c>
    </row>
    <row r="85" spans="1:19" x14ac:dyDescent="0.25">
      <c r="A85" s="61">
        <v>82</v>
      </c>
      <c r="B85" s="41"/>
      <c r="C85" s="41"/>
      <c r="D85" s="49" t="s">
        <v>118</v>
      </c>
      <c r="E85" s="35"/>
      <c r="F85" s="35"/>
      <c r="G85" s="60"/>
      <c r="H85" s="12">
        <f>'ARALIK 3 HAFTA '!P85</f>
        <v>48</v>
      </c>
      <c r="I85" s="4"/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4">
        <f t="shared" si="1"/>
        <v>48</v>
      </c>
      <c r="Q85" s="4"/>
      <c r="R85" s="4"/>
      <c r="S85" s="4"/>
    </row>
    <row r="86" spans="1:19" ht="15.75" customHeight="1" x14ac:dyDescent="0.25">
      <c r="A86" s="8">
        <v>83</v>
      </c>
      <c r="D86" s="22" t="s">
        <v>123</v>
      </c>
      <c r="E86" s="10"/>
      <c r="F86" s="10"/>
      <c r="G86" s="11"/>
      <c r="H86" s="12">
        <f>'ARALIK 3 HAFTA '!P86</f>
        <v>4300</v>
      </c>
      <c r="I86" s="8" t="s">
        <v>2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4">
        <f t="shared" si="1"/>
        <v>4300</v>
      </c>
      <c r="Q86" s="4"/>
      <c r="R86" s="4"/>
      <c r="S86" s="4"/>
    </row>
    <row r="87" spans="1:19" x14ac:dyDescent="0.25">
      <c r="A87" s="48">
        <v>84</v>
      </c>
      <c r="B87" s="41"/>
      <c r="C87" s="41"/>
      <c r="D87" s="22" t="s">
        <v>126</v>
      </c>
      <c r="E87" s="10"/>
      <c r="F87" s="10"/>
      <c r="G87" s="11"/>
      <c r="H87" s="4">
        <v>0</v>
      </c>
      <c r="I87" s="4"/>
      <c r="J87" s="4">
        <v>5</v>
      </c>
      <c r="K87" s="4"/>
      <c r="L87" s="4"/>
      <c r="M87" s="4"/>
      <c r="N87" s="4"/>
      <c r="O87" s="4"/>
      <c r="P87" s="4">
        <f t="shared" si="1"/>
        <v>5</v>
      </c>
      <c r="Q87" s="4"/>
      <c r="R87" s="4"/>
      <c r="S87" s="4"/>
    </row>
    <row r="88" spans="1:19" x14ac:dyDescent="0.25">
      <c r="A88" s="48">
        <v>85</v>
      </c>
      <c r="B88" s="41"/>
      <c r="C88" s="41"/>
      <c r="D88" s="49" t="s">
        <v>127</v>
      </c>
      <c r="E88" s="20"/>
      <c r="F88" s="20"/>
      <c r="G88" s="21"/>
      <c r="H88" s="4"/>
      <c r="I88" s="4"/>
      <c r="J88" s="4">
        <v>5</v>
      </c>
      <c r="K88" s="4"/>
      <c r="L88" s="4"/>
      <c r="M88" s="4"/>
      <c r="N88" s="4"/>
      <c r="O88" s="4"/>
      <c r="P88" s="4">
        <f t="shared" si="1"/>
        <v>5</v>
      </c>
      <c r="Q88" s="4"/>
      <c r="R88" s="4"/>
      <c r="S88" s="4"/>
    </row>
  </sheetData>
  <pageMargins left="0.75" right="0.75" top="1" bottom="1" header="0.5" footer="0.5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T90"/>
  <sheetViews>
    <sheetView topLeftCell="A58" workbookViewId="0">
      <selection activeCell="O76" sqref="O76"/>
    </sheetView>
  </sheetViews>
  <sheetFormatPr defaultRowHeight="15" x14ac:dyDescent="0.25"/>
  <cols>
    <col min="1" max="1" width="5.5703125" customWidth="1"/>
    <col min="2" max="3" width="9.140625" hidden="1" customWidth="1"/>
    <col min="11" max="15" width="10.140625" bestFit="1" customWidth="1"/>
    <col min="17" max="17" width="4.85546875" customWidth="1"/>
    <col min="18" max="18" width="10" customWidth="1"/>
    <col min="19" max="19" width="11.140625" customWidth="1"/>
  </cols>
  <sheetData>
    <row r="1" spans="1:20" x14ac:dyDescent="0.25">
      <c r="G1" s="1"/>
      <c r="P1">
        <f>+H1+J1-K1-L1-M1-N1-O1</f>
        <v>0</v>
      </c>
    </row>
    <row r="2" spans="1:20" x14ac:dyDescent="0.25">
      <c r="A2" t="s">
        <v>14</v>
      </c>
      <c r="D2" t="s">
        <v>128</v>
      </c>
      <c r="O2" s="38" t="s">
        <v>14</v>
      </c>
      <c r="S2" s="50">
        <v>44837</v>
      </c>
    </row>
    <row r="3" spans="1:20" x14ac:dyDescent="0.25">
      <c r="A3" s="1" t="s">
        <v>15</v>
      </c>
      <c r="D3" s="9" t="s">
        <v>17</v>
      </c>
      <c r="E3" s="10"/>
      <c r="F3" s="10"/>
      <c r="G3" s="11"/>
      <c r="H3" s="12" t="s">
        <v>18</v>
      </c>
      <c r="I3" s="4" t="s">
        <v>19</v>
      </c>
      <c r="J3" s="3" t="s">
        <v>20</v>
      </c>
      <c r="K3" s="5">
        <v>44935</v>
      </c>
      <c r="L3" s="6">
        <v>44936</v>
      </c>
      <c r="M3" s="5">
        <v>44937</v>
      </c>
      <c r="N3" s="5">
        <v>44938</v>
      </c>
      <c r="O3" s="6">
        <v>44939</v>
      </c>
      <c r="P3" s="3" t="s">
        <v>21</v>
      </c>
      <c r="R3" s="42" t="s">
        <v>105</v>
      </c>
      <c r="S3" s="45" t="s">
        <v>104</v>
      </c>
    </row>
    <row r="4" spans="1:20" x14ac:dyDescent="0.25">
      <c r="A4" s="2">
        <v>1</v>
      </c>
      <c r="D4" s="13" t="s">
        <v>16</v>
      </c>
      <c r="E4" s="14"/>
      <c r="F4" s="14"/>
      <c r="G4" s="15"/>
      <c r="H4" s="12">
        <v>99.6</v>
      </c>
      <c r="I4" s="7" t="s">
        <v>1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4">
        <f t="shared" ref="P4:P67" si="0">+H4+J4-K4-L4-M4-N4-O4</f>
        <v>99.6</v>
      </c>
      <c r="Q4" t="s">
        <v>67</v>
      </c>
      <c r="R4" s="43">
        <v>100</v>
      </c>
      <c r="S4" s="46">
        <v>500</v>
      </c>
      <c r="T4" t="s">
        <v>75</v>
      </c>
    </row>
    <row r="5" spans="1:20" x14ac:dyDescent="0.25">
      <c r="A5" s="2">
        <v>2</v>
      </c>
      <c r="D5" s="9" t="s">
        <v>22</v>
      </c>
      <c r="E5" s="10"/>
      <c r="F5" s="10"/>
      <c r="G5" s="11"/>
      <c r="H5" s="12">
        <f>'ARALIK 3 HAFTA '!P5</f>
        <v>28</v>
      </c>
      <c r="I5" s="7" t="s">
        <v>2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4">
        <f t="shared" si="0"/>
        <v>28</v>
      </c>
      <c r="Q5" s="1" t="s">
        <v>14</v>
      </c>
      <c r="R5" s="44">
        <v>6</v>
      </c>
      <c r="S5" s="47">
        <v>10</v>
      </c>
    </row>
    <row r="6" spans="1:20" x14ac:dyDescent="0.25">
      <c r="A6" s="2">
        <v>3</v>
      </c>
      <c r="D6" s="16" t="s">
        <v>23</v>
      </c>
      <c r="E6" s="17"/>
      <c r="F6" s="17"/>
      <c r="G6" s="18"/>
      <c r="H6" s="12">
        <v>54</v>
      </c>
      <c r="I6" s="7" t="s">
        <v>2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4">
        <f t="shared" si="0"/>
        <v>54</v>
      </c>
      <c r="Q6" s="1" t="s">
        <v>14</v>
      </c>
      <c r="R6" s="44">
        <v>6</v>
      </c>
      <c r="S6" s="47">
        <v>10</v>
      </c>
    </row>
    <row r="7" spans="1:20" x14ac:dyDescent="0.25">
      <c r="A7" s="2">
        <v>4</v>
      </c>
      <c r="D7" s="9" t="s">
        <v>3</v>
      </c>
      <c r="E7" s="10"/>
      <c r="F7" s="10"/>
      <c r="G7" s="11"/>
      <c r="H7" s="12">
        <f>'ARALIK 3 HAFTA '!P7</f>
        <v>58</v>
      </c>
      <c r="I7" s="7" t="s">
        <v>2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4">
        <f t="shared" si="0"/>
        <v>58</v>
      </c>
      <c r="Q7" s="1" t="s">
        <v>14</v>
      </c>
      <c r="R7" s="44">
        <v>6</v>
      </c>
      <c r="S7" s="47">
        <v>10</v>
      </c>
    </row>
    <row r="8" spans="1:20" x14ac:dyDescent="0.25">
      <c r="A8" s="2">
        <v>5</v>
      </c>
      <c r="D8" s="16" t="s">
        <v>4</v>
      </c>
      <c r="E8" s="17"/>
      <c r="F8" s="17"/>
      <c r="G8" s="18"/>
      <c r="H8" s="12">
        <v>120</v>
      </c>
      <c r="I8" s="7" t="s">
        <v>2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4">
        <f t="shared" si="0"/>
        <v>120</v>
      </c>
      <c r="Q8" s="1" t="s">
        <v>14</v>
      </c>
      <c r="R8" s="44">
        <v>100</v>
      </c>
      <c r="S8" s="47">
        <v>400</v>
      </c>
    </row>
    <row r="9" spans="1:20" x14ac:dyDescent="0.25">
      <c r="A9" s="2">
        <v>6</v>
      </c>
      <c r="D9" s="9" t="s">
        <v>24</v>
      </c>
      <c r="E9" s="10"/>
      <c r="F9" s="10"/>
      <c r="G9" s="11"/>
      <c r="H9" s="12">
        <v>100</v>
      </c>
      <c r="I9" s="7" t="s">
        <v>2</v>
      </c>
      <c r="J9" s="3">
        <v>0</v>
      </c>
      <c r="K9" s="3">
        <v>0</v>
      </c>
      <c r="L9" s="3">
        <v>0</v>
      </c>
      <c r="M9" s="3">
        <v>0</v>
      </c>
      <c r="N9" s="3">
        <v>26</v>
      </c>
      <c r="O9" s="3">
        <v>0</v>
      </c>
      <c r="P9" s="4">
        <f t="shared" si="0"/>
        <v>74</v>
      </c>
      <c r="Q9" s="1" t="s">
        <v>14</v>
      </c>
      <c r="R9" s="44">
        <v>60</v>
      </c>
      <c r="S9" s="47">
        <v>200</v>
      </c>
    </row>
    <row r="10" spans="1:20" x14ac:dyDescent="0.25">
      <c r="A10" s="2">
        <v>7</v>
      </c>
      <c r="D10" s="16" t="s">
        <v>101</v>
      </c>
      <c r="E10" s="17"/>
      <c r="F10" s="17"/>
      <c r="G10" s="18"/>
      <c r="H10" s="12">
        <v>1608</v>
      </c>
      <c r="I10" s="7" t="s">
        <v>2</v>
      </c>
      <c r="J10" s="3">
        <v>0</v>
      </c>
      <c r="K10" s="3">
        <v>0</v>
      </c>
      <c r="L10" s="3">
        <v>20</v>
      </c>
      <c r="M10" s="3">
        <v>0</v>
      </c>
      <c r="N10" s="3">
        <v>100</v>
      </c>
      <c r="O10" s="3">
        <v>0</v>
      </c>
      <c r="P10" s="4">
        <f t="shared" si="0"/>
        <v>1488</v>
      </c>
      <c r="Q10" s="1" t="s">
        <v>14</v>
      </c>
      <c r="R10" s="44">
        <v>200</v>
      </c>
      <c r="S10" s="47">
        <v>500</v>
      </c>
    </row>
    <row r="11" spans="1:20" x14ac:dyDescent="0.25">
      <c r="A11" s="2">
        <v>8</v>
      </c>
      <c r="D11" s="9" t="s">
        <v>25</v>
      </c>
      <c r="E11" s="10"/>
      <c r="F11" s="10"/>
      <c r="G11" s="11"/>
      <c r="H11" s="12">
        <v>430</v>
      </c>
      <c r="I11" s="7" t="s">
        <v>2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4">
        <f t="shared" si="0"/>
        <v>430</v>
      </c>
      <c r="Q11" s="1" t="s">
        <v>14</v>
      </c>
      <c r="R11" s="44">
        <v>0</v>
      </c>
      <c r="S11" s="47">
        <v>0</v>
      </c>
    </row>
    <row r="12" spans="1:20" x14ac:dyDescent="0.25">
      <c r="A12" s="2">
        <v>9</v>
      </c>
      <c r="D12" s="16" t="s">
        <v>26</v>
      </c>
      <c r="E12" s="17"/>
      <c r="F12" s="17"/>
      <c r="G12" s="18"/>
      <c r="H12" s="12">
        <f>'ARALIK 3 HAFTA '!P12</f>
        <v>60</v>
      </c>
      <c r="I12" s="7" t="s">
        <v>2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4">
        <f t="shared" si="0"/>
        <v>60</v>
      </c>
      <c r="Q12" s="1" t="s">
        <v>14</v>
      </c>
      <c r="R12" s="44">
        <v>200</v>
      </c>
      <c r="S12" s="47">
        <v>400</v>
      </c>
    </row>
    <row r="13" spans="1:20" x14ac:dyDescent="0.25">
      <c r="A13" s="2">
        <v>10</v>
      </c>
      <c r="D13" s="9" t="s">
        <v>6</v>
      </c>
      <c r="E13" s="10"/>
      <c r="F13" s="10"/>
      <c r="G13" s="11"/>
      <c r="H13" s="12">
        <f>'ARALIK 3 HAFTA '!P13</f>
        <v>42</v>
      </c>
      <c r="I13" s="7" t="s">
        <v>2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4">
        <f t="shared" si="0"/>
        <v>42</v>
      </c>
      <c r="Q13" s="1" t="s">
        <v>14</v>
      </c>
      <c r="R13" s="44">
        <v>0</v>
      </c>
      <c r="S13" s="46"/>
    </row>
    <row r="14" spans="1:20" x14ac:dyDescent="0.25">
      <c r="A14" s="2">
        <v>11</v>
      </c>
      <c r="D14" s="16" t="s">
        <v>7</v>
      </c>
      <c r="E14" s="17"/>
      <c r="F14" s="17"/>
      <c r="G14" s="18"/>
      <c r="H14" s="12">
        <f>'ARALIK 3 HAFTA '!P14</f>
        <v>6</v>
      </c>
      <c r="I14" s="7" t="s">
        <v>2</v>
      </c>
      <c r="J14" s="3">
        <v>0</v>
      </c>
      <c r="K14" s="3">
        <v>0</v>
      </c>
      <c r="L14" s="3">
        <v>6</v>
      </c>
      <c r="M14" s="3">
        <v>0</v>
      </c>
      <c r="N14" s="3">
        <v>0</v>
      </c>
      <c r="O14" s="3">
        <v>0</v>
      </c>
      <c r="P14" s="4">
        <f t="shared" si="0"/>
        <v>0</v>
      </c>
      <c r="Q14" s="1" t="s">
        <v>14</v>
      </c>
      <c r="R14" s="44">
        <v>20</v>
      </c>
      <c r="S14" s="47">
        <v>50</v>
      </c>
    </row>
    <row r="15" spans="1:20" x14ac:dyDescent="0.25">
      <c r="A15" s="2">
        <v>12</v>
      </c>
      <c r="D15" s="9" t="s">
        <v>69</v>
      </c>
      <c r="E15" s="10"/>
      <c r="F15" s="10"/>
      <c r="G15" s="11"/>
      <c r="H15" s="12">
        <v>14</v>
      </c>
      <c r="I15" s="7" t="s">
        <v>2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4">
        <f t="shared" si="0"/>
        <v>14</v>
      </c>
      <c r="Q15" s="1" t="s">
        <v>14</v>
      </c>
      <c r="R15" s="44">
        <v>100</v>
      </c>
      <c r="S15" s="47">
        <v>200</v>
      </c>
    </row>
    <row r="16" spans="1:20" x14ac:dyDescent="0.25">
      <c r="A16" s="2">
        <v>13</v>
      </c>
      <c r="D16" s="16" t="s">
        <v>27</v>
      </c>
      <c r="E16" s="17"/>
      <c r="F16" s="17"/>
      <c r="G16" s="18"/>
      <c r="H16" s="12">
        <f>'ARALIK 3 HAFTA '!P16</f>
        <v>88</v>
      </c>
      <c r="I16" s="7" t="s">
        <v>2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4">
        <f t="shared" si="0"/>
        <v>88</v>
      </c>
      <c r="Q16" s="1" t="s">
        <v>14</v>
      </c>
      <c r="R16" s="44">
        <v>0</v>
      </c>
      <c r="S16" s="46"/>
    </row>
    <row r="17" spans="1:19" x14ac:dyDescent="0.25">
      <c r="A17" s="2">
        <v>14</v>
      </c>
      <c r="D17" s="9" t="s">
        <v>73</v>
      </c>
      <c r="E17" s="10"/>
      <c r="F17" s="10"/>
      <c r="G17" s="11"/>
      <c r="H17" s="12">
        <v>794</v>
      </c>
      <c r="I17" s="7" t="s">
        <v>2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4">
        <f t="shared" si="0"/>
        <v>794</v>
      </c>
      <c r="Q17" s="1" t="s">
        <v>14</v>
      </c>
      <c r="R17" s="44">
        <v>0</v>
      </c>
      <c r="S17" s="46"/>
    </row>
    <row r="18" spans="1:19" x14ac:dyDescent="0.25">
      <c r="A18" s="2">
        <v>15</v>
      </c>
      <c r="D18" s="16" t="s">
        <v>28</v>
      </c>
      <c r="E18" s="17"/>
      <c r="F18" s="17"/>
      <c r="G18" s="18"/>
      <c r="H18" s="12">
        <v>83</v>
      </c>
      <c r="I18" s="7" t="s">
        <v>2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4">
        <f t="shared" si="0"/>
        <v>83</v>
      </c>
      <c r="Q18" s="1" t="s">
        <v>14</v>
      </c>
      <c r="R18" s="44">
        <v>20</v>
      </c>
      <c r="S18" s="47">
        <v>50</v>
      </c>
    </row>
    <row r="19" spans="1:19" x14ac:dyDescent="0.25">
      <c r="A19" s="2">
        <v>16</v>
      </c>
      <c r="D19" s="9" t="s">
        <v>29</v>
      </c>
      <c r="E19" s="10"/>
      <c r="F19" s="10"/>
      <c r="G19" s="11"/>
      <c r="H19" s="12">
        <v>83</v>
      </c>
      <c r="I19" s="7" t="s">
        <v>2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4">
        <f t="shared" si="0"/>
        <v>83</v>
      </c>
      <c r="Q19" s="1" t="s">
        <v>14</v>
      </c>
      <c r="R19" s="44">
        <v>20</v>
      </c>
      <c r="S19" s="47">
        <v>50</v>
      </c>
    </row>
    <row r="20" spans="1:19" x14ac:dyDescent="0.25">
      <c r="A20" s="2">
        <v>17</v>
      </c>
      <c r="D20" s="16" t="s">
        <v>30</v>
      </c>
      <c r="E20" s="17"/>
      <c r="F20" s="17"/>
      <c r="G20" s="18"/>
      <c r="H20" s="12">
        <v>115</v>
      </c>
      <c r="I20" s="7" t="s">
        <v>2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4">
        <f t="shared" si="0"/>
        <v>115</v>
      </c>
      <c r="Q20" s="1" t="s">
        <v>14</v>
      </c>
      <c r="R20" s="44">
        <v>20</v>
      </c>
      <c r="S20" s="47">
        <v>50</v>
      </c>
    </row>
    <row r="21" spans="1:19" x14ac:dyDescent="0.25">
      <c r="A21" s="2">
        <v>18</v>
      </c>
      <c r="D21" s="9" t="s">
        <v>129</v>
      </c>
      <c r="E21" s="10"/>
      <c r="F21" s="10"/>
      <c r="G21" s="11"/>
      <c r="H21" s="12">
        <v>0</v>
      </c>
      <c r="I21" s="7" t="s">
        <v>2</v>
      </c>
      <c r="J21" s="3">
        <v>20</v>
      </c>
      <c r="K21" s="3">
        <v>0</v>
      </c>
      <c r="L21" s="3">
        <v>0</v>
      </c>
      <c r="M21" s="3">
        <v>0</v>
      </c>
      <c r="N21" s="3">
        <v>6</v>
      </c>
      <c r="O21" s="3">
        <v>0</v>
      </c>
      <c r="P21" s="4">
        <f t="shared" si="0"/>
        <v>14</v>
      </c>
      <c r="Q21" s="1" t="s">
        <v>14</v>
      </c>
      <c r="R21" s="44">
        <v>0</v>
      </c>
      <c r="S21" s="46"/>
    </row>
    <row r="22" spans="1:19" x14ac:dyDescent="0.25">
      <c r="A22" s="2">
        <v>19</v>
      </c>
      <c r="D22" s="55" t="s">
        <v>8</v>
      </c>
      <c r="E22" s="56"/>
      <c r="F22" s="56"/>
      <c r="G22" s="57"/>
      <c r="H22" s="12">
        <v>305</v>
      </c>
      <c r="I22" s="59" t="s">
        <v>1</v>
      </c>
      <c r="J22" s="3">
        <v>0</v>
      </c>
      <c r="K22" s="3">
        <v>0</v>
      </c>
      <c r="L22" s="3">
        <v>35</v>
      </c>
      <c r="M22" s="3">
        <v>30</v>
      </c>
      <c r="N22" s="3">
        <v>10</v>
      </c>
      <c r="O22" s="3">
        <v>10</v>
      </c>
      <c r="P22" s="46">
        <f t="shared" si="0"/>
        <v>220</v>
      </c>
      <c r="Q22" s="1" t="s">
        <v>14</v>
      </c>
      <c r="R22" s="44">
        <v>50</v>
      </c>
      <c r="S22" s="47">
        <v>200</v>
      </c>
    </row>
    <row r="23" spans="1:19" x14ac:dyDescent="0.25">
      <c r="A23" s="2">
        <v>20</v>
      </c>
      <c r="D23" s="9" t="s">
        <v>32</v>
      </c>
      <c r="E23" s="10"/>
      <c r="F23" s="10"/>
      <c r="G23" s="11"/>
      <c r="H23" s="12">
        <f>'ARALIK 3 HAFTA '!P23</f>
        <v>2000</v>
      </c>
      <c r="I23" s="7" t="s">
        <v>2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4">
        <f t="shared" si="0"/>
        <v>2000</v>
      </c>
      <c r="Q23" s="1" t="s">
        <v>14</v>
      </c>
      <c r="R23" s="44">
        <v>0</v>
      </c>
      <c r="S23" s="46"/>
    </row>
    <row r="24" spans="1:19" x14ac:dyDescent="0.25">
      <c r="A24" s="2">
        <v>21</v>
      </c>
      <c r="D24" s="16" t="s">
        <v>33</v>
      </c>
      <c r="E24" s="17"/>
      <c r="F24" s="17"/>
      <c r="G24" s="18"/>
      <c r="H24" s="12">
        <v>190</v>
      </c>
      <c r="I24" s="7" t="s">
        <v>2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4">
        <f t="shared" si="0"/>
        <v>190</v>
      </c>
      <c r="Q24" s="1" t="s">
        <v>14</v>
      </c>
      <c r="R24" s="44">
        <v>0</v>
      </c>
      <c r="S24" s="46"/>
    </row>
    <row r="25" spans="1:19" x14ac:dyDescent="0.25">
      <c r="A25" s="2">
        <v>22</v>
      </c>
      <c r="D25" s="9" t="s">
        <v>34</v>
      </c>
      <c r="E25" s="10"/>
      <c r="F25" s="10"/>
      <c r="G25" s="11"/>
      <c r="H25" s="12">
        <v>50</v>
      </c>
      <c r="I25" s="7" t="s">
        <v>2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4">
        <f t="shared" si="0"/>
        <v>50</v>
      </c>
      <c r="Q25" s="1" t="s">
        <v>14</v>
      </c>
      <c r="R25" s="44">
        <v>0</v>
      </c>
      <c r="S25" s="46"/>
    </row>
    <row r="26" spans="1:19" x14ac:dyDescent="0.25">
      <c r="A26" s="2">
        <v>23</v>
      </c>
      <c r="D26" s="16" t="s">
        <v>82</v>
      </c>
      <c r="E26" s="17"/>
      <c r="F26" s="17"/>
      <c r="G26" s="18"/>
      <c r="H26" s="12">
        <v>70</v>
      </c>
      <c r="I26" s="7" t="s">
        <v>2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4">
        <f t="shared" si="0"/>
        <v>70</v>
      </c>
      <c r="Q26" s="1" t="s">
        <v>14</v>
      </c>
      <c r="R26" s="44">
        <v>20</v>
      </c>
      <c r="S26" s="47">
        <v>50</v>
      </c>
    </row>
    <row r="27" spans="1:19" x14ac:dyDescent="0.25">
      <c r="A27" s="2">
        <v>24</v>
      </c>
      <c r="D27" s="9" t="s">
        <v>81</v>
      </c>
      <c r="E27" s="10"/>
      <c r="F27" s="10"/>
      <c r="G27" s="11"/>
      <c r="H27" s="12">
        <v>102</v>
      </c>
      <c r="I27" s="7" t="s">
        <v>2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  <c r="P27" s="4">
        <f t="shared" si="0"/>
        <v>102</v>
      </c>
      <c r="Q27" s="1" t="s">
        <v>14</v>
      </c>
      <c r="R27" s="44">
        <v>20</v>
      </c>
      <c r="S27" s="47">
        <v>50</v>
      </c>
    </row>
    <row r="28" spans="1:19" x14ac:dyDescent="0.25">
      <c r="A28" s="2">
        <v>25</v>
      </c>
      <c r="D28" s="16" t="s">
        <v>35</v>
      </c>
      <c r="E28" s="17"/>
      <c r="F28" s="17"/>
      <c r="G28" s="18"/>
      <c r="H28" s="12">
        <f>'ARALIK 3 HAFTA '!P28</f>
        <v>0</v>
      </c>
      <c r="I28" s="7" t="s">
        <v>2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4">
        <f t="shared" si="0"/>
        <v>0</v>
      </c>
      <c r="Q28" s="1" t="s">
        <v>14</v>
      </c>
      <c r="R28" s="44">
        <v>50</v>
      </c>
      <c r="S28" s="47">
        <v>100</v>
      </c>
    </row>
    <row r="29" spans="1:19" x14ac:dyDescent="0.25">
      <c r="A29" s="2">
        <v>26</v>
      </c>
      <c r="D29" s="9" t="s">
        <v>36</v>
      </c>
      <c r="E29" s="10"/>
      <c r="F29" s="10"/>
      <c r="G29" s="11"/>
      <c r="H29" s="12">
        <f>'ARALIK 3 HAFTA '!P29</f>
        <v>25</v>
      </c>
      <c r="I29" s="7" t="s">
        <v>2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4">
        <f t="shared" si="0"/>
        <v>25</v>
      </c>
      <c r="Q29" s="1" t="s">
        <v>14</v>
      </c>
      <c r="R29" s="44">
        <v>50</v>
      </c>
      <c r="S29" s="47">
        <v>100</v>
      </c>
    </row>
    <row r="30" spans="1:19" x14ac:dyDescent="0.25">
      <c r="A30" s="2">
        <v>27</v>
      </c>
      <c r="D30" s="16" t="s">
        <v>37</v>
      </c>
      <c r="E30" s="17"/>
      <c r="F30" s="17"/>
      <c r="G30" s="18"/>
      <c r="H30" s="12">
        <v>150</v>
      </c>
      <c r="I30" s="7" t="s">
        <v>2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4">
        <f t="shared" si="0"/>
        <v>150</v>
      </c>
      <c r="Q30" s="1" t="s">
        <v>14</v>
      </c>
      <c r="R30" s="44">
        <v>20</v>
      </c>
      <c r="S30" s="47">
        <v>50</v>
      </c>
    </row>
    <row r="31" spans="1:19" x14ac:dyDescent="0.25">
      <c r="A31" s="2">
        <v>28</v>
      </c>
      <c r="D31" s="9" t="s">
        <v>38</v>
      </c>
      <c r="E31" s="10"/>
      <c r="F31" s="10"/>
      <c r="G31" s="11"/>
      <c r="H31" s="12">
        <v>499</v>
      </c>
      <c r="I31" s="7" t="s">
        <v>2</v>
      </c>
      <c r="J31" s="3">
        <v>0</v>
      </c>
      <c r="K31" s="3">
        <v>0</v>
      </c>
      <c r="L31" s="3">
        <v>0</v>
      </c>
      <c r="M31" s="3">
        <v>0</v>
      </c>
      <c r="N31" s="3">
        <v>11</v>
      </c>
      <c r="O31" s="3">
        <v>0</v>
      </c>
      <c r="P31" s="4">
        <f t="shared" si="0"/>
        <v>488</v>
      </c>
      <c r="Q31" s="1" t="s">
        <v>14</v>
      </c>
      <c r="R31" s="44">
        <v>50</v>
      </c>
      <c r="S31" s="47">
        <v>100</v>
      </c>
    </row>
    <row r="32" spans="1:19" x14ac:dyDescent="0.25">
      <c r="A32" s="2">
        <v>29</v>
      </c>
      <c r="D32" s="16" t="s">
        <v>39</v>
      </c>
      <c r="E32" s="17"/>
      <c r="F32" s="17"/>
      <c r="G32" s="18"/>
      <c r="H32" s="12">
        <v>28</v>
      </c>
      <c r="I32" s="7" t="s">
        <v>2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4">
        <f t="shared" si="0"/>
        <v>28</v>
      </c>
      <c r="Q32" s="1" t="s">
        <v>14</v>
      </c>
      <c r="R32" s="44">
        <v>20</v>
      </c>
      <c r="S32" s="47">
        <v>50</v>
      </c>
    </row>
    <row r="33" spans="1:19" x14ac:dyDescent="0.25">
      <c r="A33" s="2">
        <v>30</v>
      </c>
      <c r="D33" s="9" t="s">
        <v>40</v>
      </c>
      <c r="E33" s="10"/>
      <c r="F33" s="10"/>
      <c r="G33" s="11"/>
      <c r="H33" s="12">
        <f>'ARALIK 3 HAFTA '!P33</f>
        <v>1075</v>
      </c>
      <c r="I33" s="7" t="s">
        <v>2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4">
        <f t="shared" si="0"/>
        <v>1075</v>
      </c>
      <c r="Q33" s="1" t="s">
        <v>14</v>
      </c>
      <c r="R33" s="44">
        <v>0</v>
      </c>
      <c r="S33" s="46"/>
    </row>
    <row r="34" spans="1:19" x14ac:dyDescent="0.25">
      <c r="A34" s="2">
        <v>31</v>
      </c>
      <c r="D34" s="16" t="s">
        <v>9</v>
      </c>
      <c r="E34" s="17"/>
      <c r="F34" s="17"/>
      <c r="G34" s="18"/>
      <c r="H34" s="12">
        <v>514</v>
      </c>
      <c r="I34" s="7" t="s">
        <v>2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4">
        <f t="shared" si="0"/>
        <v>514</v>
      </c>
      <c r="Q34" s="1" t="s">
        <v>14</v>
      </c>
      <c r="R34" s="44">
        <v>50</v>
      </c>
      <c r="S34" s="47">
        <v>100</v>
      </c>
    </row>
    <row r="35" spans="1:19" x14ac:dyDescent="0.25">
      <c r="A35" s="2">
        <v>32</v>
      </c>
      <c r="D35" s="9" t="s">
        <v>83</v>
      </c>
      <c r="E35" s="10"/>
      <c r="F35" s="10"/>
      <c r="G35" s="11"/>
      <c r="H35" s="12">
        <v>60</v>
      </c>
      <c r="I35" s="7" t="s">
        <v>2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4">
        <f t="shared" si="0"/>
        <v>60</v>
      </c>
      <c r="Q35" s="1" t="s">
        <v>14</v>
      </c>
      <c r="R35" s="44">
        <v>20</v>
      </c>
      <c r="S35" s="47">
        <v>50</v>
      </c>
    </row>
    <row r="36" spans="1:19" x14ac:dyDescent="0.25">
      <c r="A36" s="2">
        <v>33</v>
      </c>
      <c r="D36" s="16" t="s">
        <v>70</v>
      </c>
      <c r="E36" s="17"/>
      <c r="F36" s="17"/>
      <c r="G36" s="18"/>
      <c r="H36" s="12">
        <f>'ARALIK 3 HAFTA '!P36</f>
        <v>934</v>
      </c>
      <c r="I36" s="7" t="s">
        <v>2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4">
        <f t="shared" si="0"/>
        <v>934</v>
      </c>
      <c r="Q36" s="1" t="s">
        <v>14</v>
      </c>
      <c r="R36" s="44">
        <v>0</v>
      </c>
      <c r="S36" s="46"/>
    </row>
    <row r="37" spans="1:19" x14ac:dyDescent="0.25">
      <c r="A37" s="2">
        <v>34</v>
      </c>
      <c r="D37" s="9" t="s">
        <v>41</v>
      </c>
      <c r="E37" s="10"/>
      <c r="F37" s="10"/>
      <c r="G37" s="11"/>
      <c r="H37" s="12">
        <f>'ARALIK 3 HAFTA '!P37</f>
        <v>279</v>
      </c>
      <c r="I37" s="7" t="s">
        <v>2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4">
        <f t="shared" si="0"/>
        <v>279</v>
      </c>
      <c r="Q37" s="1" t="s">
        <v>14</v>
      </c>
      <c r="R37" s="44">
        <v>50</v>
      </c>
      <c r="S37" s="47">
        <v>100</v>
      </c>
    </row>
    <row r="38" spans="1:19" x14ac:dyDescent="0.25">
      <c r="A38" s="2">
        <v>35</v>
      </c>
      <c r="D38" s="16" t="s">
        <v>42</v>
      </c>
      <c r="E38" s="17"/>
      <c r="F38" s="17"/>
      <c r="G38" s="18"/>
      <c r="H38" s="12">
        <v>280</v>
      </c>
      <c r="I38" s="7" t="s">
        <v>2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4">
        <f t="shared" si="0"/>
        <v>280</v>
      </c>
      <c r="Q38" s="1" t="s">
        <v>14</v>
      </c>
      <c r="R38" s="44">
        <v>50</v>
      </c>
      <c r="S38" s="47">
        <v>100</v>
      </c>
    </row>
    <row r="39" spans="1:19" x14ac:dyDescent="0.25">
      <c r="A39" s="2">
        <v>36</v>
      </c>
      <c r="D39" s="9" t="s">
        <v>43</v>
      </c>
      <c r="E39" s="10"/>
      <c r="F39" s="10"/>
      <c r="G39" s="11"/>
      <c r="H39" s="12">
        <v>9</v>
      </c>
      <c r="I39" s="7" t="s">
        <v>2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4">
        <f t="shared" si="0"/>
        <v>9</v>
      </c>
      <c r="Q39" s="1" t="s">
        <v>14</v>
      </c>
      <c r="R39" s="44">
        <v>50</v>
      </c>
      <c r="S39" s="47">
        <v>100</v>
      </c>
    </row>
    <row r="40" spans="1:19" x14ac:dyDescent="0.25">
      <c r="A40" s="2">
        <v>37</v>
      </c>
      <c r="D40" s="16" t="s">
        <v>133</v>
      </c>
      <c r="E40" s="17"/>
      <c r="F40" s="17"/>
      <c r="G40" s="18"/>
      <c r="H40" s="12">
        <f>'ARALIK 3 HAFTA '!P40</f>
        <v>46</v>
      </c>
      <c r="I40" s="7" t="s">
        <v>2</v>
      </c>
      <c r="J40" s="3">
        <v>80</v>
      </c>
      <c r="K40" s="3">
        <v>0</v>
      </c>
      <c r="L40" s="3">
        <v>0</v>
      </c>
      <c r="M40" s="3">
        <v>0</v>
      </c>
      <c r="N40" s="3">
        <v>36</v>
      </c>
      <c r="O40" s="3">
        <v>0</v>
      </c>
      <c r="P40" s="4">
        <f t="shared" si="0"/>
        <v>90</v>
      </c>
      <c r="Q40" s="1" t="s">
        <v>14</v>
      </c>
      <c r="R40" s="44">
        <v>0</v>
      </c>
      <c r="S40" s="46"/>
    </row>
    <row r="41" spans="1:19" x14ac:dyDescent="0.25">
      <c r="A41" s="2">
        <v>38</v>
      </c>
      <c r="D41" s="9" t="s">
        <v>71</v>
      </c>
      <c r="E41" s="10"/>
      <c r="F41" s="10"/>
      <c r="G41" s="11"/>
      <c r="H41" s="12">
        <f>'ARALIK 3 HAFTA '!P41</f>
        <v>20</v>
      </c>
      <c r="I41" s="7" t="s">
        <v>2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4">
        <f t="shared" si="0"/>
        <v>20</v>
      </c>
      <c r="Q41" s="1" t="s">
        <v>14</v>
      </c>
      <c r="R41" s="44">
        <v>5</v>
      </c>
      <c r="S41" s="47">
        <v>10</v>
      </c>
    </row>
    <row r="42" spans="1:19" x14ac:dyDescent="0.25">
      <c r="A42" s="2">
        <v>39</v>
      </c>
      <c r="D42" s="16" t="s">
        <v>10</v>
      </c>
      <c r="E42" s="17"/>
      <c r="F42" s="17"/>
      <c r="G42" s="18"/>
      <c r="H42" s="12">
        <v>2980</v>
      </c>
      <c r="I42" s="7" t="s">
        <v>2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4">
        <f t="shared" si="0"/>
        <v>2980</v>
      </c>
      <c r="Q42" s="1" t="s">
        <v>14</v>
      </c>
      <c r="R42" s="44">
        <v>40</v>
      </c>
      <c r="S42" s="47">
        <v>100</v>
      </c>
    </row>
    <row r="43" spans="1:19" x14ac:dyDescent="0.25">
      <c r="A43" s="2">
        <v>40</v>
      </c>
      <c r="D43" s="9" t="s">
        <v>45</v>
      </c>
      <c r="E43" s="10"/>
      <c r="F43" s="10"/>
      <c r="G43" s="11"/>
      <c r="H43" s="12">
        <v>1515</v>
      </c>
      <c r="I43" s="7" t="s">
        <v>2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4">
        <f t="shared" si="0"/>
        <v>1515</v>
      </c>
      <c r="Q43" s="1" t="s">
        <v>14</v>
      </c>
      <c r="R43" s="44">
        <v>20</v>
      </c>
      <c r="S43" s="47">
        <v>50</v>
      </c>
    </row>
    <row r="44" spans="1:19" x14ac:dyDescent="0.25">
      <c r="A44" s="2">
        <v>41</v>
      </c>
      <c r="D44" s="16" t="s">
        <v>46</v>
      </c>
      <c r="E44" s="17"/>
      <c r="F44" s="17"/>
      <c r="G44" s="18"/>
      <c r="H44" s="12">
        <v>1515</v>
      </c>
      <c r="I44" s="7" t="s">
        <v>2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4">
        <f t="shared" si="0"/>
        <v>1515</v>
      </c>
      <c r="Q44" s="1" t="s">
        <v>14</v>
      </c>
      <c r="R44" s="44">
        <v>20</v>
      </c>
      <c r="S44" s="47">
        <v>50</v>
      </c>
    </row>
    <row r="45" spans="1:19" x14ac:dyDescent="0.25">
      <c r="A45" s="2">
        <v>42</v>
      </c>
      <c r="D45" s="9" t="s">
        <v>47</v>
      </c>
      <c r="E45" s="10"/>
      <c r="F45" s="10"/>
      <c r="G45" s="11"/>
      <c r="H45" s="12">
        <v>1530</v>
      </c>
      <c r="I45" s="7" t="s">
        <v>2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4">
        <f t="shared" si="0"/>
        <v>1530</v>
      </c>
      <c r="Q45" s="1" t="s">
        <v>14</v>
      </c>
      <c r="R45" s="44">
        <v>20</v>
      </c>
      <c r="S45" s="47">
        <v>50</v>
      </c>
    </row>
    <row r="46" spans="1:19" x14ac:dyDescent="0.25">
      <c r="A46" s="2">
        <v>43</v>
      </c>
      <c r="D46" s="16" t="s">
        <v>79</v>
      </c>
      <c r="E46" s="17"/>
      <c r="F46" s="17"/>
      <c r="G46" s="18"/>
      <c r="H46" s="12">
        <v>15</v>
      </c>
      <c r="I46" s="7" t="s">
        <v>2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4">
        <f t="shared" si="0"/>
        <v>15</v>
      </c>
      <c r="Q46" s="1" t="s">
        <v>14</v>
      </c>
      <c r="R46" s="44">
        <v>10</v>
      </c>
      <c r="S46" s="47">
        <v>20</v>
      </c>
    </row>
    <row r="47" spans="1:19" x14ac:dyDescent="0.25">
      <c r="A47" s="2">
        <v>44</v>
      </c>
      <c r="D47" s="9" t="s">
        <v>48</v>
      </c>
      <c r="E47" s="10"/>
      <c r="F47" s="10"/>
      <c r="G47" s="11"/>
      <c r="H47" s="12">
        <v>6</v>
      </c>
      <c r="I47" s="7" t="s">
        <v>2</v>
      </c>
      <c r="J47" s="3">
        <v>50</v>
      </c>
      <c r="K47" s="3">
        <v>0</v>
      </c>
      <c r="L47" s="3">
        <v>0</v>
      </c>
      <c r="M47" s="3">
        <v>0</v>
      </c>
      <c r="N47" s="3">
        <v>30</v>
      </c>
      <c r="O47" s="3">
        <v>0</v>
      </c>
      <c r="P47" s="4">
        <f t="shared" si="0"/>
        <v>26</v>
      </c>
      <c r="Q47" s="1" t="s">
        <v>14</v>
      </c>
      <c r="R47" s="44">
        <v>10</v>
      </c>
      <c r="S47" s="47">
        <v>20</v>
      </c>
    </row>
    <row r="48" spans="1:19" x14ac:dyDescent="0.25">
      <c r="A48" s="2">
        <v>45</v>
      </c>
      <c r="D48" s="16" t="s">
        <v>49</v>
      </c>
      <c r="E48" s="17"/>
      <c r="F48" s="17"/>
      <c r="G48" s="18"/>
      <c r="H48" s="12">
        <v>19</v>
      </c>
      <c r="I48" s="7" t="s">
        <v>2</v>
      </c>
      <c r="J48" s="3">
        <v>0</v>
      </c>
      <c r="K48" s="3">
        <v>0</v>
      </c>
      <c r="L48" s="3">
        <v>0</v>
      </c>
      <c r="M48" s="3">
        <v>0</v>
      </c>
      <c r="N48" s="3">
        <v>19</v>
      </c>
      <c r="O48" s="3">
        <v>0</v>
      </c>
      <c r="P48" s="4">
        <f t="shared" si="0"/>
        <v>0</v>
      </c>
      <c r="Q48" s="1" t="s">
        <v>14</v>
      </c>
      <c r="R48" s="44">
        <v>10</v>
      </c>
      <c r="S48" s="47">
        <v>20</v>
      </c>
    </row>
    <row r="49" spans="1:20" x14ac:dyDescent="0.25">
      <c r="A49" s="2">
        <v>46</v>
      </c>
      <c r="D49" s="9" t="s">
        <v>11</v>
      </c>
      <c r="E49" s="10"/>
      <c r="F49" s="10"/>
      <c r="G49" s="11"/>
      <c r="H49" s="12">
        <v>257.5</v>
      </c>
      <c r="I49" s="7" t="s">
        <v>1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4">
        <f t="shared" si="0"/>
        <v>257.5</v>
      </c>
      <c r="Q49" s="1" t="s">
        <v>14</v>
      </c>
      <c r="R49" s="44">
        <v>20</v>
      </c>
      <c r="S49" s="47">
        <v>100</v>
      </c>
      <c r="T49" t="s">
        <v>75</v>
      </c>
    </row>
    <row r="50" spans="1:20" x14ac:dyDescent="0.25">
      <c r="A50" s="2">
        <v>47</v>
      </c>
      <c r="D50" s="16" t="s">
        <v>111</v>
      </c>
      <c r="E50" s="17"/>
      <c r="F50" s="17"/>
      <c r="G50" s="18"/>
      <c r="H50" s="12">
        <v>126</v>
      </c>
      <c r="I50" s="7" t="s">
        <v>2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4</v>
      </c>
      <c r="P50" s="4">
        <f t="shared" si="0"/>
        <v>122</v>
      </c>
      <c r="Q50" s="1" t="s">
        <v>14</v>
      </c>
      <c r="R50" s="44">
        <v>30</v>
      </c>
      <c r="S50" s="47">
        <v>100</v>
      </c>
    </row>
    <row r="51" spans="1:20" x14ac:dyDescent="0.25">
      <c r="A51" s="2">
        <v>48</v>
      </c>
      <c r="D51" s="9" t="s">
        <v>51</v>
      </c>
      <c r="E51" s="10"/>
      <c r="F51" s="10"/>
      <c r="G51" s="11"/>
      <c r="H51" s="12">
        <v>98</v>
      </c>
      <c r="I51" s="7" t="s">
        <v>2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4">
        <f t="shared" si="0"/>
        <v>98</v>
      </c>
      <c r="Q51" s="1" t="s">
        <v>14</v>
      </c>
      <c r="R51" s="44">
        <v>20</v>
      </c>
      <c r="S51" s="47">
        <v>50</v>
      </c>
    </row>
    <row r="52" spans="1:20" x14ac:dyDescent="0.25">
      <c r="A52" s="2">
        <v>49</v>
      </c>
      <c r="D52" s="16" t="s">
        <v>52</v>
      </c>
      <c r="E52" s="17"/>
      <c r="F52" s="17"/>
      <c r="G52" s="18"/>
      <c r="H52" s="12">
        <v>140</v>
      </c>
      <c r="I52" s="7" t="s">
        <v>2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4">
        <f t="shared" si="0"/>
        <v>140</v>
      </c>
      <c r="Q52" s="1" t="s">
        <v>14</v>
      </c>
      <c r="R52" s="44">
        <v>20</v>
      </c>
      <c r="S52" s="47">
        <v>50</v>
      </c>
    </row>
    <row r="53" spans="1:20" x14ac:dyDescent="0.25">
      <c r="A53" s="2">
        <v>50</v>
      </c>
      <c r="D53" s="9" t="s">
        <v>53</v>
      </c>
      <c r="E53" s="10"/>
      <c r="F53" s="10"/>
      <c r="G53" s="11"/>
      <c r="H53" s="12">
        <v>90</v>
      </c>
      <c r="I53" s="7" t="s">
        <v>2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4">
        <f t="shared" si="0"/>
        <v>90</v>
      </c>
      <c r="Q53" s="1" t="s">
        <v>14</v>
      </c>
      <c r="R53" s="44">
        <v>20</v>
      </c>
      <c r="S53" s="47">
        <v>50</v>
      </c>
    </row>
    <row r="54" spans="1:20" x14ac:dyDescent="0.25">
      <c r="A54" s="2">
        <v>51</v>
      </c>
      <c r="D54" s="52" t="s">
        <v>54</v>
      </c>
      <c r="E54" s="53"/>
      <c r="F54" s="53"/>
      <c r="G54" s="54"/>
      <c r="H54" s="12">
        <v>1035</v>
      </c>
      <c r="I54" s="7" t="s">
        <v>1</v>
      </c>
      <c r="J54" s="3">
        <v>75</v>
      </c>
      <c r="K54" s="3">
        <v>15</v>
      </c>
      <c r="L54" s="3">
        <v>45</v>
      </c>
      <c r="M54" s="3">
        <v>45</v>
      </c>
      <c r="N54" s="3">
        <v>30</v>
      </c>
      <c r="O54" s="3">
        <v>15</v>
      </c>
      <c r="P54" s="4">
        <f t="shared" si="0"/>
        <v>960</v>
      </c>
      <c r="Q54" s="1" t="s">
        <v>120</v>
      </c>
      <c r="R54" s="44">
        <v>250</v>
      </c>
      <c r="S54" s="47">
        <v>750</v>
      </c>
      <c r="T54" t="s">
        <v>75</v>
      </c>
    </row>
    <row r="55" spans="1:20" x14ac:dyDescent="0.25">
      <c r="A55" s="2">
        <v>52</v>
      </c>
      <c r="D55" s="9" t="s">
        <v>55</v>
      </c>
      <c r="E55" s="10"/>
      <c r="F55" s="10"/>
      <c r="G55" s="11"/>
      <c r="H55" s="12">
        <f>'ARALIK 3 HAFTA '!P55</f>
        <v>3500</v>
      </c>
      <c r="I55" s="7" t="s">
        <v>2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  <c r="P55" s="4">
        <f t="shared" si="0"/>
        <v>3500</v>
      </c>
      <c r="Q55" s="1" t="s">
        <v>14</v>
      </c>
      <c r="R55" s="44">
        <v>0</v>
      </c>
      <c r="S55" s="46"/>
    </row>
    <row r="56" spans="1:20" x14ac:dyDescent="0.25">
      <c r="A56" s="2">
        <v>53</v>
      </c>
      <c r="D56" s="16" t="s">
        <v>56</v>
      </c>
      <c r="E56" s="17"/>
      <c r="F56" s="17"/>
      <c r="G56" s="18"/>
      <c r="H56" s="12">
        <f>'ARALIK 3 HAFTA '!P56</f>
        <v>1500</v>
      </c>
      <c r="I56" s="7" t="s">
        <v>2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  <c r="P56" s="4">
        <f t="shared" si="0"/>
        <v>1500</v>
      </c>
      <c r="Q56" s="1" t="s">
        <v>14</v>
      </c>
      <c r="R56" s="44">
        <v>0</v>
      </c>
      <c r="S56" s="46"/>
    </row>
    <row r="57" spans="1:20" x14ac:dyDescent="0.25">
      <c r="A57" s="2">
        <v>54</v>
      </c>
      <c r="D57" s="9" t="s">
        <v>12</v>
      </c>
      <c r="E57" s="10"/>
      <c r="F57" s="10"/>
      <c r="G57" s="11"/>
      <c r="H57" s="12">
        <f>'ARALIK 3 HAFTA '!P57</f>
        <v>2800</v>
      </c>
      <c r="I57" s="7" t="s">
        <v>2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  <c r="P57" s="4">
        <f t="shared" si="0"/>
        <v>2800</v>
      </c>
      <c r="Q57" s="1" t="s">
        <v>14</v>
      </c>
      <c r="R57" s="44">
        <v>0</v>
      </c>
      <c r="S57" s="46"/>
    </row>
    <row r="58" spans="1:20" x14ac:dyDescent="0.25">
      <c r="A58" s="2">
        <v>55</v>
      </c>
      <c r="D58" s="16" t="s">
        <v>57</v>
      </c>
      <c r="E58" s="17"/>
      <c r="F58" s="17"/>
      <c r="G58" s="18"/>
      <c r="H58" s="12">
        <f>'ARALIK 3 HAFTA '!P58</f>
        <v>3000</v>
      </c>
      <c r="I58" s="7" t="s">
        <v>2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4">
        <f t="shared" si="0"/>
        <v>3000</v>
      </c>
      <c r="Q58" s="1" t="s">
        <v>14</v>
      </c>
      <c r="R58" s="44">
        <v>0</v>
      </c>
      <c r="S58" s="46"/>
    </row>
    <row r="59" spans="1:20" x14ac:dyDescent="0.25">
      <c r="A59" s="2">
        <v>56</v>
      </c>
      <c r="D59" s="9" t="s">
        <v>58</v>
      </c>
      <c r="E59" s="10"/>
      <c r="F59" s="10"/>
      <c r="G59" s="11"/>
      <c r="H59" s="12">
        <f>'ARALIK 3 HAFTA '!P59</f>
        <v>4000</v>
      </c>
      <c r="I59" s="7" t="s">
        <v>2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  <c r="P59" s="4">
        <f t="shared" si="0"/>
        <v>4000</v>
      </c>
      <c r="Q59" s="1" t="s">
        <v>14</v>
      </c>
      <c r="R59" s="44">
        <v>0</v>
      </c>
      <c r="S59" s="46"/>
    </row>
    <row r="60" spans="1:20" x14ac:dyDescent="0.25">
      <c r="A60" s="2">
        <v>57</v>
      </c>
      <c r="D60" s="16" t="s">
        <v>59</v>
      </c>
      <c r="E60" s="17"/>
      <c r="F60" s="17"/>
      <c r="G60" s="18"/>
      <c r="H60" s="12">
        <f>'ARALIK 3 HAFTA '!P60</f>
        <v>3000</v>
      </c>
      <c r="I60" s="7" t="s">
        <v>2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4">
        <f t="shared" si="0"/>
        <v>3000</v>
      </c>
      <c r="Q60" s="1" t="s">
        <v>14</v>
      </c>
      <c r="R60" s="44">
        <v>0</v>
      </c>
      <c r="S60" s="46"/>
    </row>
    <row r="61" spans="1:20" x14ac:dyDescent="0.25">
      <c r="A61" s="2">
        <v>58</v>
      </c>
      <c r="D61" s="9" t="s">
        <v>60</v>
      </c>
      <c r="E61" s="10"/>
      <c r="F61" s="10"/>
      <c r="G61" s="11"/>
      <c r="H61" s="12">
        <f>'ARALIK 3 HAFTA '!P61</f>
        <v>4700</v>
      </c>
      <c r="I61" s="7" t="s">
        <v>2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4">
        <f t="shared" si="0"/>
        <v>4700</v>
      </c>
      <c r="Q61" s="1" t="s">
        <v>14</v>
      </c>
      <c r="R61" s="44">
        <v>0</v>
      </c>
      <c r="S61" s="46"/>
    </row>
    <row r="62" spans="1:20" x14ac:dyDescent="0.25">
      <c r="A62" s="2">
        <v>59</v>
      </c>
      <c r="D62" s="16" t="s">
        <v>61</v>
      </c>
      <c r="E62" s="17"/>
      <c r="F62" s="17"/>
      <c r="G62" s="18"/>
      <c r="H62" s="12">
        <v>321</v>
      </c>
      <c r="I62" s="7" t="s">
        <v>2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4">
        <f t="shared" si="0"/>
        <v>321</v>
      </c>
      <c r="Q62" s="1" t="s">
        <v>14</v>
      </c>
      <c r="R62" s="44">
        <v>0</v>
      </c>
      <c r="S62" s="46"/>
    </row>
    <row r="63" spans="1:20" x14ac:dyDescent="0.25">
      <c r="A63" s="2">
        <v>60</v>
      </c>
      <c r="D63" s="9" t="s">
        <v>62</v>
      </c>
      <c r="E63" s="10"/>
      <c r="F63" s="10"/>
      <c r="G63" s="11"/>
      <c r="H63" s="12">
        <v>400</v>
      </c>
      <c r="I63" s="7" t="s">
        <v>2</v>
      </c>
      <c r="J63" s="3">
        <v>0</v>
      </c>
      <c r="K63" s="3">
        <v>0</v>
      </c>
      <c r="L63" s="3">
        <v>0</v>
      </c>
      <c r="M63" s="3">
        <v>200</v>
      </c>
      <c r="N63" s="3">
        <v>0</v>
      </c>
      <c r="O63" s="3">
        <v>0</v>
      </c>
      <c r="P63" s="4">
        <f t="shared" si="0"/>
        <v>200</v>
      </c>
      <c r="Q63" s="1" t="s">
        <v>14</v>
      </c>
      <c r="R63" s="44">
        <v>200</v>
      </c>
      <c r="S63" s="47">
        <v>1000</v>
      </c>
    </row>
    <row r="64" spans="1:20" x14ac:dyDescent="0.25">
      <c r="A64" s="2">
        <v>61</v>
      </c>
      <c r="D64" s="16" t="s">
        <v>13</v>
      </c>
      <c r="E64" s="17"/>
      <c r="F64" s="17"/>
      <c r="G64" s="18"/>
      <c r="H64" s="12">
        <f>'ARALIK 3 HAFTA '!P64</f>
        <v>447</v>
      </c>
      <c r="I64" s="7" t="s">
        <v>2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150</v>
      </c>
      <c r="P64" s="4">
        <f t="shared" si="0"/>
        <v>297</v>
      </c>
      <c r="Q64" s="1" t="s">
        <v>14</v>
      </c>
      <c r="R64" s="44">
        <v>100</v>
      </c>
      <c r="S64" s="47">
        <v>300</v>
      </c>
    </row>
    <row r="65" spans="1:20" x14ac:dyDescent="0.25">
      <c r="A65" s="2">
        <v>62</v>
      </c>
      <c r="D65" s="9" t="s">
        <v>72</v>
      </c>
      <c r="E65" s="10"/>
      <c r="F65" s="10"/>
      <c r="G65" s="11"/>
      <c r="H65" s="12">
        <f>'ARALIK 3 HAFTA '!P65</f>
        <v>315</v>
      </c>
      <c r="I65" s="7" t="s">
        <v>2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4">
        <f t="shared" si="0"/>
        <v>315</v>
      </c>
      <c r="Q65" s="1" t="s">
        <v>14</v>
      </c>
      <c r="R65" s="44">
        <v>100</v>
      </c>
      <c r="S65" s="47">
        <v>300</v>
      </c>
    </row>
    <row r="66" spans="1:20" x14ac:dyDescent="0.25">
      <c r="A66" s="2">
        <v>63</v>
      </c>
      <c r="D66" s="16" t="s">
        <v>63</v>
      </c>
      <c r="E66" s="17"/>
      <c r="F66" s="17"/>
      <c r="G66" s="18"/>
      <c r="H66" s="12">
        <f>'ARALIK 3 HAFTA '!P66</f>
        <v>350</v>
      </c>
      <c r="I66" s="7" t="s">
        <v>2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  <c r="P66" s="4">
        <f t="shared" si="0"/>
        <v>350</v>
      </c>
      <c r="Q66" s="1" t="s">
        <v>14</v>
      </c>
      <c r="R66" s="44">
        <v>100</v>
      </c>
      <c r="S66" s="47">
        <v>300</v>
      </c>
    </row>
    <row r="67" spans="1:20" x14ac:dyDescent="0.25">
      <c r="A67" s="2">
        <v>64</v>
      </c>
      <c r="D67" s="9" t="s">
        <v>77</v>
      </c>
      <c r="E67" s="10"/>
      <c r="F67" s="10"/>
      <c r="G67" s="11"/>
      <c r="H67" s="12">
        <f>'ARALIK 3 HAFTA '!P67</f>
        <v>1912</v>
      </c>
      <c r="I67" s="7" t="s">
        <v>2</v>
      </c>
      <c r="J67" s="3">
        <v>0</v>
      </c>
      <c r="K67" s="3">
        <v>0</v>
      </c>
      <c r="L67" s="3">
        <v>0</v>
      </c>
      <c r="M67" s="3">
        <v>80</v>
      </c>
      <c r="N67" s="3">
        <v>0</v>
      </c>
      <c r="O67" s="3">
        <v>0</v>
      </c>
      <c r="P67" s="4">
        <f t="shared" si="0"/>
        <v>1832</v>
      </c>
      <c r="Q67" s="1" t="s">
        <v>14</v>
      </c>
      <c r="R67" s="44">
        <v>100</v>
      </c>
      <c r="S67" s="47">
        <v>300</v>
      </c>
    </row>
    <row r="68" spans="1:20" x14ac:dyDescent="0.25">
      <c r="A68" s="2">
        <v>65</v>
      </c>
      <c r="D68" s="16" t="s">
        <v>130</v>
      </c>
      <c r="E68" s="17"/>
      <c r="F68" s="17"/>
      <c r="G68" s="18"/>
      <c r="H68" s="12">
        <v>420</v>
      </c>
      <c r="I68" s="7" t="s">
        <v>2</v>
      </c>
      <c r="J68" s="3">
        <v>12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4">
        <f t="shared" ref="P68:P90" si="1">+H68+J68-K68-L68-M68-N68-O68</f>
        <v>432</v>
      </c>
      <c r="Q68" s="1" t="s">
        <v>14</v>
      </c>
      <c r="R68" s="44">
        <v>0</v>
      </c>
      <c r="S68" s="46"/>
    </row>
    <row r="69" spans="1:20" x14ac:dyDescent="0.25">
      <c r="A69" s="2">
        <v>66</v>
      </c>
      <c r="D69" s="9" t="s">
        <v>64</v>
      </c>
      <c r="E69" s="10"/>
      <c r="F69" s="10"/>
      <c r="G69" s="11"/>
      <c r="H69" s="12">
        <v>280</v>
      </c>
      <c r="I69" s="7" t="s">
        <v>2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4">
        <f t="shared" si="1"/>
        <v>280</v>
      </c>
      <c r="Q69" s="1" t="s">
        <v>14</v>
      </c>
      <c r="R69" s="44">
        <v>50</v>
      </c>
      <c r="S69" s="47">
        <v>100</v>
      </c>
    </row>
    <row r="70" spans="1:20" x14ac:dyDescent="0.25">
      <c r="A70" s="2">
        <v>67</v>
      </c>
      <c r="D70" s="16" t="s">
        <v>65</v>
      </c>
      <c r="E70" s="17"/>
      <c r="F70" s="17"/>
      <c r="G70" s="18"/>
      <c r="H70" s="12">
        <f>'ARALIK 3 HAFTA '!P70</f>
        <v>60</v>
      </c>
      <c r="I70" s="7" t="s">
        <v>2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4">
        <f t="shared" si="1"/>
        <v>60</v>
      </c>
      <c r="Q70" s="1" t="s">
        <v>14</v>
      </c>
      <c r="R70" s="44">
        <v>0</v>
      </c>
      <c r="S70" s="46"/>
    </row>
    <row r="71" spans="1:20" x14ac:dyDescent="0.25">
      <c r="A71" s="2">
        <v>68</v>
      </c>
      <c r="D71" s="9" t="s">
        <v>66</v>
      </c>
      <c r="E71" s="10"/>
      <c r="F71" s="10"/>
      <c r="G71" s="11"/>
      <c r="H71" s="12">
        <f>'ARALIK 3 HAFTA '!P71</f>
        <v>494</v>
      </c>
      <c r="I71" s="7" t="s">
        <v>2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4">
        <f t="shared" si="1"/>
        <v>494</v>
      </c>
      <c r="Q71" s="1" t="s">
        <v>14</v>
      </c>
      <c r="R71" s="44">
        <v>300</v>
      </c>
      <c r="S71" s="47">
        <v>1000</v>
      </c>
    </row>
    <row r="72" spans="1:20" x14ac:dyDescent="0.25">
      <c r="A72" s="2">
        <v>69</v>
      </c>
      <c r="D72" s="19" t="s">
        <v>86</v>
      </c>
      <c r="E72" s="20"/>
      <c r="F72" s="20"/>
      <c r="G72" s="21"/>
      <c r="H72" s="12">
        <f>'ARALIK 3 HAFTA '!P72</f>
        <v>0</v>
      </c>
      <c r="I72" s="7" t="s">
        <v>2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  <c r="P72" s="4">
        <f t="shared" si="1"/>
        <v>0</v>
      </c>
      <c r="Q72" s="1" t="s">
        <v>14</v>
      </c>
      <c r="R72" s="44">
        <v>50</v>
      </c>
      <c r="S72" s="47">
        <v>150</v>
      </c>
    </row>
    <row r="73" spans="1:20" x14ac:dyDescent="0.25">
      <c r="A73" s="2">
        <v>70</v>
      </c>
      <c r="D73" s="22" t="s">
        <v>74</v>
      </c>
      <c r="E73" s="10"/>
      <c r="F73" s="10"/>
      <c r="G73" s="11"/>
      <c r="H73" s="12">
        <f>'ARALIK 3 HAFTA '!P73</f>
        <v>191.5</v>
      </c>
      <c r="I73" s="8" t="s">
        <v>75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4">
        <f t="shared" si="1"/>
        <v>191.5</v>
      </c>
      <c r="Q73" s="1" t="s">
        <v>91</v>
      </c>
      <c r="R73" s="44">
        <v>65</v>
      </c>
      <c r="S73" s="47">
        <v>150</v>
      </c>
    </row>
    <row r="74" spans="1:20" x14ac:dyDescent="0.25">
      <c r="A74" s="2">
        <v>71</v>
      </c>
      <c r="C74" s="1" t="s">
        <v>14</v>
      </c>
      <c r="D74" s="22" t="s">
        <v>76</v>
      </c>
      <c r="E74" s="10"/>
      <c r="F74" s="10"/>
      <c r="G74" s="11"/>
      <c r="H74" s="12">
        <f>'ARALIK 3 HAFTA '!P74</f>
        <v>114</v>
      </c>
      <c r="I74" s="8" t="s">
        <v>2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4">
        <f t="shared" si="1"/>
        <v>114</v>
      </c>
      <c r="Q74" s="1" t="s">
        <v>14</v>
      </c>
      <c r="R74" s="44">
        <v>50</v>
      </c>
      <c r="S74" s="47">
        <v>100</v>
      </c>
    </row>
    <row r="75" spans="1:20" x14ac:dyDescent="0.25">
      <c r="A75" s="2">
        <v>72</v>
      </c>
      <c r="D75" s="25" t="s">
        <v>114</v>
      </c>
      <c r="H75" s="12">
        <v>171</v>
      </c>
      <c r="I75" s="30" t="s">
        <v>2</v>
      </c>
      <c r="J75" s="3">
        <v>0</v>
      </c>
      <c r="K75" s="3">
        <v>0</v>
      </c>
      <c r="L75" s="3">
        <v>0</v>
      </c>
      <c r="M75" s="3">
        <v>0</v>
      </c>
      <c r="N75" s="3">
        <v>10</v>
      </c>
      <c r="O75" s="3">
        <v>0</v>
      </c>
      <c r="P75" s="4">
        <f t="shared" si="1"/>
        <v>161</v>
      </c>
      <c r="Q75" s="1" t="s">
        <v>14</v>
      </c>
      <c r="R75" s="44">
        <v>50</v>
      </c>
      <c r="S75" s="47">
        <v>100</v>
      </c>
    </row>
    <row r="76" spans="1:20" x14ac:dyDescent="0.25">
      <c r="A76" s="2">
        <v>73</v>
      </c>
      <c r="D76" s="26" t="s">
        <v>80</v>
      </c>
      <c r="E76" s="27"/>
      <c r="F76" s="27"/>
      <c r="G76" s="28"/>
      <c r="H76" s="12">
        <v>3</v>
      </c>
      <c r="I76" s="8" t="s">
        <v>2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3</v>
      </c>
      <c r="P76" s="4">
        <f t="shared" si="1"/>
        <v>0</v>
      </c>
      <c r="Q76" s="1" t="s">
        <v>14</v>
      </c>
      <c r="R76" s="44">
        <v>0</v>
      </c>
      <c r="S76" s="46"/>
    </row>
    <row r="77" spans="1:20" x14ac:dyDescent="0.25">
      <c r="A77" s="2">
        <v>74</v>
      </c>
      <c r="D77" s="26" t="s">
        <v>84</v>
      </c>
      <c r="E77" s="27"/>
      <c r="F77" s="27"/>
      <c r="G77" s="28"/>
      <c r="H77" s="12">
        <f>'ARALIK 3 HAFTA '!P77</f>
        <v>50</v>
      </c>
      <c r="I77" s="8" t="s">
        <v>2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4">
        <f t="shared" si="1"/>
        <v>50</v>
      </c>
      <c r="Q77" s="1" t="s">
        <v>14</v>
      </c>
      <c r="R77" s="44">
        <v>100</v>
      </c>
      <c r="S77" s="47">
        <v>200</v>
      </c>
    </row>
    <row r="78" spans="1:20" x14ac:dyDescent="0.25">
      <c r="A78" s="2">
        <v>75</v>
      </c>
      <c r="D78" s="26" t="s">
        <v>85</v>
      </c>
      <c r="E78" s="27"/>
      <c r="F78" s="27"/>
      <c r="G78" s="28"/>
      <c r="H78" s="12">
        <f>'ARALIK 3 HAFTA '!P78</f>
        <v>0</v>
      </c>
      <c r="I78" s="8" t="s">
        <v>2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  <c r="P78" s="4">
        <f t="shared" si="1"/>
        <v>0</v>
      </c>
      <c r="R78" s="44">
        <v>0</v>
      </c>
      <c r="S78" s="46"/>
    </row>
    <row r="79" spans="1:20" x14ac:dyDescent="0.25">
      <c r="A79" s="2">
        <v>76</v>
      </c>
      <c r="D79" s="37" t="s">
        <v>99</v>
      </c>
      <c r="E79" s="17"/>
      <c r="F79" s="33"/>
      <c r="G79" s="33"/>
      <c r="H79" s="12">
        <v>768.2</v>
      </c>
      <c r="I79" s="8" t="s">
        <v>2</v>
      </c>
      <c r="J79" s="3">
        <v>0</v>
      </c>
      <c r="K79" s="3">
        <v>25</v>
      </c>
      <c r="L79" s="3">
        <v>0</v>
      </c>
      <c r="M79" s="3">
        <v>25</v>
      </c>
      <c r="N79" s="3">
        <v>0</v>
      </c>
      <c r="O79" s="3">
        <v>0</v>
      </c>
      <c r="P79" s="4">
        <f t="shared" si="1"/>
        <v>718.2</v>
      </c>
      <c r="Q79" s="1" t="s">
        <v>14</v>
      </c>
      <c r="R79" s="44">
        <v>100</v>
      </c>
      <c r="S79" s="47">
        <v>500</v>
      </c>
      <c r="T79" t="s">
        <v>75</v>
      </c>
    </row>
    <row r="80" spans="1:20" x14ac:dyDescent="0.25">
      <c r="A80" s="2">
        <v>77</v>
      </c>
      <c r="D80" s="22" t="s">
        <v>100</v>
      </c>
      <c r="E80" s="10"/>
      <c r="F80" s="10"/>
      <c r="G80" s="28"/>
      <c r="H80" s="12">
        <f>'ARALIK 3 HAFTA '!P80</f>
        <v>40</v>
      </c>
      <c r="I80" s="8" t="s">
        <v>2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  <c r="P80" s="4">
        <f t="shared" si="1"/>
        <v>40</v>
      </c>
      <c r="R80" s="44">
        <v>0</v>
      </c>
      <c r="S80" s="46"/>
    </row>
    <row r="81" spans="1:19" x14ac:dyDescent="0.25">
      <c r="A81" s="2">
        <v>78</v>
      </c>
      <c r="D81" s="37" t="s">
        <v>113</v>
      </c>
      <c r="E81" s="17"/>
      <c r="F81" s="17"/>
      <c r="G81" s="33"/>
      <c r="H81" s="12">
        <v>388.3</v>
      </c>
      <c r="I81" s="8" t="s">
        <v>97</v>
      </c>
      <c r="J81" s="3">
        <v>0</v>
      </c>
      <c r="K81" s="3">
        <v>28</v>
      </c>
      <c r="L81" s="3">
        <v>27.3</v>
      </c>
      <c r="M81" s="3">
        <v>13</v>
      </c>
      <c r="N81" s="3">
        <v>28</v>
      </c>
      <c r="O81" s="3">
        <v>13</v>
      </c>
      <c r="P81" s="4">
        <f t="shared" si="1"/>
        <v>279</v>
      </c>
      <c r="Q81" s="65" t="s">
        <v>121</v>
      </c>
      <c r="R81" s="44">
        <v>30</v>
      </c>
      <c r="S81" s="47">
        <v>100</v>
      </c>
    </row>
    <row r="82" spans="1:19" x14ac:dyDescent="0.25">
      <c r="A82" s="2">
        <v>79</v>
      </c>
      <c r="D82" s="22" t="s">
        <v>103</v>
      </c>
      <c r="E82" s="10"/>
      <c r="F82" s="10"/>
      <c r="G82" s="28"/>
      <c r="H82" s="12">
        <v>210</v>
      </c>
      <c r="I82" s="8" t="s">
        <v>2</v>
      </c>
      <c r="J82" s="3">
        <v>0</v>
      </c>
      <c r="K82" s="3">
        <v>0</v>
      </c>
      <c r="L82" s="3">
        <v>140</v>
      </c>
      <c r="M82" s="3">
        <v>0</v>
      </c>
      <c r="N82" s="3">
        <v>0</v>
      </c>
      <c r="O82" s="3">
        <v>0</v>
      </c>
      <c r="P82" s="4">
        <f t="shared" si="1"/>
        <v>70</v>
      </c>
      <c r="R82" s="44">
        <v>60</v>
      </c>
      <c r="S82" s="47">
        <v>100</v>
      </c>
    </row>
    <row r="83" spans="1:19" x14ac:dyDescent="0.25">
      <c r="A83" s="8">
        <v>80</v>
      </c>
      <c r="D83" s="49" t="s">
        <v>108</v>
      </c>
      <c r="E83" s="20"/>
      <c r="F83" s="20"/>
      <c r="G83" s="20"/>
      <c r="H83" s="12">
        <v>5000</v>
      </c>
      <c r="I83" s="8" t="s">
        <v>110</v>
      </c>
      <c r="J83" s="3">
        <v>1000</v>
      </c>
      <c r="K83" s="3">
        <v>4000</v>
      </c>
      <c r="L83" s="3">
        <v>0</v>
      </c>
      <c r="M83" s="3">
        <v>500</v>
      </c>
      <c r="N83" s="3">
        <v>500</v>
      </c>
      <c r="O83" s="3">
        <v>0</v>
      </c>
      <c r="P83" s="4">
        <f t="shared" si="1"/>
        <v>1000</v>
      </c>
      <c r="R83" s="43">
        <v>1000</v>
      </c>
      <c r="S83" s="46">
        <v>10000</v>
      </c>
    </row>
    <row r="84" spans="1:19" x14ac:dyDescent="0.25">
      <c r="A84" s="48">
        <v>81</v>
      </c>
      <c r="B84" s="41"/>
      <c r="C84" s="41"/>
      <c r="D84" s="22" t="s">
        <v>115</v>
      </c>
      <c r="E84" s="10"/>
      <c r="F84" s="10"/>
      <c r="G84" s="11"/>
      <c r="H84" s="12">
        <v>180</v>
      </c>
      <c r="I84" s="62" t="s">
        <v>2</v>
      </c>
      <c r="J84" s="3">
        <v>0</v>
      </c>
      <c r="K84" s="3">
        <v>0</v>
      </c>
      <c r="L84" s="3">
        <v>0</v>
      </c>
      <c r="M84" s="3">
        <v>0</v>
      </c>
      <c r="N84" s="3">
        <v>10</v>
      </c>
      <c r="O84" s="3">
        <v>0</v>
      </c>
      <c r="P84" s="64">
        <f t="shared" si="1"/>
        <v>170</v>
      </c>
      <c r="R84" s="64">
        <v>50</v>
      </c>
      <c r="S84" s="64">
        <v>100</v>
      </c>
    </row>
    <row r="85" spans="1:19" x14ac:dyDescent="0.25">
      <c r="A85" s="61">
        <v>82</v>
      </c>
      <c r="B85" s="41"/>
      <c r="C85" s="41"/>
      <c r="D85" s="49" t="s">
        <v>134</v>
      </c>
      <c r="E85" s="35"/>
      <c r="F85" s="35"/>
      <c r="G85" s="60"/>
      <c r="H85" s="12">
        <f>'ARALIK 3 HAFTA '!P85</f>
        <v>48</v>
      </c>
      <c r="I85" s="8" t="s">
        <v>2</v>
      </c>
      <c r="J85" s="3">
        <v>80</v>
      </c>
      <c r="K85" s="3">
        <v>0</v>
      </c>
      <c r="L85" s="3">
        <v>0</v>
      </c>
      <c r="M85" s="3">
        <v>0</v>
      </c>
      <c r="N85" s="3">
        <v>36</v>
      </c>
      <c r="O85" s="3">
        <v>0</v>
      </c>
      <c r="P85" s="4">
        <f t="shared" si="1"/>
        <v>92</v>
      </c>
      <c r="Q85" s="4"/>
      <c r="R85" s="4"/>
      <c r="S85" s="4"/>
    </row>
    <row r="86" spans="1:19" ht="15.75" customHeight="1" x14ac:dyDescent="0.25">
      <c r="A86" s="8">
        <v>83</v>
      </c>
      <c r="D86" s="22" t="s">
        <v>123</v>
      </c>
      <c r="E86" s="10"/>
      <c r="F86" s="10"/>
      <c r="G86" s="11"/>
      <c r="H86" s="12">
        <f>'ARALIK 3 HAFTA '!P86</f>
        <v>4300</v>
      </c>
      <c r="I86" s="8" t="s">
        <v>2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4">
        <f t="shared" si="1"/>
        <v>4300</v>
      </c>
      <c r="Q86" s="4"/>
      <c r="R86" s="4"/>
      <c r="S86" s="4"/>
    </row>
    <row r="87" spans="1:19" x14ac:dyDescent="0.25">
      <c r="A87" s="48">
        <v>84</v>
      </c>
      <c r="B87" s="41"/>
      <c r="C87" s="41"/>
      <c r="D87" s="22" t="s">
        <v>126</v>
      </c>
      <c r="E87" s="10"/>
      <c r="F87" s="10"/>
      <c r="G87" s="11"/>
      <c r="H87" s="4">
        <v>5</v>
      </c>
      <c r="I87" s="8" t="s">
        <v>2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4">
        <f t="shared" si="1"/>
        <v>5</v>
      </c>
      <c r="Q87" s="4"/>
      <c r="R87" s="4"/>
      <c r="S87" s="4"/>
    </row>
    <row r="88" spans="1:19" x14ac:dyDescent="0.25">
      <c r="A88" s="67">
        <v>85</v>
      </c>
      <c r="B88" s="41"/>
      <c r="C88" s="41"/>
      <c r="D88" s="37" t="s">
        <v>127</v>
      </c>
      <c r="E88" s="17"/>
      <c r="F88" s="17"/>
      <c r="G88" s="18"/>
      <c r="H88" s="64">
        <v>5</v>
      </c>
      <c r="I88" s="62" t="s">
        <v>2</v>
      </c>
      <c r="J88" s="63">
        <v>0</v>
      </c>
      <c r="K88" s="63">
        <v>0</v>
      </c>
      <c r="L88" s="63">
        <v>0</v>
      </c>
      <c r="M88" s="63">
        <v>0</v>
      </c>
      <c r="N88" s="63">
        <v>0</v>
      </c>
      <c r="O88" s="63">
        <v>0</v>
      </c>
      <c r="P88" s="64">
        <f t="shared" si="1"/>
        <v>5</v>
      </c>
      <c r="Q88" s="64"/>
      <c r="R88" s="64"/>
      <c r="S88" s="64"/>
    </row>
    <row r="89" spans="1:19" x14ac:dyDescent="0.25">
      <c r="A89" s="48">
        <v>86</v>
      </c>
      <c r="B89" s="23"/>
      <c r="C89" s="23"/>
      <c r="D89" s="23" t="s">
        <v>131</v>
      </c>
      <c r="E89" s="23"/>
      <c r="F89" s="23"/>
      <c r="G89" s="23"/>
      <c r="H89" s="23"/>
      <c r="I89" s="8" t="s">
        <v>132</v>
      </c>
      <c r="J89" s="4">
        <v>32</v>
      </c>
      <c r="K89" s="4"/>
      <c r="L89" s="4"/>
      <c r="M89" s="4"/>
      <c r="N89" s="4"/>
      <c r="O89" s="4"/>
      <c r="P89" s="4">
        <f t="shared" si="1"/>
        <v>32</v>
      </c>
      <c r="Q89" s="4"/>
      <c r="R89" s="4"/>
      <c r="S89" s="4"/>
    </row>
    <row r="90" spans="1:19" x14ac:dyDescent="0.25">
      <c r="A90" s="8">
        <v>87</v>
      </c>
      <c r="D90" s="68" t="s">
        <v>135</v>
      </c>
      <c r="E90" s="27"/>
      <c r="F90" s="27"/>
      <c r="G90" s="28"/>
      <c r="H90" s="4">
        <v>5</v>
      </c>
      <c r="I90" s="4" t="s">
        <v>2</v>
      </c>
      <c r="J90" s="4"/>
      <c r="K90" s="4"/>
      <c r="L90" s="4"/>
      <c r="M90" s="4"/>
      <c r="N90" s="4">
        <v>1</v>
      </c>
      <c r="O90" s="4"/>
      <c r="P90" s="4">
        <f t="shared" si="1"/>
        <v>4</v>
      </c>
      <c r="Q90" s="4"/>
      <c r="R90" s="4"/>
      <c r="S90" s="4"/>
    </row>
  </sheetData>
  <pageMargins left="0.75" right="0.75" top="1" bottom="1" header="0.5" footer="0.5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T86"/>
  <sheetViews>
    <sheetView topLeftCell="A64" workbookViewId="0">
      <selection activeCell="J72" sqref="J72"/>
    </sheetView>
  </sheetViews>
  <sheetFormatPr defaultRowHeight="15" x14ac:dyDescent="0.25"/>
  <cols>
    <col min="1" max="1" width="5.5703125" customWidth="1"/>
    <col min="2" max="3" width="9.140625" hidden="1" customWidth="1"/>
    <col min="11" max="15" width="10.140625" bestFit="1" customWidth="1"/>
    <col min="17" max="17" width="4.85546875" customWidth="1"/>
    <col min="18" max="18" width="10" customWidth="1"/>
    <col min="19" max="19" width="11.140625" customWidth="1"/>
  </cols>
  <sheetData>
    <row r="1" spans="1:20" x14ac:dyDescent="0.25">
      <c r="G1" s="1"/>
      <c r="P1">
        <f>+H1+J1-K1-L1-M1-N1-O1</f>
        <v>0</v>
      </c>
    </row>
    <row r="2" spans="1:20" x14ac:dyDescent="0.25">
      <c r="A2" t="s">
        <v>14</v>
      </c>
      <c r="D2" t="s">
        <v>136</v>
      </c>
      <c r="O2" s="38" t="s">
        <v>14</v>
      </c>
      <c r="S2" s="50">
        <v>44837</v>
      </c>
    </row>
    <row r="3" spans="1:20" x14ac:dyDescent="0.25">
      <c r="A3" s="3" t="s">
        <v>15</v>
      </c>
      <c r="D3" s="9" t="s">
        <v>17</v>
      </c>
      <c r="E3" s="10"/>
      <c r="F3" s="10"/>
      <c r="G3" s="11"/>
      <c r="H3" s="12" t="s">
        <v>18</v>
      </c>
      <c r="I3" s="4" t="s">
        <v>19</v>
      </c>
      <c r="J3" s="3" t="s">
        <v>20</v>
      </c>
      <c r="K3" s="5">
        <v>44942</v>
      </c>
      <c r="L3" s="6">
        <v>44943</v>
      </c>
      <c r="M3" s="5">
        <v>44944</v>
      </c>
      <c r="N3" s="5">
        <v>44945</v>
      </c>
      <c r="O3" s="6">
        <v>44946</v>
      </c>
      <c r="P3" s="3" t="s">
        <v>21</v>
      </c>
      <c r="R3" s="42" t="s">
        <v>105</v>
      </c>
      <c r="S3" s="45" t="s">
        <v>104</v>
      </c>
    </row>
    <row r="4" spans="1:20" x14ac:dyDescent="0.25">
      <c r="A4" s="7">
        <v>1</v>
      </c>
      <c r="D4" s="13" t="s">
        <v>16</v>
      </c>
      <c r="E4" s="14"/>
      <c r="F4" s="14"/>
      <c r="G4" s="15"/>
      <c r="H4" s="12">
        <v>119</v>
      </c>
      <c r="I4" s="7" t="s">
        <v>1</v>
      </c>
      <c r="J4" s="3">
        <v>0</v>
      </c>
      <c r="K4" s="3">
        <v>0</v>
      </c>
      <c r="L4" s="3">
        <v>17</v>
      </c>
      <c r="M4" s="3">
        <v>17</v>
      </c>
      <c r="N4" s="3">
        <v>0</v>
      </c>
      <c r="O4" s="3">
        <v>0</v>
      </c>
      <c r="P4" s="4">
        <f t="shared" ref="P4:P62" si="0">+H4+J4-K4-L4-M4-N4-O4</f>
        <v>85</v>
      </c>
      <c r="Q4" t="s">
        <v>67</v>
      </c>
      <c r="R4" s="43">
        <v>100</v>
      </c>
      <c r="S4" s="46">
        <v>500</v>
      </c>
      <c r="T4" t="s">
        <v>75</v>
      </c>
    </row>
    <row r="5" spans="1:20" x14ac:dyDescent="0.25">
      <c r="A5" s="7">
        <v>2</v>
      </c>
      <c r="D5" s="9" t="s">
        <v>22</v>
      </c>
      <c r="E5" s="10"/>
      <c r="F5" s="10"/>
      <c r="G5" s="11"/>
      <c r="H5" s="12">
        <v>30</v>
      </c>
      <c r="I5" s="7" t="s">
        <v>2</v>
      </c>
      <c r="J5" s="3">
        <v>0</v>
      </c>
      <c r="K5" s="3">
        <v>0</v>
      </c>
      <c r="L5" s="3">
        <v>2</v>
      </c>
      <c r="M5" s="3">
        <v>0</v>
      </c>
      <c r="N5" s="3">
        <v>0</v>
      </c>
      <c r="O5" s="3">
        <v>0</v>
      </c>
      <c r="P5" s="4">
        <f t="shared" si="0"/>
        <v>28</v>
      </c>
      <c r="Q5" s="1" t="s">
        <v>14</v>
      </c>
      <c r="R5" s="44">
        <v>6</v>
      </c>
      <c r="S5" s="47">
        <v>10</v>
      </c>
    </row>
    <row r="6" spans="1:20" x14ac:dyDescent="0.25">
      <c r="A6" s="7">
        <v>3</v>
      </c>
      <c r="D6" s="16" t="s">
        <v>23</v>
      </c>
      <c r="E6" s="17"/>
      <c r="F6" s="17"/>
      <c r="G6" s="18"/>
      <c r="H6" s="12">
        <v>60</v>
      </c>
      <c r="I6" s="7" t="s">
        <v>2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4">
        <f t="shared" si="0"/>
        <v>60</v>
      </c>
      <c r="Q6" s="1" t="s">
        <v>14</v>
      </c>
      <c r="R6" s="44">
        <v>6</v>
      </c>
      <c r="S6" s="47">
        <v>10</v>
      </c>
    </row>
    <row r="7" spans="1:20" x14ac:dyDescent="0.25">
      <c r="A7" s="7">
        <v>4</v>
      </c>
      <c r="D7" s="9" t="s">
        <v>3</v>
      </c>
      <c r="E7" s="10"/>
      <c r="F7" s="10"/>
      <c r="G7" s="11"/>
      <c r="H7" s="12">
        <v>30</v>
      </c>
      <c r="I7" s="7" t="s">
        <v>2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4">
        <f t="shared" si="0"/>
        <v>30</v>
      </c>
      <c r="Q7" s="1" t="s">
        <v>14</v>
      </c>
      <c r="R7" s="44">
        <v>6</v>
      </c>
      <c r="S7" s="47">
        <v>10</v>
      </c>
    </row>
    <row r="8" spans="1:20" x14ac:dyDescent="0.25">
      <c r="A8" s="7">
        <v>5</v>
      </c>
      <c r="D8" s="16" t="s">
        <v>139</v>
      </c>
      <c r="E8" s="17"/>
      <c r="F8" s="17"/>
      <c r="G8" s="18"/>
      <c r="H8" s="12">
        <v>505</v>
      </c>
      <c r="I8" s="7" t="s">
        <v>2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4">
        <f t="shared" si="0"/>
        <v>505</v>
      </c>
      <c r="Q8" s="1" t="s">
        <v>14</v>
      </c>
      <c r="R8" s="44">
        <v>100</v>
      </c>
      <c r="S8" s="47">
        <v>400</v>
      </c>
    </row>
    <row r="9" spans="1:20" x14ac:dyDescent="0.25">
      <c r="A9" s="7">
        <v>6</v>
      </c>
      <c r="D9" s="9" t="s">
        <v>24</v>
      </c>
      <c r="E9" s="10"/>
      <c r="F9" s="10"/>
      <c r="G9" s="11"/>
      <c r="H9" s="12">
        <v>150</v>
      </c>
      <c r="I9" s="7" t="s">
        <v>2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4">
        <f t="shared" si="0"/>
        <v>150</v>
      </c>
      <c r="Q9" s="1" t="s">
        <v>14</v>
      </c>
      <c r="R9" s="44">
        <v>60</v>
      </c>
      <c r="S9" s="47">
        <v>200</v>
      </c>
    </row>
    <row r="10" spans="1:20" x14ac:dyDescent="0.25">
      <c r="A10" s="7">
        <v>7</v>
      </c>
      <c r="D10" s="16" t="s">
        <v>101</v>
      </c>
      <c r="E10" s="17"/>
      <c r="F10" s="17"/>
      <c r="G10" s="18"/>
      <c r="H10" s="12">
        <v>3400</v>
      </c>
      <c r="I10" s="7" t="s">
        <v>2</v>
      </c>
      <c r="J10" s="3">
        <v>0</v>
      </c>
      <c r="K10" s="3">
        <v>20</v>
      </c>
      <c r="L10" s="3">
        <v>0</v>
      </c>
      <c r="M10" s="3">
        <v>0</v>
      </c>
      <c r="N10" s="3">
        <v>0</v>
      </c>
      <c r="O10" s="3">
        <v>0</v>
      </c>
      <c r="P10" s="4">
        <f t="shared" si="0"/>
        <v>3380</v>
      </c>
      <c r="Q10" s="1" t="s">
        <v>14</v>
      </c>
      <c r="R10" s="44">
        <v>200</v>
      </c>
      <c r="S10" s="47">
        <v>500</v>
      </c>
    </row>
    <row r="11" spans="1:20" x14ac:dyDescent="0.25">
      <c r="A11" s="7">
        <v>8</v>
      </c>
      <c r="D11" s="9" t="s">
        <v>25</v>
      </c>
      <c r="E11" s="10"/>
      <c r="F11" s="10"/>
      <c r="G11" s="11"/>
      <c r="H11" s="12">
        <v>430</v>
      </c>
      <c r="I11" s="7" t="s">
        <v>2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4">
        <f t="shared" si="0"/>
        <v>430</v>
      </c>
      <c r="Q11" s="1" t="s">
        <v>14</v>
      </c>
      <c r="R11" s="44">
        <v>0</v>
      </c>
      <c r="S11" s="47">
        <v>0</v>
      </c>
    </row>
    <row r="12" spans="1:20" x14ac:dyDescent="0.25">
      <c r="A12" s="7">
        <v>9</v>
      </c>
      <c r="D12" s="16" t="s">
        <v>26</v>
      </c>
      <c r="E12" s="17"/>
      <c r="F12" s="17"/>
      <c r="G12" s="18"/>
      <c r="H12" s="12">
        <v>0</v>
      </c>
      <c r="I12" s="7" t="s">
        <v>2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4">
        <f t="shared" si="0"/>
        <v>0</v>
      </c>
      <c r="Q12" s="1" t="s">
        <v>14</v>
      </c>
      <c r="R12" s="44">
        <v>200</v>
      </c>
      <c r="S12" s="47">
        <v>400</v>
      </c>
    </row>
    <row r="13" spans="1:20" x14ac:dyDescent="0.25">
      <c r="A13" s="7">
        <v>10</v>
      </c>
      <c r="D13" s="9" t="s">
        <v>6</v>
      </c>
      <c r="E13" s="10"/>
      <c r="F13" s="10"/>
      <c r="G13" s="11"/>
      <c r="H13" s="12">
        <v>60</v>
      </c>
      <c r="I13" s="7" t="s">
        <v>2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4">
        <f t="shared" si="0"/>
        <v>60</v>
      </c>
      <c r="Q13" s="1" t="s">
        <v>14</v>
      </c>
      <c r="R13" s="44">
        <v>0</v>
      </c>
      <c r="S13" s="46"/>
    </row>
    <row r="14" spans="1:20" x14ac:dyDescent="0.25">
      <c r="A14" s="7">
        <v>11</v>
      </c>
      <c r="D14" s="16" t="s">
        <v>7</v>
      </c>
      <c r="E14" s="17"/>
      <c r="F14" s="17"/>
      <c r="G14" s="18"/>
      <c r="H14" s="12">
        <v>0</v>
      </c>
      <c r="I14" s="7" t="s">
        <v>2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4">
        <f t="shared" si="0"/>
        <v>0</v>
      </c>
      <c r="Q14" s="1" t="s">
        <v>14</v>
      </c>
      <c r="R14" s="44">
        <v>20</v>
      </c>
      <c r="S14" s="47">
        <v>50</v>
      </c>
    </row>
    <row r="15" spans="1:20" x14ac:dyDescent="0.25">
      <c r="A15" s="7">
        <v>12</v>
      </c>
      <c r="D15" s="9" t="s">
        <v>69</v>
      </c>
      <c r="E15" s="10"/>
      <c r="F15" s="10"/>
      <c r="G15" s="11"/>
      <c r="H15" s="12">
        <v>20</v>
      </c>
      <c r="I15" s="7" t="s">
        <v>2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4">
        <f t="shared" si="0"/>
        <v>20</v>
      </c>
      <c r="Q15" s="1" t="s">
        <v>14</v>
      </c>
      <c r="R15" s="44">
        <v>100</v>
      </c>
      <c r="S15" s="47">
        <v>200</v>
      </c>
    </row>
    <row r="16" spans="1:20" x14ac:dyDescent="0.25">
      <c r="A16" s="7">
        <v>13</v>
      </c>
      <c r="D16" s="16" t="s">
        <v>27</v>
      </c>
      <c r="E16" s="17"/>
      <c r="F16" s="17"/>
      <c r="G16" s="18"/>
      <c r="H16" s="12">
        <v>0</v>
      </c>
      <c r="I16" s="7" t="s">
        <v>2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4">
        <f t="shared" si="0"/>
        <v>0</v>
      </c>
      <c r="Q16" s="1" t="s">
        <v>14</v>
      </c>
      <c r="R16" s="44">
        <v>0</v>
      </c>
      <c r="S16" s="46"/>
    </row>
    <row r="17" spans="1:19" x14ac:dyDescent="0.25">
      <c r="A17" s="7">
        <v>14</v>
      </c>
      <c r="D17" s="9" t="s">
        <v>73</v>
      </c>
      <c r="E17" s="10"/>
      <c r="F17" s="10"/>
      <c r="G17" s="11"/>
      <c r="H17" s="12">
        <v>794</v>
      </c>
      <c r="I17" s="7" t="s">
        <v>2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4">
        <f t="shared" si="0"/>
        <v>794</v>
      </c>
      <c r="Q17" s="1" t="s">
        <v>14</v>
      </c>
      <c r="R17" s="44">
        <v>0</v>
      </c>
      <c r="S17" s="46"/>
    </row>
    <row r="18" spans="1:19" x14ac:dyDescent="0.25">
      <c r="A18" s="7">
        <v>15</v>
      </c>
      <c r="D18" s="16" t="s">
        <v>28</v>
      </c>
      <c r="E18" s="17"/>
      <c r="F18" s="17"/>
      <c r="G18" s="18"/>
      <c r="H18" s="12">
        <v>41</v>
      </c>
      <c r="I18" s="7" t="s">
        <v>2</v>
      </c>
      <c r="J18" s="3">
        <v>0</v>
      </c>
      <c r="K18" s="3">
        <v>2</v>
      </c>
      <c r="L18" s="3">
        <v>0</v>
      </c>
      <c r="M18" s="3">
        <v>0</v>
      </c>
      <c r="N18" s="3">
        <v>0</v>
      </c>
      <c r="O18" s="3">
        <v>3</v>
      </c>
      <c r="P18" s="4">
        <f t="shared" si="0"/>
        <v>36</v>
      </c>
      <c r="Q18" s="1" t="s">
        <v>14</v>
      </c>
      <c r="R18" s="44">
        <v>20</v>
      </c>
      <c r="S18" s="47">
        <v>50</v>
      </c>
    </row>
    <row r="19" spans="1:19" x14ac:dyDescent="0.25">
      <c r="A19" s="7">
        <v>16</v>
      </c>
      <c r="D19" s="9" t="s">
        <v>29</v>
      </c>
      <c r="E19" s="10"/>
      <c r="F19" s="10"/>
      <c r="G19" s="11"/>
      <c r="H19" s="12">
        <v>46</v>
      </c>
      <c r="I19" s="7" t="s">
        <v>2</v>
      </c>
      <c r="J19" s="3">
        <v>0</v>
      </c>
      <c r="K19" s="3">
        <v>2</v>
      </c>
      <c r="L19" s="3">
        <v>0</v>
      </c>
      <c r="M19" s="3">
        <v>0</v>
      </c>
      <c r="N19" s="3">
        <v>0</v>
      </c>
      <c r="O19" s="3">
        <v>3</v>
      </c>
      <c r="P19" s="4">
        <f t="shared" si="0"/>
        <v>41</v>
      </c>
      <c r="Q19" s="1" t="s">
        <v>14</v>
      </c>
      <c r="R19" s="44">
        <v>20</v>
      </c>
      <c r="S19" s="47">
        <v>50</v>
      </c>
    </row>
    <row r="20" spans="1:19" x14ac:dyDescent="0.25">
      <c r="A20" s="7">
        <v>17</v>
      </c>
      <c r="D20" s="16" t="s">
        <v>30</v>
      </c>
      <c r="E20" s="17"/>
      <c r="F20" s="17"/>
      <c r="G20" s="18"/>
      <c r="H20" s="12">
        <v>82</v>
      </c>
      <c r="I20" s="7" t="s">
        <v>2</v>
      </c>
      <c r="J20" s="3">
        <v>0</v>
      </c>
      <c r="K20" s="3">
        <v>2</v>
      </c>
      <c r="L20" s="3">
        <v>0</v>
      </c>
      <c r="M20" s="3">
        <v>0</v>
      </c>
      <c r="N20" s="3">
        <v>0</v>
      </c>
      <c r="O20" s="3">
        <v>3</v>
      </c>
      <c r="P20" s="4">
        <f t="shared" si="0"/>
        <v>77</v>
      </c>
      <c r="Q20" s="1" t="s">
        <v>14</v>
      </c>
      <c r="R20" s="44">
        <v>20</v>
      </c>
      <c r="S20" s="47">
        <v>50</v>
      </c>
    </row>
    <row r="21" spans="1:19" x14ac:dyDescent="0.25">
      <c r="A21" s="7">
        <v>18</v>
      </c>
      <c r="D21" s="9" t="s">
        <v>129</v>
      </c>
      <c r="E21" s="10"/>
      <c r="F21" s="10"/>
      <c r="G21" s="11"/>
      <c r="H21" s="12">
        <v>15</v>
      </c>
      <c r="I21" s="7" t="s">
        <v>2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4">
        <f t="shared" si="0"/>
        <v>15</v>
      </c>
      <c r="Q21" s="1" t="s">
        <v>14</v>
      </c>
      <c r="R21" s="44">
        <v>0</v>
      </c>
      <c r="S21" s="46"/>
    </row>
    <row r="22" spans="1:19" x14ac:dyDescent="0.25">
      <c r="A22" s="7">
        <v>19</v>
      </c>
      <c r="D22" s="55" t="s">
        <v>8</v>
      </c>
      <c r="E22" s="56"/>
      <c r="F22" s="56"/>
      <c r="G22" s="57"/>
      <c r="H22" s="12">
        <v>210</v>
      </c>
      <c r="I22" s="59" t="s">
        <v>1</v>
      </c>
      <c r="J22" s="3">
        <v>0</v>
      </c>
      <c r="K22" s="3">
        <v>20</v>
      </c>
      <c r="L22" s="3">
        <v>0</v>
      </c>
      <c r="M22" s="3">
        <v>0</v>
      </c>
      <c r="N22" s="3">
        <v>0</v>
      </c>
      <c r="O22" s="3">
        <v>20</v>
      </c>
      <c r="P22" s="46">
        <f t="shared" si="0"/>
        <v>170</v>
      </c>
      <c r="Q22" s="1" t="s">
        <v>14</v>
      </c>
      <c r="R22" s="44">
        <v>50</v>
      </c>
      <c r="S22" s="47">
        <v>200</v>
      </c>
    </row>
    <row r="23" spans="1:19" x14ac:dyDescent="0.25">
      <c r="A23" s="7">
        <v>20</v>
      </c>
      <c r="D23" s="9" t="s">
        <v>32</v>
      </c>
      <c r="E23" s="10"/>
      <c r="F23" s="10"/>
      <c r="G23" s="11"/>
      <c r="H23" s="12">
        <f>'ARALIK 3 HAFTA '!P23</f>
        <v>2000</v>
      </c>
      <c r="I23" s="7" t="s">
        <v>2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4">
        <f t="shared" si="0"/>
        <v>2000</v>
      </c>
      <c r="Q23" s="1" t="s">
        <v>14</v>
      </c>
      <c r="R23" s="44">
        <v>0</v>
      </c>
      <c r="S23" s="46"/>
    </row>
    <row r="24" spans="1:19" x14ac:dyDescent="0.25">
      <c r="A24" s="7">
        <v>21</v>
      </c>
      <c r="D24" s="16" t="s">
        <v>140</v>
      </c>
      <c r="E24" s="17"/>
      <c r="F24" s="17"/>
      <c r="G24" s="18"/>
      <c r="H24" s="12">
        <v>200</v>
      </c>
      <c r="I24" s="7" t="s">
        <v>2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4">
        <f t="shared" si="0"/>
        <v>200</v>
      </c>
      <c r="Q24" s="1" t="s">
        <v>14</v>
      </c>
      <c r="R24" s="44">
        <v>0</v>
      </c>
      <c r="S24" s="46"/>
    </row>
    <row r="25" spans="1:19" x14ac:dyDescent="0.25">
      <c r="A25" s="7">
        <v>22</v>
      </c>
      <c r="D25" s="9" t="s">
        <v>34</v>
      </c>
      <c r="E25" s="10"/>
      <c r="F25" s="10"/>
      <c r="G25" s="11"/>
      <c r="H25" s="12">
        <v>50</v>
      </c>
      <c r="I25" s="7" t="s">
        <v>2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4">
        <f t="shared" si="0"/>
        <v>50</v>
      </c>
      <c r="Q25" s="1" t="s">
        <v>14</v>
      </c>
      <c r="R25" s="44">
        <v>0</v>
      </c>
      <c r="S25" s="46"/>
    </row>
    <row r="26" spans="1:19" x14ac:dyDescent="0.25">
      <c r="A26" s="7">
        <v>23</v>
      </c>
      <c r="D26" s="16" t="s">
        <v>142</v>
      </c>
      <c r="E26" s="17"/>
      <c r="F26" s="17"/>
      <c r="G26" s="18"/>
      <c r="H26" s="12">
        <v>70</v>
      </c>
      <c r="I26" s="7" t="s">
        <v>2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4">
        <f t="shared" si="0"/>
        <v>70</v>
      </c>
      <c r="Q26" s="1" t="s">
        <v>14</v>
      </c>
      <c r="R26" s="44">
        <v>20</v>
      </c>
      <c r="S26" s="47">
        <v>50</v>
      </c>
    </row>
    <row r="27" spans="1:19" x14ac:dyDescent="0.25">
      <c r="A27" s="7">
        <v>24</v>
      </c>
      <c r="D27" s="9" t="s">
        <v>141</v>
      </c>
      <c r="E27" s="10"/>
      <c r="F27" s="10"/>
      <c r="G27" s="11"/>
      <c r="H27" s="12">
        <v>0</v>
      </c>
      <c r="I27" s="7" t="s">
        <v>2</v>
      </c>
      <c r="J27" s="3"/>
      <c r="K27" s="3"/>
      <c r="L27" s="3"/>
      <c r="M27" s="3"/>
      <c r="N27" s="3"/>
      <c r="O27" s="3"/>
      <c r="P27" s="4">
        <f t="shared" si="0"/>
        <v>0</v>
      </c>
      <c r="Q27" s="1"/>
      <c r="R27" s="44">
        <v>20</v>
      </c>
      <c r="S27" s="47">
        <v>50</v>
      </c>
    </row>
    <row r="28" spans="1:19" x14ac:dyDescent="0.25">
      <c r="A28" s="7">
        <v>25</v>
      </c>
      <c r="D28" s="9" t="s">
        <v>137</v>
      </c>
      <c r="E28" s="10"/>
      <c r="F28" s="10"/>
      <c r="G28" s="11"/>
      <c r="H28" s="12">
        <v>112</v>
      </c>
      <c r="I28" s="7" t="s">
        <v>2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4">
        <f t="shared" si="0"/>
        <v>112</v>
      </c>
      <c r="Q28" s="1" t="s">
        <v>14</v>
      </c>
      <c r="R28" s="44">
        <v>20</v>
      </c>
      <c r="S28" s="47">
        <v>50</v>
      </c>
    </row>
    <row r="29" spans="1:19" x14ac:dyDescent="0.25">
      <c r="A29" s="7">
        <v>26</v>
      </c>
      <c r="D29" s="9" t="s">
        <v>138</v>
      </c>
      <c r="E29" s="10"/>
      <c r="F29" s="10"/>
      <c r="G29" s="11"/>
      <c r="H29" s="12">
        <v>32</v>
      </c>
      <c r="I29" s="7" t="s">
        <v>2</v>
      </c>
      <c r="J29" s="3"/>
      <c r="K29" s="3"/>
      <c r="L29" s="3"/>
      <c r="M29" s="3"/>
      <c r="N29" s="3"/>
      <c r="O29" s="3"/>
      <c r="P29" s="4">
        <f t="shared" si="0"/>
        <v>32</v>
      </c>
      <c r="Q29" s="1"/>
      <c r="R29" s="44"/>
      <c r="S29" s="47"/>
    </row>
    <row r="30" spans="1:19" x14ac:dyDescent="0.25">
      <c r="A30" s="7">
        <v>27</v>
      </c>
      <c r="D30" s="16" t="s">
        <v>35</v>
      </c>
      <c r="E30" s="17"/>
      <c r="F30" s="17"/>
      <c r="G30" s="18"/>
      <c r="H30" s="12">
        <v>60</v>
      </c>
      <c r="I30" s="7" t="s">
        <v>2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4">
        <f t="shared" si="0"/>
        <v>60</v>
      </c>
      <c r="Q30" s="1" t="s">
        <v>14</v>
      </c>
      <c r="R30" s="44">
        <v>50</v>
      </c>
      <c r="S30" s="47">
        <v>100</v>
      </c>
    </row>
    <row r="31" spans="1:19" x14ac:dyDescent="0.25">
      <c r="A31" s="7">
        <v>28</v>
      </c>
      <c r="D31" s="9" t="s">
        <v>36</v>
      </c>
      <c r="E31" s="10"/>
      <c r="F31" s="10"/>
      <c r="G31" s="11"/>
      <c r="H31" s="12">
        <v>60</v>
      </c>
      <c r="I31" s="7" t="s">
        <v>2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4">
        <f t="shared" si="0"/>
        <v>60</v>
      </c>
      <c r="Q31" s="1" t="s">
        <v>14</v>
      </c>
      <c r="R31" s="44">
        <v>50</v>
      </c>
      <c r="S31" s="47">
        <v>100</v>
      </c>
    </row>
    <row r="32" spans="1:19" x14ac:dyDescent="0.25">
      <c r="A32" s="7">
        <v>29</v>
      </c>
      <c r="D32" s="16" t="s">
        <v>37</v>
      </c>
      <c r="E32" s="17"/>
      <c r="F32" s="17"/>
      <c r="G32" s="18"/>
      <c r="H32" s="12">
        <v>600</v>
      </c>
      <c r="I32" s="7" t="s">
        <v>2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4">
        <f t="shared" si="0"/>
        <v>600</v>
      </c>
      <c r="Q32" s="1" t="s">
        <v>14</v>
      </c>
      <c r="R32" s="44">
        <v>20</v>
      </c>
      <c r="S32" s="47">
        <v>50</v>
      </c>
    </row>
    <row r="33" spans="1:19" x14ac:dyDescent="0.25">
      <c r="A33" s="7">
        <v>30</v>
      </c>
      <c r="D33" s="9" t="s">
        <v>38</v>
      </c>
      <c r="E33" s="10"/>
      <c r="F33" s="10"/>
      <c r="G33" s="11"/>
      <c r="H33" s="12">
        <v>700</v>
      </c>
      <c r="I33" s="7" t="s">
        <v>2</v>
      </c>
      <c r="J33" s="3">
        <v>0</v>
      </c>
      <c r="K33" s="3">
        <v>4</v>
      </c>
      <c r="L33" s="3">
        <v>0</v>
      </c>
      <c r="M33" s="3">
        <v>0</v>
      </c>
      <c r="N33" s="3">
        <v>0</v>
      </c>
      <c r="O33" s="3">
        <v>93</v>
      </c>
      <c r="P33" s="4">
        <f t="shared" si="0"/>
        <v>603</v>
      </c>
      <c r="Q33" s="1" t="s">
        <v>14</v>
      </c>
      <c r="R33" s="44">
        <v>50</v>
      </c>
      <c r="S33" s="47">
        <v>100</v>
      </c>
    </row>
    <row r="34" spans="1:19" x14ac:dyDescent="0.25">
      <c r="A34" s="7">
        <v>31</v>
      </c>
      <c r="D34" s="16" t="s">
        <v>39</v>
      </c>
      <c r="E34" s="17"/>
      <c r="F34" s="17"/>
      <c r="G34" s="18"/>
      <c r="H34" s="12">
        <v>65</v>
      </c>
      <c r="I34" s="7" t="s">
        <v>2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4">
        <f t="shared" si="0"/>
        <v>65</v>
      </c>
      <c r="Q34" s="1" t="s">
        <v>14</v>
      </c>
      <c r="R34" s="44">
        <v>20</v>
      </c>
      <c r="S34" s="47">
        <v>50</v>
      </c>
    </row>
    <row r="35" spans="1:19" x14ac:dyDescent="0.25">
      <c r="A35" s="7">
        <v>32</v>
      </c>
      <c r="D35" s="9" t="s">
        <v>40</v>
      </c>
      <c r="E35" s="10"/>
      <c r="F35" s="10"/>
      <c r="G35" s="11"/>
      <c r="H35" s="12">
        <f>'ARALIK 3 HAFTA '!P33</f>
        <v>1075</v>
      </c>
      <c r="I35" s="7" t="s">
        <v>2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4">
        <f t="shared" si="0"/>
        <v>1075</v>
      </c>
      <c r="Q35" s="1" t="s">
        <v>14</v>
      </c>
      <c r="R35" s="44">
        <v>0</v>
      </c>
      <c r="S35" s="46"/>
    </row>
    <row r="36" spans="1:19" x14ac:dyDescent="0.25">
      <c r="A36" s="7">
        <v>33</v>
      </c>
      <c r="D36" s="9" t="s">
        <v>9</v>
      </c>
      <c r="E36" s="10"/>
      <c r="F36" s="10"/>
      <c r="G36" s="11"/>
      <c r="H36" s="12">
        <v>560</v>
      </c>
      <c r="I36" s="7" t="s">
        <v>2</v>
      </c>
      <c r="J36" s="3">
        <v>0</v>
      </c>
      <c r="K36" s="3">
        <v>2</v>
      </c>
      <c r="L36" s="3">
        <v>0</v>
      </c>
      <c r="M36" s="3">
        <v>0</v>
      </c>
      <c r="N36" s="3">
        <v>0</v>
      </c>
      <c r="O36" s="3">
        <v>0</v>
      </c>
      <c r="P36" s="4">
        <f t="shared" si="0"/>
        <v>558</v>
      </c>
      <c r="Q36" s="1" t="s">
        <v>14</v>
      </c>
      <c r="R36" s="44">
        <v>50</v>
      </c>
      <c r="S36" s="47">
        <v>100</v>
      </c>
    </row>
    <row r="37" spans="1:19" x14ac:dyDescent="0.25">
      <c r="A37" s="7">
        <v>34</v>
      </c>
      <c r="D37" s="19" t="s">
        <v>70</v>
      </c>
      <c r="E37" s="20"/>
      <c r="F37" s="20"/>
      <c r="G37" s="21"/>
      <c r="H37" s="69">
        <f>'ARALIK 3 HAFTA '!P35</f>
        <v>75</v>
      </c>
      <c r="I37" s="7" t="s">
        <v>2</v>
      </c>
      <c r="J37" s="3">
        <v>0</v>
      </c>
      <c r="K37" s="3">
        <v>22</v>
      </c>
      <c r="L37" s="3">
        <v>0</v>
      </c>
      <c r="M37" s="3">
        <v>0</v>
      </c>
      <c r="N37" s="3">
        <v>0</v>
      </c>
      <c r="O37" s="3">
        <v>0</v>
      </c>
      <c r="P37" s="4">
        <f>+H37+J37-K37-L37-M37-N37-O37</f>
        <v>53</v>
      </c>
      <c r="Q37" s="1" t="s">
        <v>14</v>
      </c>
      <c r="R37" s="44">
        <v>0</v>
      </c>
      <c r="S37" s="46"/>
    </row>
    <row r="38" spans="1:19" x14ac:dyDescent="0.25">
      <c r="A38" s="7">
        <v>35</v>
      </c>
      <c r="D38" s="16" t="s">
        <v>143</v>
      </c>
      <c r="E38" s="17"/>
      <c r="F38" s="17"/>
      <c r="G38" s="18"/>
      <c r="H38" s="12">
        <v>183</v>
      </c>
      <c r="I38" s="7" t="s">
        <v>2</v>
      </c>
      <c r="J38" s="3">
        <v>0</v>
      </c>
      <c r="K38" s="3">
        <v>1</v>
      </c>
      <c r="L38" s="3">
        <v>0</v>
      </c>
      <c r="M38" s="3">
        <v>0</v>
      </c>
      <c r="N38" s="3">
        <v>0</v>
      </c>
      <c r="O38" s="3">
        <v>0</v>
      </c>
      <c r="P38" s="4">
        <f t="shared" si="0"/>
        <v>182</v>
      </c>
      <c r="Q38" s="1" t="s">
        <v>14</v>
      </c>
      <c r="R38" s="44">
        <v>50</v>
      </c>
      <c r="S38" s="46">
        <v>100</v>
      </c>
    </row>
    <row r="39" spans="1:19" x14ac:dyDescent="0.25">
      <c r="A39" s="7">
        <v>36</v>
      </c>
      <c r="D39" s="9" t="s">
        <v>144</v>
      </c>
      <c r="E39" s="10"/>
      <c r="F39" s="10"/>
      <c r="G39" s="11"/>
      <c r="H39" s="12">
        <v>315</v>
      </c>
      <c r="I39" s="7" t="s">
        <v>2</v>
      </c>
      <c r="J39" s="3">
        <v>0</v>
      </c>
      <c r="K39" s="3">
        <v>1</v>
      </c>
      <c r="L39" s="3">
        <v>0</v>
      </c>
      <c r="M39" s="3">
        <v>0</v>
      </c>
      <c r="N39" s="3">
        <v>0</v>
      </c>
      <c r="O39" s="3">
        <v>0</v>
      </c>
      <c r="P39" s="4">
        <f t="shared" si="0"/>
        <v>314</v>
      </c>
      <c r="Q39" s="1" t="s">
        <v>14</v>
      </c>
      <c r="R39" s="44">
        <v>50</v>
      </c>
      <c r="S39" s="47">
        <v>100</v>
      </c>
    </row>
    <row r="40" spans="1:19" x14ac:dyDescent="0.25">
      <c r="A40" s="7">
        <v>37</v>
      </c>
      <c r="D40" s="16" t="s">
        <v>42</v>
      </c>
      <c r="E40" s="17"/>
      <c r="F40" s="17"/>
      <c r="G40" s="18"/>
      <c r="H40" s="12">
        <v>273</v>
      </c>
      <c r="I40" s="7" t="s">
        <v>2</v>
      </c>
      <c r="J40" s="3">
        <v>0</v>
      </c>
      <c r="K40" s="3">
        <v>1</v>
      </c>
      <c r="L40" s="3">
        <v>0</v>
      </c>
      <c r="M40" s="3">
        <v>0</v>
      </c>
      <c r="N40" s="3">
        <v>0</v>
      </c>
      <c r="O40" s="3">
        <v>0</v>
      </c>
      <c r="P40" s="4">
        <f t="shared" si="0"/>
        <v>272</v>
      </c>
      <c r="Q40" s="1" t="s">
        <v>14</v>
      </c>
      <c r="R40" s="44">
        <v>50</v>
      </c>
      <c r="S40" s="47">
        <v>100</v>
      </c>
    </row>
    <row r="41" spans="1:19" x14ac:dyDescent="0.25">
      <c r="A41" s="7">
        <v>38</v>
      </c>
      <c r="D41" s="9" t="s">
        <v>133</v>
      </c>
      <c r="E41" s="10"/>
      <c r="F41" s="10"/>
      <c r="G41" s="11"/>
      <c r="H41" s="12">
        <v>44</v>
      </c>
      <c r="I41" s="7" t="s">
        <v>2</v>
      </c>
      <c r="J41" s="3">
        <v>0</v>
      </c>
      <c r="K41" s="3">
        <v>4</v>
      </c>
      <c r="L41" s="3">
        <v>0</v>
      </c>
      <c r="M41" s="3">
        <v>0</v>
      </c>
      <c r="N41" s="3">
        <v>0</v>
      </c>
      <c r="O41" s="3">
        <v>0</v>
      </c>
      <c r="P41" s="4">
        <f t="shared" si="0"/>
        <v>40</v>
      </c>
      <c r="Q41" s="1" t="s">
        <v>14</v>
      </c>
      <c r="R41" s="44">
        <v>20</v>
      </c>
      <c r="S41" s="47">
        <v>50</v>
      </c>
    </row>
    <row r="42" spans="1:19" x14ac:dyDescent="0.25">
      <c r="A42" s="7">
        <v>39</v>
      </c>
      <c r="D42" s="16" t="s">
        <v>145</v>
      </c>
      <c r="E42" s="17"/>
      <c r="F42" s="17"/>
      <c r="G42" s="18"/>
      <c r="H42" s="12">
        <v>34</v>
      </c>
      <c r="I42" s="7" t="s">
        <v>2</v>
      </c>
      <c r="J42" s="3">
        <v>0</v>
      </c>
      <c r="K42" s="3">
        <v>4</v>
      </c>
      <c r="L42" s="3">
        <v>0</v>
      </c>
      <c r="M42" s="3">
        <v>0</v>
      </c>
      <c r="N42" s="3">
        <v>0</v>
      </c>
      <c r="O42" s="3">
        <v>0</v>
      </c>
      <c r="P42" s="4">
        <f t="shared" si="0"/>
        <v>30</v>
      </c>
      <c r="Q42" s="1" t="s">
        <v>14</v>
      </c>
      <c r="R42" s="44">
        <v>20</v>
      </c>
      <c r="S42" s="46">
        <v>50</v>
      </c>
    </row>
    <row r="43" spans="1:19" x14ac:dyDescent="0.25">
      <c r="A43" s="7">
        <v>40</v>
      </c>
      <c r="D43" s="9" t="s">
        <v>71</v>
      </c>
      <c r="E43" s="10"/>
      <c r="F43" s="10"/>
      <c r="G43" s="11"/>
      <c r="H43" s="12">
        <v>25</v>
      </c>
      <c r="I43" s="7" t="s">
        <v>2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4">
        <f t="shared" si="0"/>
        <v>25</v>
      </c>
      <c r="Q43" s="1" t="s">
        <v>14</v>
      </c>
      <c r="R43" s="44">
        <v>5</v>
      </c>
      <c r="S43" s="47">
        <v>10</v>
      </c>
    </row>
    <row r="44" spans="1:19" x14ac:dyDescent="0.25">
      <c r="A44" s="7">
        <v>41</v>
      </c>
      <c r="D44" s="16" t="s">
        <v>10</v>
      </c>
      <c r="E44" s="17"/>
      <c r="F44" s="17"/>
      <c r="G44" s="18"/>
      <c r="H44" s="12">
        <v>2980</v>
      </c>
      <c r="I44" s="7" t="s">
        <v>2</v>
      </c>
      <c r="J44" s="3">
        <v>0</v>
      </c>
      <c r="K44" s="3">
        <v>6</v>
      </c>
      <c r="L44" s="3">
        <v>0</v>
      </c>
      <c r="M44" s="3">
        <v>0</v>
      </c>
      <c r="N44" s="3">
        <v>0</v>
      </c>
      <c r="O44" s="3">
        <v>0</v>
      </c>
      <c r="P44" s="4">
        <f t="shared" si="0"/>
        <v>2974</v>
      </c>
      <c r="Q44" s="1" t="s">
        <v>14</v>
      </c>
      <c r="R44" s="44">
        <v>40</v>
      </c>
      <c r="S44" s="47">
        <v>100</v>
      </c>
    </row>
    <row r="45" spans="1:19" x14ac:dyDescent="0.25">
      <c r="A45" s="7">
        <v>42</v>
      </c>
      <c r="D45" s="9" t="s">
        <v>45</v>
      </c>
      <c r="E45" s="10"/>
      <c r="F45" s="10"/>
      <c r="G45" s="11"/>
      <c r="H45" s="12">
        <v>1515</v>
      </c>
      <c r="I45" s="7" t="s">
        <v>2</v>
      </c>
      <c r="J45" s="3">
        <v>0</v>
      </c>
      <c r="K45" s="3">
        <v>3</v>
      </c>
      <c r="L45" s="3">
        <v>0</v>
      </c>
      <c r="M45" s="3">
        <v>0</v>
      </c>
      <c r="N45" s="3">
        <v>0</v>
      </c>
      <c r="O45" s="3">
        <v>0</v>
      </c>
      <c r="P45" s="4">
        <f t="shared" si="0"/>
        <v>1512</v>
      </c>
      <c r="Q45" s="1" t="s">
        <v>14</v>
      </c>
      <c r="R45" s="44">
        <v>20</v>
      </c>
      <c r="S45" s="47">
        <v>50</v>
      </c>
    </row>
    <row r="46" spans="1:19" x14ac:dyDescent="0.25">
      <c r="A46" s="7">
        <v>43</v>
      </c>
      <c r="D46" s="16" t="s">
        <v>46</v>
      </c>
      <c r="E46" s="17"/>
      <c r="F46" s="17"/>
      <c r="G46" s="18"/>
      <c r="H46" s="12">
        <v>1515</v>
      </c>
      <c r="I46" s="7" t="s">
        <v>2</v>
      </c>
      <c r="J46" s="3">
        <v>0</v>
      </c>
      <c r="K46" s="3">
        <v>3</v>
      </c>
      <c r="L46" s="3">
        <v>0</v>
      </c>
      <c r="M46" s="3">
        <v>0</v>
      </c>
      <c r="N46" s="3">
        <v>0</v>
      </c>
      <c r="O46" s="3">
        <v>0</v>
      </c>
      <c r="P46" s="4">
        <f t="shared" si="0"/>
        <v>1512</v>
      </c>
      <c r="Q46" s="1" t="s">
        <v>14</v>
      </c>
      <c r="R46" s="44">
        <v>20</v>
      </c>
      <c r="S46" s="47">
        <v>50</v>
      </c>
    </row>
    <row r="47" spans="1:19" x14ac:dyDescent="0.25">
      <c r="A47" s="7">
        <v>44</v>
      </c>
      <c r="D47" s="9" t="s">
        <v>47</v>
      </c>
      <c r="E47" s="10"/>
      <c r="F47" s="10"/>
      <c r="G47" s="11"/>
      <c r="H47" s="12">
        <v>1530</v>
      </c>
      <c r="I47" s="7" t="s">
        <v>2</v>
      </c>
      <c r="J47" s="3">
        <v>0</v>
      </c>
      <c r="K47" s="3">
        <v>3</v>
      </c>
      <c r="L47" s="3">
        <v>0</v>
      </c>
      <c r="M47" s="3">
        <v>0</v>
      </c>
      <c r="N47" s="3">
        <v>0</v>
      </c>
      <c r="O47" s="3">
        <v>0</v>
      </c>
      <c r="P47" s="4">
        <f t="shared" si="0"/>
        <v>1527</v>
      </c>
      <c r="Q47" s="1" t="s">
        <v>14</v>
      </c>
      <c r="R47" s="44">
        <v>20</v>
      </c>
      <c r="S47" s="47">
        <v>50</v>
      </c>
    </row>
    <row r="48" spans="1:19" x14ac:dyDescent="0.25">
      <c r="A48" s="7">
        <v>45</v>
      </c>
      <c r="D48" s="16" t="s">
        <v>79</v>
      </c>
      <c r="E48" s="17"/>
      <c r="F48" s="17"/>
      <c r="G48" s="18"/>
      <c r="H48" s="12">
        <v>21</v>
      </c>
      <c r="I48" s="7" t="s">
        <v>2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1</v>
      </c>
      <c r="P48" s="4">
        <f t="shared" si="0"/>
        <v>20</v>
      </c>
      <c r="Q48" s="1" t="s">
        <v>14</v>
      </c>
      <c r="R48" s="44">
        <v>10</v>
      </c>
      <c r="S48" s="47">
        <v>20</v>
      </c>
    </row>
    <row r="49" spans="1:20" x14ac:dyDescent="0.25">
      <c r="A49" s="7">
        <v>46</v>
      </c>
      <c r="D49" s="9" t="s">
        <v>48</v>
      </c>
      <c r="E49" s="10"/>
      <c r="F49" s="10"/>
      <c r="G49" s="11"/>
      <c r="H49" s="12">
        <v>22</v>
      </c>
      <c r="I49" s="7" t="s">
        <v>2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1</v>
      </c>
      <c r="P49" s="4">
        <f t="shared" si="0"/>
        <v>21</v>
      </c>
      <c r="Q49" s="1" t="s">
        <v>14</v>
      </c>
      <c r="R49" s="44">
        <v>10</v>
      </c>
      <c r="S49" s="47">
        <v>20</v>
      </c>
      <c r="T49" t="s">
        <v>75</v>
      </c>
    </row>
    <row r="50" spans="1:20" x14ac:dyDescent="0.25">
      <c r="A50" s="7">
        <v>47</v>
      </c>
      <c r="D50" s="16" t="s">
        <v>49</v>
      </c>
      <c r="E50" s="17"/>
      <c r="F50" s="17"/>
      <c r="G50" s="18"/>
      <c r="H50" s="12">
        <v>0</v>
      </c>
      <c r="I50" s="7" t="s">
        <v>2</v>
      </c>
      <c r="J50" s="3">
        <v>30</v>
      </c>
      <c r="K50" s="3">
        <v>9</v>
      </c>
      <c r="L50" s="3">
        <v>0</v>
      </c>
      <c r="M50" s="3">
        <v>0</v>
      </c>
      <c r="N50" s="3">
        <v>0</v>
      </c>
      <c r="O50" s="3">
        <v>1</v>
      </c>
      <c r="P50" s="4">
        <f t="shared" si="0"/>
        <v>20</v>
      </c>
      <c r="Q50" s="1" t="s">
        <v>14</v>
      </c>
      <c r="R50" s="44">
        <v>10</v>
      </c>
      <c r="S50" s="47">
        <v>20</v>
      </c>
    </row>
    <row r="51" spans="1:20" x14ac:dyDescent="0.25">
      <c r="A51" s="7">
        <v>48</v>
      </c>
      <c r="D51" s="9" t="s">
        <v>11</v>
      </c>
      <c r="E51" s="10"/>
      <c r="F51" s="10"/>
      <c r="G51" s="11"/>
      <c r="H51" s="12">
        <v>257.5</v>
      </c>
      <c r="I51" s="7" t="s">
        <v>1</v>
      </c>
      <c r="J51" s="3">
        <v>0</v>
      </c>
      <c r="K51" s="3">
        <v>25</v>
      </c>
      <c r="L51" s="3">
        <v>0</v>
      </c>
      <c r="M51" s="3">
        <v>0</v>
      </c>
      <c r="N51" s="3">
        <v>0</v>
      </c>
      <c r="O51" s="3">
        <v>0</v>
      </c>
      <c r="P51" s="4">
        <f t="shared" si="0"/>
        <v>232.5</v>
      </c>
      <c r="Q51" s="1" t="s">
        <v>14</v>
      </c>
      <c r="R51" s="44">
        <v>20</v>
      </c>
      <c r="S51" s="47">
        <v>100</v>
      </c>
    </row>
    <row r="52" spans="1:20" x14ac:dyDescent="0.25">
      <c r="A52" s="7">
        <v>49</v>
      </c>
      <c r="D52" s="16" t="s">
        <v>111</v>
      </c>
      <c r="E52" s="17"/>
      <c r="F52" s="17"/>
      <c r="G52" s="18"/>
      <c r="H52" s="12">
        <v>75</v>
      </c>
      <c r="I52" s="7" t="s">
        <v>2</v>
      </c>
      <c r="J52" s="3">
        <v>0</v>
      </c>
      <c r="K52" s="3">
        <v>0</v>
      </c>
      <c r="L52" s="3">
        <v>0</v>
      </c>
      <c r="M52" s="3">
        <v>6</v>
      </c>
      <c r="N52" s="3">
        <v>2</v>
      </c>
      <c r="O52" s="3">
        <v>12</v>
      </c>
      <c r="P52" s="4">
        <f t="shared" si="0"/>
        <v>55</v>
      </c>
      <c r="Q52" s="1" t="s">
        <v>14</v>
      </c>
      <c r="R52" s="44">
        <v>30</v>
      </c>
      <c r="S52" s="47">
        <v>100</v>
      </c>
    </row>
    <row r="53" spans="1:20" x14ac:dyDescent="0.25">
      <c r="A53" s="7">
        <v>50</v>
      </c>
      <c r="D53" s="9" t="s">
        <v>51</v>
      </c>
      <c r="E53" s="10"/>
      <c r="F53" s="10"/>
      <c r="G53" s="11"/>
      <c r="H53" s="12">
        <v>98</v>
      </c>
      <c r="I53" s="7" t="s">
        <v>2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4">
        <f t="shared" si="0"/>
        <v>98</v>
      </c>
      <c r="Q53" s="1" t="s">
        <v>14</v>
      </c>
      <c r="R53" s="44">
        <v>20</v>
      </c>
      <c r="S53" s="47">
        <v>50</v>
      </c>
    </row>
    <row r="54" spans="1:20" x14ac:dyDescent="0.25">
      <c r="A54" s="7">
        <v>51</v>
      </c>
      <c r="D54" s="16" t="s">
        <v>52</v>
      </c>
      <c r="E54" s="17"/>
      <c r="F54" s="17"/>
      <c r="G54" s="18"/>
      <c r="H54" s="12">
        <v>139</v>
      </c>
      <c r="I54" s="7" t="s">
        <v>2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  <c r="P54" s="4">
        <f t="shared" si="0"/>
        <v>139</v>
      </c>
      <c r="Q54" s="1" t="s">
        <v>14</v>
      </c>
      <c r="R54" s="44">
        <v>20</v>
      </c>
      <c r="S54" s="47">
        <v>50</v>
      </c>
      <c r="T54" t="s">
        <v>75</v>
      </c>
    </row>
    <row r="55" spans="1:20" x14ac:dyDescent="0.25">
      <c r="A55" s="7">
        <v>52</v>
      </c>
      <c r="D55" s="9" t="s">
        <v>53</v>
      </c>
      <c r="E55" s="10"/>
      <c r="F55" s="10"/>
      <c r="G55" s="11"/>
      <c r="H55" s="12">
        <v>130</v>
      </c>
      <c r="I55" s="7" t="s">
        <v>2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  <c r="P55" s="4">
        <f t="shared" si="0"/>
        <v>130</v>
      </c>
      <c r="Q55" s="1" t="s">
        <v>14</v>
      </c>
      <c r="R55" s="44">
        <v>20</v>
      </c>
      <c r="S55" s="47">
        <v>50</v>
      </c>
    </row>
    <row r="56" spans="1:20" x14ac:dyDescent="0.25">
      <c r="A56" s="7">
        <v>53</v>
      </c>
      <c r="D56" s="70" t="s">
        <v>54</v>
      </c>
      <c r="E56" s="71"/>
      <c r="F56" s="71"/>
      <c r="G56" s="72"/>
      <c r="H56" s="12">
        <v>855</v>
      </c>
      <c r="I56" s="7" t="s">
        <v>1</v>
      </c>
      <c r="J56" s="3">
        <v>720</v>
      </c>
      <c r="K56" s="3">
        <v>75</v>
      </c>
      <c r="L56" s="3">
        <v>15</v>
      </c>
      <c r="M56" s="3">
        <v>30</v>
      </c>
      <c r="N56" s="3">
        <v>15</v>
      </c>
      <c r="O56" s="3">
        <v>30</v>
      </c>
      <c r="P56" s="4">
        <f t="shared" si="0"/>
        <v>1410</v>
      </c>
      <c r="Q56" s="1" t="s">
        <v>120</v>
      </c>
      <c r="R56" s="44">
        <v>250</v>
      </c>
      <c r="S56" s="47">
        <v>750</v>
      </c>
    </row>
    <row r="57" spans="1:20" x14ac:dyDescent="0.25">
      <c r="A57" s="7">
        <v>54</v>
      </c>
      <c r="D57" s="16" t="s">
        <v>61</v>
      </c>
      <c r="E57" s="17"/>
      <c r="F57" s="17"/>
      <c r="G57" s="18"/>
      <c r="H57" s="12">
        <v>250</v>
      </c>
      <c r="I57" s="7" t="s">
        <v>2</v>
      </c>
      <c r="J57" s="3">
        <v>0</v>
      </c>
      <c r="K57" s="3">
        <v>0</v>
      </c>
      <c r="L57" s="3">
        <v>0</v>
      </c>
      <c r="M57" s="3">
        <v>4</v>
      </c>
      <c r="N57" s="3">
        <v>0</v>
      </c>
      <c r="O57" s="3">
        <v>0</v>
      </c>
      <c r="P57" s="4">
        <f t="shared" si="0"/>
        <v>246</v>
      </c>
      <c r="Q57" s="1" t="s">
        <v>14</v>
      </c>
      <c r="R57" s="44">
        <v>0</v>
      </c>
      <c r="S57" s="46"/>
    </row>
    <row r="58" spans="1:20" x14ac:dyDescent="0.25">
      <c r="A58" s="7">
        <v>55</v>
      </c>
      <c r="D58" s="9" t="s">
        <v>62</v>
      </c>
      <c r="E58" s="10"/>
      <c r="F58" s="10"/>
      <c r="G58" s="11"/>
      <c r="H58" s="12">
        <v>200</v>
      </c>
      <c r="I58" s="7" t="s">
        <v>2</v>
      </c>
      <c r="J58" s="3">
        <v>500</v>
      </c>
      <c r="K58" s="3">
        <v>0</v>
      </c>
      <c r="L58" s="3">
        <v>0</v>
      </c>
      <c r="M58" s="3">
        <v>0</v>
      </c>
      <c r="N58" s="3">
        <v>100</v>
      </c>
      <c r="O58" s="3">
        <v>0</v>
      </c>
      <c r="P58" s="4">
        <f t="shared" si="0"/>
        <v>600</v>
      </c>
      <c r="Q58" s="1" t="s">
        <v>14</v>
      </c>
      <c r="R58" s="44">
        <v>200</v>
      </c>
      <c r="S58" s="47">
        <v>1000</v>
      </c>
    </row>
    <row r="59" spans="1:20" x14ac:dyDescent="0.25">
      <c r="A59" s="7">
        <v>56</v>
      </c>
      <c r="D59" s="16" t="s">
        <v>13</v>
      </c>
      <c r="E59" s="17"/>
      <c r="F59" s="17"/>
      <c r="G59" s="18"/>
      <c r="H59" s="12">
        <v>297</v>
      </c>
      <c r="I59" s="7" t="s">
        <v>2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  <c r="P59" s="4">
        <f t="shared" si="0"/>
        <v>297</v>
      </c>
      <c r="Q59" s="1" t="s">
        <v>14</v>
      </c>
      <c r="R59" s="44">
        <v>100</v>
      </c>
      <c r="S59" s="47">
        <v>300</v>
      </c>
    </row>
    <row r="60" spans="1:20" x14ac:dyDescent="0.25">
      <c r="A60" s="7">
        <v>57</v>
      </c>
      <c r="D60" s="9" t="s">
        <v>72</v>
      </c>
      <c r="E60" s="10"/>
      <c r="F60" s="10"/>
      <c r="G60" s="11"/>
      <c r="H60" s="12">
        <v>350</v>
      </c>
      <c r="I60" s="7" t="s">
        <v>2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4">
        <f t="shared" si="0"/>
        <v>350</v>
      </c>
      <c r="Q60" s="1" t="s">
        <v>14</v>
      </c>
      <c r="R60" s="44">
        <v>100</v>
      </c>
      <c r="S60" s="47">
        <v>300</v>
      </c>
    </row>
    <row r="61" spans="1:20" x14ac:dyDescent="0.25">
      <c r="A61" s="7">
        <v>58</v>
      </c>
      <c r="D61" s="16" t="s">
        <v>63</v>
      </c>
      <c r="E61" s="17"/>
      <c r="F61" s="17"/>
      <c r="G61" s="18"/>
      <c r="H61" s="12">
        <v>0</v>
      </c>
      <c r="I61" s="7" t="s">
        <v>2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4">
        <f t="shared" si="0"/>
        <v>0</v>
      </c>
      <c r="Q61" s="1" t="s">
        <v>14</v>
      </c>
      <c r="R61" s="44">
        <v>100</v>
      </c>
      <c r="S61" s="47">
        <v>300</v>
      </c>
    </row>
    <row r="62" spans="1:20" x14ac:dyDescent="0.25">
      <c r="A62" s="7">
        <v>59</v>
      </c>
      <c r="D62" s="9" t="s">
        <v>77</v>
      </c>
      <c r="E62" s="10"/>
      <c r="F62" s="10"/>
      <c r="G62" s="11"/>
      <c r="H62" s="12">
        <v>400</v>
      </c>
      <c r="I62" s="7" t="s">
        <v>2</v>
      </c>
      <c r="J62" s="3">
        <v>900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4">
        <f t="shared" si="0"/>
        <v>1300</v>
      </c>
      <c r="Q62" s="1" t="s">
        <v>14</v>
      </c>
      <c r="R62" s="44">
        <v>100</v>
      </c>
      <c r="S62" s="47">
        <v>300</v>
      </c>
    </row>
    <row r="63" spans="1:20" x14ac:dyDescent="0.25">
      <c r="A63" s="7">
        <v>60</v>
      </c>
      <c r="D63" s="16" t="s">
        <v>130</v>
      </c>
      <c r="E63" s="17"/>
      <c r="F63" s="17"/>
      <c r="G63" s="18"/>
      <c r="H63" s="12">
        <v>10</v>
      </c>
      <c r="I63" s="7" t="s">
        <v>2</v>
      </c>
      <c r="J63" s="3">
        <v>0</v>
      </c>
      <c r="K63" s="3">
        <v>10</v>
      </c>
      <c r="L63" s="3">
        <v>0</v>
      </c>
      <c r="M63" s="3">
        <v>0</v>
      </c>
      <c r="N63" s="3">
        <v>0</v>
      </c>
      <c r="O63" s="3">
        <v>0</v>
      </c>
      <c r="P63" s="4">
        <f t="shared" ref="P63:P86" si="1">+H63+J63-K63-L63-M63-N63-O63</f>
        <v>0</v>
      </c>
      <c r="Q63" s="1" t="s">
        <v>14</v>
      </c>
      <c r="R63" s="44">
        <v>0</v>
      </c>
      <c r="S63" s="46"/>
    </row>
    <row r="64" spans="1:20" x14ac:dyDescent="0.25">
      <c r="A64" s="7">
        <v>61</v>
      </c>
      <c r="D64" s="26" t="s">
        <v>146</v>
      </c>
      <c r="E64" s="27"/>
      <c r="F64" s="27"/>
      <c r="G64" s="28"/>
      <c r="H64" s="12">
        <v>150</v>
      </c>
      <c r="I64" s="30" t="s">
        <v>2</v>
      </c>
      <c r="J64" s="3">
        <v>0</v>
      </c>
      <c r="K64" s="3">
        <v>4</v>
      </c>
      <c r="L64" s="3">
        <v>0</v>
      </c>
      <c r="M64" s="3">
        <v>0</v>
      </c>
      <c r="N64" s="3">
        <v>0</v>
      </c>
      <c r="O64" s="3">
        <v>93</v>
      </c>
      <c r="P64" s="4">
        <f>+H64+J64-K64-L64-M64-N64-O64</f>
        <v>53</v>
      </c>
      <c r="Q64" s="1" t="s">
        <v>14</v>
      </c>
      <c r="R64" s="44">
        <v>50</v>
      </c>
      <c r="S64" s="47">
        <v>100</v>
      </c>
    </row>
    <row r="65" spans="1:20" x14ac:dyDescent="0.25">
      <c r="A65" s="7">
        <v>62</v>
      </c>
      <c r="D65" s="16" t="s">
        <v>65</v>
      </c>
      <c r="E65" s="17"/>
      <c r="F65" s="17"/>
      <c r="G65" s="18"/>
      <c r="H65" s="12">
        <f>'ARALIK 3 HAFTA '!P70</f>
        <v>60</v>
      </c>
      <c r="I65" s="7" t="s">
        <v>2</v>
      </c>
      <c r="J65" s="3">
        <v>0</v>
      </c>
      <c r="K65" s="3">
        <v>0</v>
      </c>
      <c r="L65" s="3">
        <v>1</v>
      </c>
      <c r="M65" s="3">
        <v>0</v>
      </c>
      <c r="N65" s="3">
        <v>0</v>
      </c>
      <c r="O65" s="3">
        <v>0</v>
      </c>
      <c r="P65" s="4">
        <f t="shared" si="1"/>
        <v>59</v>
      </c>
      <c r="Q65" s="1" t="s">
        <v>14</v>
      </c>
      <c r="R65" s="44">
        <v>0</v>
      </c>
      <c r="S65" s="46"/>
    </row>
    <row r="66" spans="1:20" x14ac:dyDescent="0.25">
      <c r="A66" s="7">
        <v>63</v>
      </c>
      <c r="D66" s="9" t="s">
        <v>66</v>
      </c>
      <c r="E66" s="10"/>
      <c r="F66" s="10"/>
      <c r="G66" s="11"/>
      <c r="H66" s="12">
        <v>150</v>
      </c>
      <c r="I66" s="7" t="s">
        <v>2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  <c r="P66" s="4">
        <f t="shared" si="1"/>
        <v>150</v>
      </c>
      <c r="Q66" s="1" t="s">
        <v>14</v>
      </c>
      <c r="R66" s="44">
        <v>300</v>
      </c>
      <c r="S66" s="47">
        <v>1000</v>
      </c>
    </row>
    <row r="67" spans="1:20" x14ac:dyDescent="0.25">
      <c r="A67" s="7">
        <v>64</v>
      </c>
      <c r="D67" s="19" t="s">
        <v>86</v>
      </c>
      <c r="E67" s="20"/>
      <c r="F67" s="20"/>
      <c r="G67" s="21"/>
      <c r="H67" s="12">
        <v>1550</v>
      </c>
      <c r="I67" s="7" t="s">
        <v>2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  <c r="P67" s="4">
        <f t="shared" si="1"/>
        <v>1550</v>
      </c>
      <c r="Q67" s="1" t="s">
        <v>14</v>
      </c>
      <c r="R67" s="44">
        <v>50</v>
      </c>
      <c r="S67" s="47">
        <v>150</v>
      </c>
    </row>
    <row r="68" spans="1:20" x14ac:dyDescent="0.25">
      <c r="A68" s="7">
        <v>65</v>
      </c>
      <c r="D68" s="22" t="s">
        <v>74</v>
      </c>
      <c r="E68" s="10"/>
      <c r="F68" s="10"/>
      <c r="G68" s="11"/>
      <c r="H68" s="12">
        <v>0</v>
      </c>
      <c r="I68" s="8" t="s">
        <v>75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4">
        <f t="shared" si="1"/>
        <v>0</v>
      </c>
      <c r="Q68" s="1" t="s">
        <v>91</v>
      </c>
      <c r="R68" s="44">
        <v>65</v>
      </c>
      <c r="S68" s="47">
        <v>150</v>
      </c>
    </row>
    <row r="69" spans="1:20" x14ac:dyDescent="0.25">
      <c r="A69" s="7">
        <v>66</v>
      </c>
      <c r="C69" s="1" t="s">
        <v>14</v>
      </c>
      <c r="D69" s="22" t="s">
        <v>76</v>
      </c>
      <c r="E69" s="10"/>
      <c r="F69" s="10"/>
      <c r="G69" s="11"/>
      <c r="H69" s="12">
        <v>40</v>
      </c>
      <c r="I69" s="8" t="s">
        <v>2</v>
      </c>
      <c r="J69" s="3">
        <v>200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4">
        <f t="shared" si="1"/>
        <v>240</v>
      </c>
      <c r="Q69" s="1" t="s">
        <v>14</v>
      </c>
      <c r="R69" s="44">
        <v>50</v>
      </c>
      <c r="S69" s="47">
        <v>100</v>
      </c>
    </row>
    <row r="70" spans="1:20" x14ac:dyDescent="0.25">
      <c r="A70" s="7">
        <v>67</v>
      </c>
      <c r="D70" s="25" t="s">
        <v>147</v>
      </c>
      <c r="H70" s="12">
        <v>150</v>
      </c>
      <c r="I70" s="30" t="s">
        <v>2</v>
      </c>
      <c r="J70" s="3">
        <v>0</v>
      </c>
      <c r="K70" s="3">
        <v>4</v>
      </c>
      <c r="L70" s="3">
        <v>0</v>
      </c>
      <c r="M70" s="3">
        <v>0</v>
      </c>
      <c r="N70" s="3">
        <v>0</v>
      </c>
      <c r="O70" s="3">
        <v>93</v>
      </c>
      <c r="P70" s="4">
        <f t="shared" si="1"/>
        <v>53</v>
      </c>
      <c r="Q70" s="1" t="s">
        <v>14</v>
      </c>
      <c r="R70" s="44">
        <v>50</v>
      </c>
      <c r="S70" s="47">
        <v>100</v>
      </c>
    </row>
    <row r="71" spans="1:20" x14ac:dyDescent="0.25">
      <c r="A71" s="7">
        <v>68</v>
      </c>
      <c r="D71" s="26" t="s">
        <v>80</v>
      </c>
      <c r="E71" s="27"/>
      <c r="F71" s="27"/>
      <c r="G71" s="28"/>
      <c r="H71" s="12">
        <v>0</v>
      </c>
      <c r="I71" s="8" t="s">
        <v>2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4">
        <f t="shared" si="1"/>
        <v>0</v>
      </c>
      <c r="Q71" s="1" t="s">
        <v>14</v>
      </c>
      <c r="R71" s="44">
        <v>0</v>
      </c>
      <c r="S71" s="46"/>
    </row>
    <row r="72" spans="1:20" x14ac:dyDescent="0.25">
      <c r="A72" s="7">
        <v>69</v>
      </c>
      <c r="D72" s="26" t="s">
        <v>84</v>
      </c>
      <c r="E72" s="27"/>
      <c r="F72" s="27"/>
      <c r="G72" s="28"/>
      <c r="H72" s="12">
        <f>'ARALIK 3 HAFTA '!P77</f>
        <v>50</v>
      </c>
      <c r="I72" s="8" t="s">
        <v>2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  <c r="P72" s="4">
        <f t="shared" si="1"/>
        <v>50</v>
      </c>
      <c r="Q72" s="1" t="s">
        <v>14</v>
      </c>
      <c r="R72" s="44">
        <v>100</v>
      </c>
      <c r="S72" s="47">
        <v>200</v>
      </c>
    </row>
    <row r="73" spans="1:20" x14ac:dyDescent="0.25">
      <c r="A73" s="7">
        <v>70</v>
      </c>
      <c r="D73" s="26" t="s">
        <v>85</v>
      </c>
      <c r="E73" s="27"/>
      <c r="F73" s="27"/>
      <c r="G73" s="28"/>
      <c r="H73" s="12">
        <f>'ARALIK 3 HAFTA '!P78</f>
        <v>0</v>
      </c>
      <c r="I73" s="8" t="s">
        <v>2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4">
        <f t="shared" si="1"/>
        <v>0</v>
      </c>
      <c r="R73" s="44">
        <v>0</v>
      </c>
      <c r="S73" s="46"/>
    </row>
    <row r="74" spans="1:20" x14ac:dyDescent="0.25">
      <c r="A74" s="7">
        <v>71</v>
      </c>
      <c r="D74" s="37" t="s">
        <v>99</v>
      </c>
      <c r="E74" s="17"/>
      <c r="F74" s="33"/>
      <c r="G74" s="33"/>
      <c r="H74" s="12">
        <v>525</v>
      </c>
      <c r="I74" s="8" t="s">
        <v>2</v>
      </c>
      <c r="J74" s="3">
        <v>218.7</v>
      </c>
      <c r="K74" s="3">
        <v>0</v>
      </c>
      <c r="L74" s="3">
        <v>50</v>
      </c>
      <c r="M74" s="3">
        <v>0</v>
      </c>
      <c r="N74" s="3">
        <v>0</v>
      </c>
      <c r="O74" s="3">
        <v>0</v>
      </c>
      <c r="P74" s="4">
        <f t="shared" si="1"/>
        <v>693.7</v>
      </c>
      <c r="Q74" s="1" t="s">
        <v>14</v>
      </c>
      <c r="R74" s="44">
        <v>100</v>
      </c>
      <c r="S74" s="47">
        <v>500</v>
      </c>
    </row>
    <row r="75" spans="1:20" x14ac:dyDescent="0.25">
      <c r="A75" s="7">
        <v>72</v>
      </c>
      <c r="D75" s="22" t="s">
        <v>100</v>
      </c>
      <c r="E75" s="10"/>
      <c r="F75" s="10"/>
      <c r="G75" s="28"/>
      <c r="H75" s="12">
        <v>0</v>
      </c>
      <c r="I75" s="8" t="s">
        <v>2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4">
        <f t="shared" si="1"/>
        <v>0</v>
      </c>
      <c r="R75" s="44">
        <v>0</v>
      </c>
      <c r="S75" s="46"/>
    </row>
    <row r="76" spans="1:20" x14ac:dyDescent="0.25">
      <c r="A76" s="7">
        <v>73</v>
      </c>
      <c r="D76" s="37" t="s">
        <v>113</v>
      </c>
      <c r="E76" s="17"/>
      <c r="F76" s="17"/>
      <c r="G76" s="33"/>
      <c r="H76" s="12">
        <v>262</v>
      </c>
      <c r="I76" s="8" t="s">
        <v>97</v>
      </c>
      <c r="J76" s="3">
        <v>28.2</v>
      </c>
      <c r="K76" s="3">
        <v>62</v>
      </c>
      <c r="L76" s="3">
        <v>13</v>
      </c>
      <c r="M76" s="3">
        <v>10.199999999999999</v>
      </c>
      <c r="N76" s="3">
        <v>4.5999999999999996</v>
      </c>
      <c r="O76" s="3">
        <v>13.8</v>
      </c>
      <c r="P76" s="4">
        <f t="shared" si="1"/>
        <v>186.6</v>
      </c>
      <c r="Q76" s="65" t="s">
        <v>121</v>
      </c>
      <c r="R76" s="44">
        <v>30</v>
      </c>
      <c r="S76" s="47">
        <v>100</v>
      </c>
    </row>
    <row r="77" spans="1:20" x14ac:dyDescent="0.25">
      <c r="A77" s="7">
        <v>74</v>
      </c>
      <c r="D77" s="22" t="s">
        <v>103</v>
      </c>
      <c r="E77" s="10"/>
      <c r="F77" s="10"/>
      <c r="G77" s="28"/>
      <c r="H77" s="12">
        <v>50</v>
      </c>
      <c r="I77" s="8" t="s">
        <v>2</v>
      </c>
      <c r="J77" s="3">
        <v>200</v>
      </c>
      <c r="K77" s="3">
        <v>2</v>
      </c>
      <c r="L77" s="3">
        <v>0</v>
      </c>
      <c r="M77" s="3">
        <v>0</v>
      </c>
      <c r="N77" s="3">
        <v>0</v>
      </c>
      <c r="O77" s="3">
        <v>0</v>
      </c>
      <c r="P77" s="4">
        <f t="shared" si="1"/>
        <v>248</v>
      </c>
      <c r="R77" s="44">
        <v>60</v>
      </c>
      <c r="S77" s="47">
        <v>100</v>
      </c>
    </row>
    <row r="78" spans="1:20" x14ac:dyDescent="0.25">
      <c r="A78" s="8">
        <v>75</v>
      </c>
      <c r="D78" s="49" t="s">
        <v>108</v>
      </c>
      <c r="E78" s="20"/>
      <c r="F78" s="20"/>
      <c r="G78" s="20"/>
      <c r="H78" s="12">
        <v>1500</v>
      </c>
      <c r="I78" s="8" t="s">
        <v>110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  <c r="P78" s="4">
        <f t="shared" si="1"/>
        <v>1500</v>
      </c>
      <c r="R78" s="43">
        <v>1000</v>
      </c>
      <c r="S78" s="46">
        <v>10000</v>
      </c>
    </row>
    <row r="79" spans="1:20" x14ac:dyDescent="0.25">
      <c r="A79" s="48">
        <v>76</v>
      </c>
      <c r="B79" s="41"/>
      <c r="C79" s="41"/>
      <c r="D79" s="22" t="s">
        <v>115</v>
      </c>
      <c r="E79" s="10"/>
      <c r="F79" s="10"/>
      <c r="G79" s="11"/>
      <c r="H79" s="12">
        <v>160</v>
      </c>
      <c r="I79" s="62" t="s">
        <v>2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  <c r="P79" s="64">
        <f t="shared" si="1"/>
        <v>160</v>
      </c>
      <c r="R79" s="64">
        <v>50</v>
      </c>
      <c r="S79" s="64">
        <v>100</v>
      </c>
      <c r="T79" t="s">
        <v>75</v>
      </c>
    </row>
    <row r="80" spans="1:20" x14ac:dyDescent="0.25">
      <c r="A80" s="73">
        <v>77</v>
      </c>
      <c r="B80" s="41"/>
      <c r="C80" s="41"/>
      <c r="D80" s="49" t="s">
        <v>134</v>
      </c>
      <c r="E80" s="35"/>
      <c r="F80" s="35"/>
      <c r="G80" s="60"/>
      <c r="H80" s="12">
        <v>85</v>
      </c>
      <c r="I80" s="8" t="s">
        <v>2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  <c r="P80" s="4">
        <f t="shared" si="1"/>
        <v>85</v>
      </c>
      <c r="Q80" s="4"/>
      <c r="R80" s="4">
        <v>20</v>
      </c>
      <c r="S80" s="4">
        <v>50</v>
      </c>
    </row>
    <row r="81" spans="1:19" x14ac:dyDescent="0.25">
      <c r="A81" s="8">
        <v>78</v>
      </c>
      <c r="D81" s="22" t="s">
        <v>123</v>
      </c>
      <c r="E81" s="10"/>
      <c r="F81" s="10"/>
      <c r="G81" s="11"/>
      <c r="H81" s="12">
        <v>3500</v>
      </c>
      <c r="I81" s="8" t="s">
        <v>2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  <c r="P81" s="4">
        <f t="shared" si="1"/>
        <v>3500</v>
      </c>
      <c r="Q81" s="4"/>
      <c r="R81" s="4">
        <v>100</v>
      </c>
      <c r="S81" s="4">
        <v>500</v>
      </c>
    </row>
    <row r="82" spans="1:19" x14ac:dyDescent="0.25">
      <c r="A82" s="48">
        <v>79</v>
      </c>
      <c r="B82" s="41"/>
      <c r="C82" s="41"/>
      <c r="D82" s="22" t="s">
        <v>126</v>
      </c>
      <c r="E82" s="10"/>
      <c r="F82" s="10"/>
      <c r="G82" s="11"/>
      <c r="H82" s="4">
        <v>5</v>
      </c>
      <c r="I82" s="8" t="s">
        <v>2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  <c r="P82" s="4">
        <f t="shared" si="1"/>
        <v>5</v>
      </c>
      <c r="Q82" s="4"/>
      <c r="R82" s="4"/>
      <c r="S82" s="4"/>
    </row>
    <row r="83" spans="1:19" x14ac:dyDescent="0.25">
      <c r="A83" s="48">
        <v>80</v>
      </c>
      <c r="B83" s="41"/>
      <c r="C83" s="41"/>
      <c r="D83" s="37" t="s">
        <v>127</v>
      </c>
      <c r="E83" s="17"/>
      <c r="F83" s="17"/>
      <c r="G83" s="18"/>
      <c r="H83" s="64">
        <v>5</v>
      </c>
      <c r="I83" s="62" t="s">
        <v>2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64">
        <f t="shared" si="1"/>
        <v>5</v>
      </c>
      <c r="Q83" s="64"/>
      <c r="R83" s="64"/>
      <c r="S83" s="64"/>
    </row>
    <row r="84" spans="1:19" x14ac:dyDescent="0.25">
      <c r="A84" s="48">
        <v>81</v>
      </c>
      <c r="B84" s="11"/>
      <c r="C84" s="23"/>
      <c r="D84" s="23" t="s">
        <v>149</v>
      </c>
      <c r="E84" s="23"/>
      <c r="F84" s="23"/>
      <c r="G84" s="23"/>
      <c r="H84" s="23">
        <v>20</v>
      </c>
      <c r="I84" s="8" t="s">
        <v>2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4">
        <f t="shared" si="1"/>
        <v>20</v>
      </c>
      <c r="Q84" s="4"/>
      <c r="R84" s="4"/>
      <c r="S84" s="4"/>
    </row>
    <row r="85" spans="1:19" x14ac:dyDescent="0.25">
      <c r="A85" s="8">
        <v>82</v>
      </c>
      <c r="D85" s="68" t="s">
        <v>148</v>
      </c>
      <c r="E85" s="27"/>
      <c r="F85" s="27"/>
      <c r="G85" s="28"/>
      <c r="H85" s="4">
        <v>80</v>
      </c>
      <c r="I85" s="8" t="s">
        <v>2</v>
      </c>
      <c r="J85" s="3">
        <v>0</v>
      </c>
      <c r="K85" s="3">
        <v>0</v>
      </c>
      <c r="L85" s="3">
        <v>0</v>
      </c>
      <c r="M85" s="3">
        <v>0</v>
      </c>
      <c r="N85" s="3">
        <v>3</v>
      </c>
      <c r="O85" s="3">
        <v>0</v>
      </c>
      <c r="P85" s="4">
        <f t="shared" si="1"/>
        <v>77</v>
      </c>
      <c r="Q85" s="4"/>
      <c r="R85" s="4"/>
      <c r="S85" s="4"/>
    </row>
    <row r="86" spans="1:19" ht="15.75" customHeight="1" x14ac:dyDescent="0.25">
      <c r="A86" s="8">
        <v>83</v>
      </c>
      <c r="D86" s="22" t="s">
        <v>150</v>
      </c>
      <c r="E86" s="10"/>
      <c r="F86" s="27"/>
      <c r="G86" s="28"/>
      <c r="H86" s="4">
        <v>150</v>
      </c>
      <c r="I86" s="8" t="s">
        <v>2</v>
      </c>
      <c r="J86" s="4"/>
      <c r="K86" s="4"/>
      <c r="L86" s="4"/>
      <c r="M86" s="4">
        <v>10</v>
      </c>
      <c r="N86" s="4">
        <v>1</v>
      </c>
      <c r="O86" s="4">
        <v>9</v>
      </c>
      <c r="P86" s="4">
        <f t="shared" si="1"/>
        <v>130</v>
      </c>
      <c r="Q86" s="4"/>
      <c r="R86" s="4">
        <v>50</v>
      </c>
      <c r="S86" s="4">
        <v>300</v>
      </c>
    </row>
  </sheetData>
  <pageMargins left="0.75" right="0.75" top="1" bottom="1" header="0.5" footer="0.5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T88"/>
  <sheetViews>
    <sheetView workbookViewId="0">
      <selection activeCell="O1" sqref="O1"/>
    </sheetView>
  </sheetViews>
  <sheetFormatPr defaultRowHeight="15" x14ac:dyDescent="0.25"/>
  <cols>
    <col min="1" max="1" width="5.5703125" customWidth="1"/>
    <col min="2" max="3" width="9.140625" hidden="1" customWidth="1"/>
    <col min="11" max="15" width="10.140625" bestFit="1" customWidth="1"/>
    <col min="17" max="17" width="4.85546875" customWidth="1"/>
    <col min="18" max="18" width="10" customWidth="1"/>
    <col min="19" max="19" width="11.140625" customWidth="1"/>
  </cols>
  <sheetData>
    <row r="1" spans="1:20" x14ac:dyDescent="0.25">
      <c r="G1" s="1"/>
      <c r="P1">
        <f>+H1+J1-K1-L1-M1-N1-O1</f>
        <v>0</v>
      </c>
    </row>
    <row r="2" spans="1:20" x14ac:dyDescent="0.25">
      <c r="A2" t="s">
        <v>14</v>
      </c>
      <c r="D2" t="s">
        <v>151</v>
      </c>
      <c r="O2" s="38" t="s">
        <v>14</v>
      </c>
      <c r="S2" s="50">
        <v>44837</v>
      </c>
    </row>
    <row r="3" spans="1:20" x14ac:dyDescent="0.25">
      <c r="A3" s="3" t="s">
        <v>15</v>
      </c>
      <c r="D3" s="9" t="s">
        <v>17</v>
      </c>
      <c r="E3" s="10"/>
      <c r="F3" s="10"/>
      <c r="G3" s="11"/>
      <c r="H3" s="12" t="s">
        <v>18</v>
      </c>
      <c r="I3" s="4" t="s">
        <v>19</v>
      </c>
      <c r="J3" s="3" t="s">
        <v>20</v>
      </c>
      <c r="K3" s="5">
        <v>44949</v>
      </c>
      <c r="L3" s="6">
        <v>44950</v>
      </c>
      <c r="M3" s="5">
        <v>44951</v>
      </c>
      <c r="N3" s="5">
        <v>44952</v>
      </c>
      <c r="O3" s="6">
        <v>44953</v>
      </c>
      <c r="P3" s="3" t="s">
        <v>21</v>
      </c>
      <c r="R3" s="42" t="s">
        <v>105</v>
      </c>
      <c r="S3" s="45" t="s">
        <v>104</v>
      </c>
    </row>
    <row r="4" spans="1:20" x14ac:dyDescent="0.25">
      <c r="A4" s="7">
        <v>1</v>
      </c>
      <c r="D4" s="13" t="s">
        <v>16</v>
      </c>
      <c r="E4" s="14"/>
      <c r="F4" s="14"/>
      <c r="G4" s="15"/>
      <c r="H4" s="12">
        <v>85</v>
      </c>
      <c r="I4" s="7" t="s">
        <v>1</v>
      </c>
      <c r="J4" s="3">
        <v>0</v>
      </c>
      <c r="K4" s="3">
        <v>0</v>
      </c>
      <c r="L4" s="3">
        <v>0</v>
      </c>
      <c r="M4" s="3">
        <v>0</v>
      </c>
      <c r="N4" s="3">
        <v>17</v>
      </c>
      <c r="O4" s="3">
        <v>0</v>
      </c>
      <c r="P4" s="4">
        <f t="shared" ref="P4:P67" si="0">+H4+J4-K4-L4-M4-N4-O4</f>
        <v>68</v>
      </c>
      <c r="Q4" t="s">
        <v>67</v>
      </c>
      <c r="R4" s="43">
        <v>100</v>
      </c>
      <c r="S4" s="46">
        <v>500</v>
      </c>
      <c r="T4" t="s">
        <v>75</v>
      </c>
    </row>
    <row r="5" spans="1:20" x14ac:dyDescent="0.25">
      <c r="A5" s="7">
        <v>2</v>
      </c>
      <c r="D5" s="9" t="s">
        <v>22</v>
      </c>
      <c r="E5" s="10"/>
      <c r="F5" s="10"/>
      <c r="G5" s="11"/>
      <c r="H5" s="12">
        <v>28</v>
      </c>
      <c r="I5" s="7" t="s">
        <v>2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4">
        <f t="shared" si="0"/>
        <v>28</v>
      </c>
      <c r="Q5" s="1" t="s">
        <v>14</v>
      </c>
      <c r="R5" s="44">
        <v>6</v>
      </c>
      <c r="S5" s="47">
        <v>10</v>
      </c>
    </row>
    <row r="6" spans="1:20" x14ac:dyDescent="0.25">
      <c r="A6" s="7">
        <v>3</v>
      </c>
      <c r="D6" s="16" t="s">
        <v>23</v>
      </c>
      <c r="E6" s="17"/>
      <c r="F6" s="17"/>
      <c r="G6" s="18"/>
      <c r="H6" s="12">
        <v>60</v>
      </c>
      <c r="I6" s="7" t="s">
        <v>2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4">
        <f t="shared" si="0"/>
        <v>60</v>
      </c>
      <c r="Q6" s="1" t="s">
        <v>14</v>
      </c>
      <c r="R6" s="44">
        <v>6</v>
      </c>
      <c r="S6" s="47">
        <v>10</v>
      </c>
    </row>
    <row r="7" spans="1:20" x14ac:dyDescent="0.25">
      <c r="A7" s="7">
        <v>4</v>
      </c>
      <c r="D7" s="9" t="s">
        <v>3</v>
      </c>
      <c r="E7" s="10"/>
      <c r="F7" s="10"/>
      <c r="G7" s="11"/>
      <c r="H7" s="12">
        <v>30</v>
      </c>
      <c r="I7" s="7" t="s">
        <v>2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4">
        <f t="shared" si="0"/>
        <v>30</v>
      </c>
      <c r="Q7" s="1" t="s">
        <v>14</v>
      </c>
      <c r="R7" s="44">
        <v>6</v>
      </c>
      <c r="S7" s="47">
        <v>10</v>
      </c>
    </row>
    <row r="8" spans="1:20" x14ac:dyDescent="0.25">
      <c r="A8" s="7">
        <v>5</v>
      </c>
      <c r="D8" s="16" t="s">
        <v>139</v>
      </c>
      <c r="E8" s="17"/>
      <c r="F8" s="17"/>
      <c r="G8" s="18"/>
      <c r="H8" s="12">
        <v>505</v>
      </c>
      <c r="I8" s="7" t="s">
        <v>2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4">
        <f t="shared" si="0"/>
        <v>505</v>
      </c>
      <c r="Q8" s="1" t="s">
        <v>14</v>
      </c>
      <c r="R8" s="44">
        <v>100</v>
      </c>
      <c r="S8" s="47">
        <v>400</v>
      </c>
    </row>
    <row r="9" spans="1:20" x14ac:dyDescent="0.25">
      <c r="A9" s="7">
        <v>6</v>
      </c>
      <c r="D9" s="9" t="s">
        <v>24</v>
      </c>
      <c r="E9" s="10"/>
      <c r="F9" s="10"/>
      <c r="G9" s="11"/>
      <c r="H9" s="12">
        <v>150</v>
      </c>
      <c r="I9" s="7" t="s">
        <v>2</v>
      </c>
      <c r="J9" s="3">
        <v>140</v>
      </c>
      <c r="K9" s="3">
        <v>0</v>
      </c>
      <c r="L9" s="3">
        <v>0</v>
      </c>
      <c r="M9" s="3">
        <v>0</v>
      </c>
      <c r="N9" s="3">
        <v>0</v>
      </c>
      <c r="O9" s="3">
        <v>2</v>
      </c>
      <c r="P9" s="4">
        <f t="shared" si="0"/>
        <v>288</v>
      </c>
      <c r="Q9" s="1" t="s">
        <v>14</v>
      </c>
      <c r="R9" s="44">
        <v>60</v>
      </c>
      <c r="S9" s="47">
        <v>200</v>
      </c>
    </row>
    <row r="10" spans="1:20" x14ac:dyDescent="0.25">
      <c r="A10" s="7">
        <v>7</v>
      </c>
      <c r="D10" s="16" t="s">
        <v>101</v>
      </c>
      <c r="E10" s="17"/>
      <c r="F10" s="17"/>
      <c r="G10" s="18"/>
      <c r="H10" s="12">
        <v>3380</v>
      </c>
      <c r="I10" s="7" t="s">
        <v>2</v>
      </c>
      <c r="J10" s="3">
        <v>0</v>
      </c>
      <c r="K10" s="3">
        <v>0</v>
      </c>
      <c r="L10" s="3">
        <v>2</v>
      </c>
      <c r="M10" s="3">
        <v>0</v>
      </c>
      <c r="N10" s="3">
        <v>80</v>
      </c>
      <c r="O10" s="3">
        <v>160</v>
      </c>
      <c r="P10" s="4">
        <f t="shared" si="0"/>
        <v>3138</v>
      </c>
      <c r="Q10" s="1" t="s">
        <v>14</v>
      </c>
      <c r="R10" s="44">
        <v>200</v>
      </c>
      <c r="S10" s="47">
        <v>500</v>
      </c>
    </row>
    <row r="11" spans="1:20" x14ac:dyDescent="0.25">
      <c r="A11" s="7">
        <v>8</v>
      </c>
      <c r="D11" s="9" t="s">
        <v>25</v>
      </c>
      <c r="E11" s="10"/>
      <c r="F11" s="10"/>
      <c r="G11" s="11"/>
      <c r="H11" s="12">
        <v>430</v>
      </c>
      <c r="I11" s="7" t="s">
        <v>2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4">
        <f t="shared" si="0"/>
        <v>430</v>
      </c>
      <c r="Q11" s="1" t="s">
        <v>14</v>
      </c>
      <c r="R11" s="44">
        <v>0</v>
      </c>
      <c r="S11" s="47">
        <v>0</v>
      </c>
    </row>
    <row r="12" spans="1:20" x14ac:dyDescent="0.25">
      <c r="A12" s="7">
        <v>9</v>
      </c>
      <c r="D12" s="16" t="s">
        <v>26</v>
      </c>
      <c r="E12" s="17"/>
      <c r="F12" s="17"/>
      <c r="G12" s="18"/>
      <c r="H12" s="12">
        <v>0</v>
      </c>
      <c r="I12" s="7" t="s">
        <v>2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4">
        <f t="shared" si="0"/>
        <v>0</v>
      </c>
      <c r="Q12" s="1" t="s">
        <v>14</v>
      </c>
      <c r="R12" s="44">
        <v>200</v>
      </c>
      <c r="S12" s="47">
        <v>400</v>
      </c>
    </row>
    <row r="13" spans="1:20" x14ac:dyDescent="0.25">
      <c r="A13" s="7">
        <v>10</v>
      </c>
      <c r="D13" s="9" t="s">
        <v>6</v>
      </c>
      <c r="E13" s="10"/>
      <c r="F13" s="10"/>
      <c r="G13" s="11"/>
      <c r="H13" s="12">
        <v>60</v>
      </c>
      <c r="I13" s="7" t="s">
        <v>2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4">
        <f t="shared" si="0"/>
        <v>60</v>
      </c>
      <c r="Q13" s="1" t="s">
        <v>14</v>
      </c>
      <c r="R13" s="44">
        <v>0</v>
      </c>
      <c r="S13" s="46"/>
    </row>
    <row r="14" spans="1:20" x14ac:dyDescent="0.25">
      <c r="A14" s="7">
        <v>11</v>
      </c>
      <c r="D14" s="16" t="s">
        <v>7</v>
      </c>
      <c r="E14" s="17"/>
      <c r="F14" s="17"/>
      <c r="G14" s="18"/>
      <c r="H14" s="12">
        <v>0</v>
      </c>
      <c r="I14" s="7" t="s">
        <v>2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4">
        <f t="shared" si="0"/>
        <v>0</v>
      </c>
      <c r="Q14" s="1" t="s">
        <v>14</v>
      </c>
      <c r="R14" s="44">
        <v>20</v>
      </c>
      <c r="S14" s="47">
        <v>50</v>
      </c>
    </row>
    <row r="15" spans="1:20" x14ac:dyDescent="0.25">
      <c r="A15" s="7">
        <v>12</v>
      </c>
      <c r="D15" s="9" t="s">
        <v>69</v>
      </c>
      <c r="E15" s="10"/>
      <c r="F15" s="10"/>
      <c r="G15" s="11"/>
      <c r="H15" s="12">
        <v>20</v>
      </c>
      <c r="I15" s="7" t="s">
        <v>2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4">
        <f t="shared" si="0"/>
        <v>20</v>
      </c>
      <c r="Q15" s="1" t="s">
        <v>14</v>
      </c>
      <c r="R15" s="44">
        <v>100</v>
      </c>
      <c r="S15" s="47">
        <v>200</v>
      </c>
    </row>
    <row r="16" spans="1:20" x14ac:dyDescent="0.25">
      <c r="A16" s="7">
        <v>13</v>
      </c>
      <c r="D16" s="16" t="s">
        <v>27</v>
      </c>
      <c r="E16" s="17"/>
      <c r="F16" s="17"/>
      <c r="G16" s="18"/>
      <c r="H16" s="12">
        <v>0</v>
      </c>
      <c r="I16" s="7" t="s">
        <v>2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4">
        <f t="shared" si="0"/>
        <v>0</v>
      </c>
      <c r="Q16" s="1" t="s">
        <v>14</v>
      </c>
      <c r="R16" s="44">
        <v>0</v>
      </c>
      <c r="S16" s="46"/>
    </row>
    <row r="17" spans="1:19" x14ac:dyDescent="0.25">
      <c r="A17" s="7">
        <v>14</v>
      </c>
      <c r="D17" s="9" t="s">
        <v>73</v>
      </c>
      <c r="E17" s="10"/>
      <c r="F17" s="10"/>
      <c r="G17" s="11"/>
      <c r="H17" s="12">
        <v>794</v>
      </c>
      <c r="I17" s="7" t="s">
        <v>2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4">
        <f t="shared" si="0"/>
        <v>794</v>
      </c>
      <c r="Q17" s="1" t="s">
        <v>14</v>
      </c>
      <c r="R17" s="44">
        <v>0</v>
      </c>
      <c r="S17" s="46"/>
    </row>
    <row r="18" spans="1:19" x14ac:dyDescent="0.25">
      <c r="A18" s="7">
        <v>15</v>
      </c>
      <c r="D18" s="16" t="s">
        <v>28</v>
      </c>
      <c r="E18" s="17"/>
      <c r="F18" s="17"/>
      <c r="G18" s="18"/>
      <c r="H18" s="12">
        <v>36</v>
      </c>
      <c r="I18" s="7" t="s">
        <v>2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4">
        <f t="shared" si="0"/>
        <v>36</v>
      </c>
      <c r="Q18" s="1" t="s">
        <v>14</v>
      </c>
      <c r="R18" s="44">
        <v>20</v>
      </c>
      <c r="S18" s="47">
        <v>50</v>
      </c>
    </row>
    <row r="19" spans="1:19" x14ac:dyDescent="0.25">
      <c r="A19" s="7">
        <v>16</v>
      </c>
      <c r="D19" s="9" t="s">
        <v>29</v>
      </c>
      <c r="E19" s="10"/>
      <c r="F19" s="10"/>
      <c r="G19" s="11"/>
      <c r="H19" s="12">
        <v>41</v>
      </c>
      <c r="I19" s="7" t="s">
        <v>2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4">
        <f t="shared" si="0"/>
        <v>41</v>
      </c>
      <c r="Q19" s="1" t="s">
        <v>14</v>
      </c>
      <c r="R19" s="44">
        <v>20</v>
      </c>
      <c r="S19" s="47">
        <v>50</v>
      </c>
    </row>
    <row r="20" spans="1:19" x14ac:dyDescent="0.25">
      <c r="A20" s="7">
        <v>17</v>
      </c>
      <c r="D20" s="16" t="s">
        <v>30</v>
      </c>
      <c r="E20" s="17"/>
      <c r="F20" s="17"/>
      <c r="G20" s="18"/>
      <c r="H20" s="12">
        <v>77</v>
      </c>
      <c r="I20" s="7" t="s">
        <v>2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4">
        <f t="shared" si="0"/>
        <v>77</v>
      </c>
      <c r="Q20" s="1" t="s">
        <v>14</v>
      </c>
      <c r="R20" s="44">
        <v>20</v>
      </c>
      <c r="S20" s="47">
        <v>50</v>
      </c>
    </row>
    <row r="21" spans="1:19" x14ac:dyDescent="0.25">
      <c r="A21" s="7">
        <v>18</v>
      </c>
      <c r="D21" s="9" t="s">
        <v>129</v>
      </c>
      <c r="E21" s="10"/>
      <c r="F21" s="10"/>
      <c r="G21" s="11"/>
      <c r="H21" s="12">
        <v>15</v>
      </c>
      <c r="I21" s="7" t="s">
        <v>2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4">
        <f t="shared" si="0"/>
        <v>15</v>
      </c>
      <c r="Q21" s="1" t="s">
        <v>14</v>
      </c>
      <c r="R21" s="44">
        <v>0</v>
      </c>
      <c r="S21" s="46"/>
    </row>
    <row r="22" spans="1:19" x14ac:dyDescent="0.25">
      <c r="A22" s="7">
        <v>19</v>
      </c>
      <c r="D22" s="55" t="s">
        <v>8</v>
      </c>
      <c r="E22" s="56"/>
      <c r="F22" s="56"/>
      <c r="G22" s="57"/>
      <c r="H22" s="12">
        <v>170</v>
      </c>
      <c r="I22" s="59" t="s">
        <v>1</v>
      </c>
      <c r="J22" s="3">
        <v>0</v>
      </c>
      <c r="K22" s="3">
        <v>0</v>
      </c>
      <c r="L22" s="3">
        <v>30</v>
      </c>
      <c r="M22" s="3">
        <v>0</v>
      </c>
      <c r="N22" s="3">
        <v>10</v>
      </c>
      <c r="O22" s="3">
        <v>10</v>
      </c>
      <c r="P22" s="46">
        <f t="shared" si="0"/>
        <v>120</v>
      </c>
      <c r="Q22" s="1" t="s">
        <v>14</v>
      </c>
      <c r="R22" s="44">
        <v>50</v>
      </c>
      <c r="S22" s="47">
        <v>200</v>
      </c>
    </row>
    <row r="23" spans="1:19" x14ac:dyDescent="0.25">
      <c r="A23" s="7">
        <v>20</v>
      </c>
      <c r="D23" s="9" t="s">
        <v>32</v>
      </c>
      <c r="E23" s="10"/>
      <c r="F23" s="10"/>
      <c r="G23" s="11"/>
      <c r="H23" s="12">
        <f>'ARALIK 3 HAFTA '!P23</f>
        <v>2000</v>
      </c>
      <c r="I23" s="7" t="s">
        <v>2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4">
        <f t="shared" si="0"/>
        <v>2000</v>
      </c>
      <c r="Q23" s="1" t="s">
        <v>14</v>
      </c>
      <c r="R23" s="44">
        <v>0</v>
      </c>
      <c r="S23" s="46"/>
    </row>
    <row r="24" spans="1:19" x14ac:dyDescent="0.25">
      <c r="A24" s="7">
        <v>21</v>
      </c>
      <c r="D24" s="16" t="s">
        <v>140</v>
      </c>
      <c r="E24" s="17"/>
      <c r="F24" s="17"/>
      <c r="G24" s="18"/>
      <c r="H24" s="12">
        <v>200</v>
      </c>
      <c r="I24" s="7" t="s">
        <v>2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4">
        <f t="shared" si="0"/>
        <v>200</v>
      </c>
      <c r="Q24" s="1" t="s">
        <v>14</v>
      </c>
      <c r="R24" s="44">
        <v>0</v>
      </c>
      <c r="S24" s="46"/>
    </row>
    <row r="25" spans="1:19" x14ac:dyDescent="0.25">
      <c r="A25" s="7">
        <v>22</v>
      </c>
      <c r="D25" s="9" t="s">
        <v>34</v>
      </c>
      <c r="E25" s="10"/>
      <c r="F25" s="10"/>
      <c r="G25" s="11"/>
      <c r="H25" s="12">
        <v>50</v>
      </c>
      <c r="I25" s="7" t="s">
        <v>2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4">
        <f t="shared" si="0"/>
        <v>50</v>
      </c>
      <c r="Q25" s="1" t="s">
        <v>14</v>
      </c>
      <c r="R25" s="44">
        <v>0</v>
      </c>
      <c r="S25" s="46"/>
    </row>
    <row r="26" spans="1:19" x14ac:dyDescent="0.25">
      <c r="A26" s="7">
        <v>23</v>
      </c>
      <c r="D26" s="16" t="s">
        <v>142</v>
      </c>
      <c r="E26" s="17"/>
      <c r="F26" s="17"/>
      <c r="G26" s="18"/>
      <c r="H26" s="12">
        <v>70</v>
      </c>
      <c r="I26" s="7" t="s">
        <v>2</v>
      </c>
      <c r="J26" s="3">
        <v>0</v>
      </c>
      <c r="K26" s="3">
        <v>0</v>
      </c>
      <c r="L26" s="3">
        <v>1</v>
      </c>
      <c r="M26" s="3">
        <v>0</v>
      </c>
      <c r="N26" s="3">
        <v>0</v>
      </c>
      <c r="O26" s="3">
        <v>0</v>
      </c>
      <c r="P26" s="4">
        <f t="shared" si="0"/>
        <v>69</v>
      </c>
      <c r="Q26" s="1" t="s">
        <v>14</v>
      </c>
      <c r="R26" s="44">
        <v>20</v>
      </c>
      <c r="S26" s="47">
        <v>50</v>
      </c>
    </row>
    <row r="27" spans="1:19" x14ac:dyDescent="0.25">
      <c r="A27" s="7">
        <v>24</v>
      </c>
      <c r="D27" s="9" t="s">
        <v>141</v>
      </c>
      <c r="E27" s="10"/>
      <c r="F27" s="10"/>
      <c r="G27" s="11"/>
      <c r="H27" s="12">
        <v>0</v>
      </c>
      <c r="I27" s="7" t="s">
        <v>2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  <c r="P27" s="4">
        <f t="shared" si="0"/>
        <v>0</v>
      </c>
      <c r="Q27" s="1"/>
      <c r="R27" s="44">
        <v>20</v>
      </c>
      <c r="S27" s="47">
        <v>50</v>
      </c>
    </row>
    <row r="28" spans="1:19" x14ac:dyDescent="0.25">
      <c r="A28" s="7">
        <v>25</v>
      </c>
      <c r="D28" s="9" t="s">
        <v>137</v>
      </c>
      <c r="E28" s="10"/>
      <c r="F28" s="10"/>
      <c r="G28" s="11"/>
      <c r="H28" s="12">
        <v>112</v>
      </c>
      <c r="I28" s="7" t="s">
        <v>2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4">
        <f t="shared" si="0"/>
        <v>112</v>
      </c>
      <c r="Q28" s="1" t="s">
        <v>14</v>
      </c>
      <c r="R28" s="44">
        <v>20</v>
      </c>
      <c r="S28" s="47">
        <v>50</v>
      </c>
    </row>
    <row r="29" spans="1:19" x14ac:dyDescent="0.25">
      <c r="A29" s="7">
        <v>26</v>
      </c>
      <c r="D29" s="9" t="s">
        <v>138</v>
      </c>
      <c r="E29" s="10"/>
      <c r="F29" s="10"/>
      <c r="G29" s="11"/>
      <c r="H29" s="12">
        <v>32</v>
      </c>
      <c r="I29" s="7" t="s">
        <v>2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4">
        <f t="shared" si="0"/>
        <v>32</v>
      </c>
      <c r="Q29" s="1"/>
      <c r="R29" s="44"/>
      <c r="S29" s="47"/>
    </row>
    <row r="30" spans="1:19" x14ac:dyDescent="0.25">
      <c r="A30" s="7">
        <v>27</v>
      </c>
      <c r="D30" s="16" t="s">
        <v>35</v>
      </c>
      <c r="E30" s="17"/>
      <c r="F30" s="17"/>
      <c r="G30" s="18"/>
      <c r="H30" s="12">
        <v>100</v>
      </c>
      <c r="I30" s="7" t="s">
        <v>2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4">
        <f t="shared" si="0"/>
        <v>100</v>
      </c>
      <c r="Q30" s="1" t="s">
        <v>14</v>
      </c>
      <c r="R30" s="44">
        <v>50</v>
      </c>
      <c r="S30" s="47">
        <v>100</v>
      </c>
    </row>
    <row r="31" spans="1:19" x14ac:dyDescent="0.25">
      <c r="A31" s="7">
        <v>28</v>
      </c>
      <c r="D31" s="9" t="s">
        <v>36</v>
      </c>
      <c r="E31" s="10"/>
      <c r="F31" s="10"/>
      <c r="G31" s="11"/>
      <c r="H31" s="12">
        <v>40</v>
      </c>
      <c r="I31" s="7" t="s">
        <v>2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40</v>
      </c>
      <c r="P31" s="4">
        <f t="shared" si="0"/>
        <v>0</v>
      </c>
      <c r="Q31" s="1" t="s">
        <v>14</v>
      </c>
      <c r="R31" s="44">
        <v>50</v>
      </c>
      <c r="S31" s="47">
        <v>100</v>
      </c>
    </row>
    <row r="32" spans="1:19" x14ac:dyDescent="0.25">
      <c r="A32" s="7">
        <v>29</v>
      </c>
      <c r="D32" s="16" t="s">
        <v>37</v>
      </c>
      <c r="E32" s="17"/>
      <c r="F32" s="17"/>
      <c r="G32" s="18"/>
      <c r="H32" s="12">
        <v>600</v>
      </c>
      <c r="I32" s="7" t="s">
        <v>2</v>
      </c>
      <c r="J32" s="3">
        <v>0</v>
      </c>
      <c r="K32" s="3">
        <v>0</v>
      </c>
      <c r="L32" s="3">
        <v>1</v>
      </c>
      <c r="M32" s="3">
        <v>0</v>
      </c>
      <c r="N32" s="3">
        <v>0</v>
      </c>
      <c r="O32" s="3">
        <v>0</v>
      </c>
      <c r="P32" s="4">
        <f t="shared" si="0"/>
        <v>599</v>
      </c>
      <c r="Q32" s="1" t="s">
        <v>14</v>
      </c>
      <c r="R32" s="44">
        <v>20</v>
      </c>
      <c r="S32" s="47">
        <v>50</v>
      </c>
    </row>
    <row r="33" spans="1:19" x14ac:dyDescent="0.25">
      <c r="A33" s="7">
        <v>30</v>
      </c>
      <c r="D33" s="9" t="s">
        <v>38</v>
      </c>
      <c r="E33" s="10"/>
      <c r="F33" s="10"/>
      <c r="G33" s="11"/>
      <c r="H33" s="12">
        <v>603</v>
      </c>
      <c r="I33" s="7" t="s">
        <v>2</v>
      </c>
      <c r="J33" s="3">
        <v>0</v>
      </c>
      <c r="K33" s="3">
        <v>0</v>
      </c>
      <c r="L33" s="3">
        <v>0</v>
      </c>
      <c r="M33" s="3">
        <v>0</v>
      </c>
      <c r="N33" s="3">
        <v>2</v>
      </c>
      <c r="O33" s="3">
        <v>0</v>
      </c>
      <c r="P33" s="4">
        <f t="shared" si="0"/>
        <v>601</v>
      </c>
      <c r="Q33" s="1" t="s">
        <v>14</v>
      </c>
      <c r="R33" s="44">
        <v>50</v>
      </c>
      <c r="S33" s="47">
        <v>100</v>
      </c>
    </row>
    <row r="34" spans="1:19" x14ac:dyDescent="0.25">
      <c r="A34" s="7">
        <v>31</v>
      </c>
      <c r="D34" s="16" t="s">
        <v>39</v>
      </c>
      <c r="E34" s="17"/>
      <c r="F34" s="17"/>
      <c r="G34" s="18"/>
      <c r="H34" s="12">
        <v>65</v>
      </c>
      <c r="I34" s="7" t="s">
        <v>2</v>
      </c>
      <c r="J34" s="3">
        <v>0</v>
      </c>
      <c r="K34" s="3">
        <v>0</v>
      </c>
      <c r="L34" s="3">
        <v>1</v>
      </c>
      <c r="M34" s="3">
        <v>0</v>
      </c>
      <c r="N34" s="3">
        <v>0</v>
      </c>
      <c r="O34" s="3">
        <v>0</v>
      </c>
      <c r="P34" s="4">
        <f t="shared" si="0"/>
        <v>64</v>
      </c>
      <c r="Q34" s="1" t="s">
        <v>14</v>
      </c>
      <c r="R34" s="44">
        <v>20</v>
      </c>
      <c r="S34" s="47">
        <v>50</v>
      </c>
    </row>
    <row r="35" spans="1:19" x14ac:dyDescent="0.25">
      <c r="A35" s="7">
        <v>32</v>
      </c>
      <c r="D35" s="9" t="s">
        <v>40</v>
      </c>
      <c r="E35" s="10"/>
      <c r="F35" s="10"/>
      <c r="G35" s="11"/>
      <c r="H35" s="12">
        <f>'ARALIK 3 HAFTA '!P33</f>
        <v>1075</v>
      </c>
      <c r="I35" s="7" t="s">
        <v>2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4">
        <f t="shared" si="0"/>
        <v>1075</v>
      </c>
      <c r="Q35" s="1" t="s">
        <v>14</v>
      </c>
      <c r="R35" s="44">
        <v>0</v>
      </c>
      <c r="S35" s="46"/>
    </row>
    <row r="36" spans="1:19" x14ac:dyDescent="0.25">
      <c r="A36" s="7">
        <v>33</v>
      </c>
      <c r="D36" s="9" t="s">
        <v>9</v>
      </c>
      <c r="E36" s="10"/>
      <c r="F36" s="10"/>
      <c r="G36" s="11"/>
      <c r="H36" s="12">
        <v>558</v>
      </c>
      <c r="I36" s="7" t="s">
        <v>2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4">
        <f t="shared" si="0"/>
        <v>558</v>
      </c>
      <c r="Q36" s="1" t="s">
        <v>14</v>
      </c>
      <c r="R36" s="44">
        <v>50</v>
      </c>
      <c r="S36" s="47">
        <v>100</v>
      </c>
    </row>
    <row r="37" spans="1:19" x14ac:dyDescent="0.25">
      <c r="A37" s="7">
        <v>34</v>
      </c>
      <c r="D37" s="19" t="s">
        <v>70</v>
      </c>
      <c r="E37" s="20"/>
      <c r="F37" s="20"/>
      <c r="G37" s="21"/>
      <c r="H37" s="69">
        <v>53</v>
      </c>
      <c r="I37" s="7" t="s">
        <v>2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4">
        <f t="shared" si="0"/>
        <v>53</v>
      </c>
      <c r="Q37" s="1" t="s">
        <v>14</v>
      </c>
      <c r="R37" s="44">
        <v>0</v>
      </c>
      <c r="S37" s="46"/>
    </row>
    <row r="38" spans="1:19" x14ac:dyDescent="0.25">
      <c r="A38" s="7">
        <v>35</v>
      </c>
      <c r="D38" s="16" t="s">
        <v>143</v>
      </c>
      <c r="E38" s="17"/>
      <c r="F38" s="17"/>
      <c r="G38" s="18"/>
      <c r="H38" s="12">
        <v>182</v>
      </c>
      <c r="I38" s="7" t="s">
        <v>2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4">
        <f t="shared" si="0"/>
        <v>182</v>
      </c>
      <c r="Q38" s="1" t="s">
        <v>14</v>
      </c>
      <c r="R38" s="44">
        <v>50</v>
      </c>
      <c r="S38" s="46">
        <v>100</v>
      </c>
    </row>
    <row r="39" spans="1:19" x14ac:dyDescent="0.25">
      <c r="A39" s="7">
        <v>36</v>
      </c>
      <c r="D39" s="9" t="s">
        <v>144</v>
      </c>
      <c r="E39" s="10"/>
      <c r="F39" s="10"/>
      <c r="G39" s="11"/>
      <c r="H39" s="12">
        <v>314</v>
      </c>
      <c r="I39" s="7" t="s">
        <v>2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4">
        <f t="shared" si="0"/>
        <v>314</v>
      </c>
      <c r="Q39" s="1" t="s">
        <v>14</v>
      </c>
      <c r="R39" s="44">
        <v>50</v>
      </c>
      <c r="S39" s="47">
        <v>100</v>
      </c>
    </row>
    <row r="40" spans="1:19" x14ac:dyDescent="0.25">
      <c r="A40" s="7">
        <v>37</v>
      </c>
      <c r="D40" s="16" t="s">
        <v>42</v>
      </c>
      <c r="E40" s="17"/>
      <c r="F40" s="17"/>
      <c r="G40" s="18"/>
      <c r="H40" s="12">
        <v>272</v>
      </c>
      <c r="I40" s="7" t="s">
        <v>2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4">
        <f t="shared" si="0"/>
        <v>272</v>
      </c>
      <c r="Q40" s="1" t="s">
        <v>14</v>
      </c>
      <c r="R40" s="44">
        <v>50</v>
      </c>
      <c r="S40" s="47">
        <v>100</v>
      </c>
    </row>
    <row r="41" spans="1:19" x14ac:dyDescent="0.25">
      <c r="A41" s="7">
        <v>38</v>
      </c>
      <c r="D41" s="9" t="s">
        <v>133</v>
      </c>
      <c r="E41" s="10"/>
      <c r="F41" s="10"/>
      <c r="G41" s="11"/>
      <c r="H41" s="12">
        <v>40</v>
      </c>
      <c r="I41" s="7" t="s">
        <v>2</v>
      </c>
      <c r="J41" s="3">
        <v>0</v>
      </c>
      <c r="K41" s="3">
        <v>0</v>
      </c>
      <c r="L41" s="3">
        <v>0</v>
      </c>
      <c r="M41" s="3">
        <v>0</v>
      </c>
      <c r="N41" s="3">
        <v>3</v>
      </c>
      <c r="O41" s="3">
        <v>0</v>
      </c>
      <c r="P41" s="4">
        <f t="shared" si="0"/>
        <v>37</v>
      </c>
      <c r="Q41" s="1" t="s">
        <v>14</v>
      </c>
      <c r="R41" s="44">
        <v>20</v>
      </c>
      <c r="S41" s="47">
        <v>50</v>
      </c>
    </row>
    <row r="42" spans="1:19" x14ac:dyDescent="0.25">
      <c r="A42" s="7">
        <v>39</v>
      </c>
      <c r="D42" s="16" t="s">
        <v>145</v>
      </c>
      <c r="E42" s="17"/>
      <c r="F42" s="17"/>
      <c r="G42" s="18"/>
      <c r="H42" s="12">
        <v>30</v>
      </c>
      <c r="I42" s="7" t="s">
        <v>2</v>
      </c>
      <c r="J42" s="3">
        <v>0</v>
      </c>
      <c r="K42" s="3">
        <v>0</v>
      </c>
      <c r="L42" s="3">
        <v>0</v>
      </c>
      <c r="M42" s="3">
        <v>0</v>
      </c>
      <c r="N42" s="3">
        <v>3</v>
      </c>
      <c r="O42" s="3">
        <v>0</v>
      </c>
      <c r="P42" s="4">
        <f t="shared" si="0"/>
        <v>27</v>
      </c>
      <c r="Q42" s="1" t="s">
        <v>14</v>
      </c>
      <c r="R42" s="44">
        <v>20</v>
      </c>
      <c r="S42" s="46">
        <v>50</v>
      </c>
    </row>
    <row r="43" spans="1:19" x14ac:dyDescent="0.25">
      <c r="A43" s="7">
        <v>40</v>
      </c>
      <c r="D43" s="9" t="s">
        <v>71</v>
      </c>
      <c r="E43" s="10"/>
      <c r="F43" s="10"/>
      <c r="G43" s="11"/>
      <c r="H43" s="12">
        <v>25</v>
      </c>
      <c r="I43" s="7" t="s">
        <v>2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4">
        <f t="shared" si="0"/>
        <v>25</v>
      </c>
      <c r="Q43" s="1" t="s">
        <v>14</v>
      </c>
      <c r="R43" s="44">
        <v>5</v>
      </c>
      <c r="S43" s="47">
        <v>10</v>
      </c>
    </row>
    <row r="44" spans="1:19" x14ac:dyDescent="0.25">
      <c r="A44" s="7">
        <v>41</v>
      </c>
      <c r="D44" s="16" t="s">
        <v>10</v>
      </c>
      <c r="E44" s="17"/>
      <c r="F44" s="17"/>
      <c r="G44" s="18"/>
      <c r="H44" s="12">
        <v>2974</v>
      </c>
      <c r="I44" s="7" t="s">
        <v>2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4">
        <f t="shared" si="0"/>
        <v>2974</v>
      </c>
      <c r="Q44" s="1" t="s">
        <v>14</v>
      </c>
      <c r="R44" s="44">
        <v>40</v>
      </c>
      <c r="S44" s="47">
        <v>100</v>
      </c>
    </row>
    <row r="45" spans="1:19" x14ac:dyDescent="0.25">
      <c r="A45" s="7">
        <v>42</v>
      </c>
      <c r="D45" s="9" t="s">
        <v>45</v>
      </c>
      <c r="E45" s="10"/>
      <c r="F45" s="10"/>
      <c r="G45" s="11"/>
      <c r="H45" s="12">
        <v>1512</v>
      </c>
      <c r="I45" s="7" t="s">
        <v>2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4">
        <f t="shared" si="0"/>
        <v>1512</v>
      </c>
      <c r="Q45" s="1" t="s">
        <v>14</v>
      </c>
      <c r="R45" s="44">
        <v>20</v>
      </c>
      <c r="S45" s="47">
        <v>50</v>
      </c>
    </row>
    <row r="46" spans="1:19" x14ac:dyDescent="0.25">
      <c r="A46" s="7">
        <v>43</v>
      </c>
      <c r="D46" s="16" t="s">
        <v>46</v>
      </c>
      <c r="E46" s="17"/>
      <c r="F46" s="17"/>
      <c r="G46" s="18"/>
      <c r="H46" s="12">
        <v>1512</v>
      </c>
      <c r="I46" s="7" t="s">
        <v>2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4">
        <f t="shared" si="0"/>
        <v>1512</v>
      </c>
      <c r="Q46" s="1" t="s">
        <v>14</v>
      </c>
      <c r="R46" s="44">
        <v>20</v>
      </c>
      <c r="S46" s="47">
        <v>50</v>
      </c>
    </row>
    <row r="47" spans="1:19" x14ac:dyDescent="0.25">
      <c r="A47" s="7">
        <v>44</v>
      </c>
      <c r="D47" s="9" t="s">
        <v>47</v>
      </c>
      <c r="E47" s="10"/>
      <c r="F47" s="10"/>
      <c r="G47" s="11"/>
      <c r="H47" s="12">
        <v>1527</v>
      </c>
      <c r="I47" s="7" t="s">
        <v>2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4">
        <f t="shared" si="0"/>
        <v>1527</v>
      </c>
      <c r="Q47" s="1" t="s">
        <v>14</v>
      </c>
      <c r="R47" s="44">
        <v>20</v>
      </c>
      <c r="S47" s="47">
        <v>50</v>
      </c>
    </row>
    <row r="48" spans="1:19" x14ac:dyDescent="0.25">
      <c r="A48" s="7">
        <v>45</v>
      </c>
      <c r="D48" s="16" t="s">
        <v>79</v>
      </c>
      <c r="E48" s="17"/>
      <c r="F48" s="17"/>
      <c r="G48" s="18"/>
      <c r="H48" s="12">
        <v>20</v>
      </c>
      <c r="I48" s="7" t="s">
        <v>2</v>
      </c>
      <c r="J48" s="3">
        <v>0</v>
      </c>
      <c r="K48" s="3">
        <v>0</v>
      </c>
      <c r="L48" s="3">
        <v>0</v>
      </c>
      <c r="M48" s="3">
        <v>0</v>
      </c>
      <c r="N48" s="3">
        <v>3</v>
      </c>
      <c r="O48" s="3">
        <v>0</v>
      </c>
      <c r="P48" s="4">
        <f t="shared" si="0"/>
        <v>17</v>
      </c>
      <c r="Q48" s="1" t="s">
        <v>14</v>
      </c>
      <c r="R48" s="44">
        <v>10</v>
      </c>
      <c r="S48" s="47">
        <v>20</v>
      </c>
    </row>
    <row r="49" spans="1:20" x14ac:dyDescent="0.25">
      <c r="A49" s="7">
        <v>46</v>
      </c>
      <c r="D49" s="9" t="s">
        <v>48</v>
      </c>
      <c r="E49" s="10"/>
      <c r="F49" s="10"/>
      <c r="G49" s="11"/>
      <c r="H49" s="12">
        <v>21</v>
      </c>
      <c r="I49" s="7" t="s">
        <v>2</v>
      </c>
      <c r="J49" s="3">
        <v>0</v>
      </c>
      <c r="K49" s="3">
        <v>0</v>
      </c>
      <c r="L49" s="3">
        <v>0</v>
      </c>
      <c r="M49" s="3">
        <v>0</v>
      </c>
      <c r="N49" s="3">
        <v>3</v>
      </c>
      <c r="O49" s="3">
        <v>0</v>
      </c>
      <c r="P49" s="4">
        <f t="shared" si="0"/>
        <v>18</v>
      </c>
      <c r="Q49" s="1" t="s">
        <v>14</v>
      </c>
      <c r="R49" s="44">
        <v>10</v>
      </c>
      <c r="S49" s="47">
        <v>20</v>
      </c>
      <c r="T49" t="s">
        <v>75</v>
      </c>
    </row>
    <row r="50" spans="1:20" x14ac:dyDescent="0.25">
      <c r="A50" s="7">
        <v>47</v>
      </c>
      <c r="D50" s="16" t="s">
        <v>49</v>
      </c>
      <c r="E50" s="17"/>
      <c r="F50" s="17"/>
      <c r="G50" s="18"/>
      <c r="H50" s="12">
        <v>20</v>
      </c>
      <c r="I50" s="7" t="s">
        <v>2</v>
      </c>
      <c r="J50" s="3">
        <v>0</v>
      </c>
      <c r="K50" s="3">
        <v>0</v>
      </c>
      <c r="L50" s="3">
        <v>0</v>
      </c>
      <c r="M50" s="3">
        <v>0</v>
      </c>
      <c r="N50" s="3">
        <v>3</v>
      </c>
      <c r="O50" s="3">
        <v>0</v>
      </c>
      <c r="P50" s="4">
        <f t="shared" si="0"/>
        <v>17</v>
      </c>
      <c r="Q50" s="1" t="s">
        <v>14</v>
      </c>
      <c r="R50" s="44">
        <v>10</v>
      </c>
      <c r="S50" s="47">
        <v>20</v>
      </c>
    </row>
    <row r="51" spans="1:20" x14ac:dyDescent="0.25">
      <c r="A51" s="7">
        <v>48</v>
      </c>
      <c r="D51" s="9" t="s">
        <v>11</v>
      </c>
      <c r="E51" s="10"/>
      <c r="F51" s="10"/>
      <c r="G51" s="11"/>
      <c r="H51" s="12">
        <v>232.5</v>
      </c>
      <c r="I51" s="7" t="s">
        <v>1</v>
      </c>
      <c r="J51" s="3">
        <v>0</v>
      </c>
      <c r="K51" s="3">
        <v>0</v>
      </c>
      <c r="L51" s="3">
        <v>140</v>
      </c>
      <c r="M51" s="3">
        <v>0</v>
      </c>
      <c r="N51" s="3">
        <v>0</v>
      </c>
      <c r="O51" s="3">
        <v>0</v>
      </c>
      <c r="P51" s="4">
        <f t="shared" si="0"/>
        <v>92.5</v>
      </c>
      <c r="Q51" s="1" t="s">
        <v>14</v>
      </c>
      <c r="R51" s="44">
        <v>20</v>
      </c>
      <c r="S51" s="47">
        <v>100</v>
      </c>
    </row>
    <row r="52" spans="1:20" x14ac:dyDescent="0.25">
      <c r="A52" s="7">
        <v>49</v>
      </c>
      <c r="D52" s="16" t="s">
        <v>111</v>
      </c>
      <c r="E52" s="17"/>
      <c r="F52" s="17"/>
      <c r="G52" s="18"/>
      <c r="H52" s="12">
        <v>55</v>
      </c>
      <c r="I52" s="7" t="s">
        <v>2</v>
      </c>
      <c r="J52" s="3">
        <v>0</v>
      </c>
      <c r="K52" s="3">
        <v>0</v>
      </c>
      <c r="L52" s="3">
        <v>0</v>
      </c>
      <c r="M52" s="3">
        <v>0</v>
      </c>
      <c r="N52" s="3">
        <v>30</v>
      </c>
      <c r="O52" s="3">
        <v>21</v>
      </c>
      <c r="P52" s="4">
        <f t="shared" si="0"/>
        <v>4</v>
      </c>
      <c r="Q52" s="1" t="s">
        <v>14</v>
      </c>
      <c r="R52" s="44">
        <v>30</v>
      </c>
      <c r="S52" s="47">
        <v>100</v>
      </c>
    </row>
    <row r="53" spans="1:20" x14ac:dyDescent="0.25">
      <c r="A53" s="7">
        <v>50</v>
      </c>
      <c r="D53" s="9" t="s">
        <v>51</v>
      </c>
      <c r="E53" s="10"/>
      <c r="F53" s="10"/>
      <c r="G53" s="11"/>
      <c r="H53" s="12">
        <v>98</v>
      </c>
      <c r="I53" s="7" t="s">
        <v>2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4">
        <f t="shared" si="0"/>
        <v>98</v>
      </c>
      <c r="Q53" s="1" t="s">
        <v>14</v>
      </c>
      <c r="R53" s="44">
        <v>20</v>
      </c>
      <c r="S53" s="47">
        <v>50</v>
      </c>
    </row>
    <row r="54" spans="1:20" x14ac:dyDescent="0.25">
      <c r="A54" s="7">
        <v>51</v>
      </c>
      <c r="D54" s="16" t="s">
        <v>52</v>
      </c>
      <c r="E54" s="17"/>
      <c r="F54" s="17"/>
      <c r="G54" s="18"/>
      <c r="H54" s="12">
        <v>139</v>
      </c>
      <c r="I54" s="7" t="s">
        <v>2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  <c r="P54" s="4">
        <f t="shared" si="0"/>
        <v>139</v>
      </c>
      <c r="Q54" s="1" t="s">
        <v>14</v>
      </c>
      <c r="R54" s="44">
        <v>20</v>
      </c>
      <c r="S54" s="47">
        <v>50</v>
      </c>
      <c r="T54" t="s">
        <v>75</v>
      </c>
    </row>
    <row r="55" spans="1:20" x14ac:dyDescent="0.25">
      <c r="A55" s="7">
        <v>52</v>
      </c>
      <c r="D55" s="9" t="s">
        <v>53</v>
      </c>
      <c r="E55" s="10"/>
      <c r="F55" s="10"/>
      <c r="G55" s="11"/>
      <c r="H55" s="12">
        <v>130</v>
      </c>
      <c r="I55" s="7" t="s">
        <v>2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  <c r="P55" s="4">
        <f t="shared" si="0"/>
        <v>130</v>
      </c>
      <c r="Q55" s="1" t="s">
        <v>14</v>
      </c>
      <c r="R55" s="44">
        <v>20</v>
      </c>
      <c r="S55" s="47">
        <v>50</v>
      </c>
    </row>
    <row r="56" spans="1:20" x14ac:dyDescent="0.25">
      <c r="A56" s="7">
        <v>53</v>
      </c>
      <c r="D56" s="70" t="s">
        <v>54</v>
      </c>
      <c r="E56" s="71"/>
      <c r="F56" s="71"/>
      <c r="G56" s="72"/>
      <c r="H56" s="12">
        <v>1410</v>
      </c>
      <c r="I56" s="7" t="s">
        <v>1</v>
      </c>
      <c r="J56" s="3">
        <v>0</v>
      </c>
      <c r="K56" s="3">
        <v>30</v>
      </c>
      <c r="L56" s="3">
        <v>45</v>
      </c>
      <c r="M56" s="3">
        <v>30</v>
      </c>
      <c r="N56" s="3">
        <v>15</v>
      </c>
      <c r="O56" s="3">
        <v>15</v>
      </c>
      <c r="P56" s="4">
        <f t="shared" si="0"/>
        <v>1275</v>
      </c>
      <c r="Q56" s="1" t="s">
        <v>120</v>
      </c>
      <c r="R56" s="44">
        <v>250</v>
      </c>
      <c r="S56" s="47">
        <v>750</v>
      </c>
    </row>
    <row r="57" spans="1:20" x14ac:dyDescent="0.25">
      <c r="A57" s="7">
        <v>54</v>
      </c>
      <c r="D57" s="16" t="s">
        <v>61</v>
      </c>
      <c r="E57" s="17"/>
      <c r="F57" s="17"/>
      <c r="G57" s="18"/>
      <c r="H57" s="12">
        <v>246</v>
      </c>
      <c r="I57" s="7" t="s">
        <v>2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  <c r="P57" s="4">
        <f t="shared" si="0"/>
        <v>246</v>
      </c>
      <c r="Q57" s="1" t="s">
        <v>14</v>
      </c>
      <c r="R57" s="44">
        <v>0</v>
      </c>
      <c r="S57" s="46"/>
    </row>
    <row r="58" spans="1:20" x14ac:dyDescent="0.25">
      <c r="A58" s="7">
        <v>55</v>
      </c>
      <c r="D58" s="9" t="s">
        <v>62</v>
      </c>
      <c r="E58" s="10"/>
      <c r="F58" s="10"/>
      <c r="G58" s="11"/>
      <c r="H58" s="12">
        <v>600</v>
      </c>
      <c r="I58" s="7" t="s">
        <v>2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4">
        <f t="shared" si="0"/>
        <v>600</v>
      </c>
      <c r="Q58" s="1" t="s">
        <v>14</v>
      </c>
      <c r="R58" s="44">
        <v>200</v>
      </c>
      <c r="S58" s="47">
        <v>1000</v>
      </c>
    </row>
    <row r="59" spans="1:20" x14ac:dyDescent="0.25">
      <c r="A59" s="7">
        <v>56</v>
      </c>
      <c r="D59" s="16" t="s">
        <v>13</v>
      </c>
      <c r="E59" s="17"/>
      <c r="F59" s="17"/>
      <c r="G59" s="18"/>
      <c r="H59" s="12">
        <v>297</v>
      </c>
      <c r="I59" s="7" t="s">
        <v>2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  <c r="P59" s="4">
        <f t="shared" si="0"/>
        <v>297</v>
      </c>
      <c r="Q59" s="1" t="s">
        <v>14</v>
      </c>
      <c r="R59" s="44">
        <v>100</v>
      </c>
      <c r="S59" s="47">
        <v>300</v>
      </c>
    </row>
    <row r="60" spans="1:20" x14ac:dyDescent="0.25">
      <c r="A60" s="7">
        <v>57</v>
      </c>
      <c r="D60" s="9" t="s">
        <v>72</v>
      </c>
      <c r="E60" s="10"/>
      <c r="F60" s="10"/>
      <c r="G60" s="11"/>
      <c r="H60" s="12">
        <v>350</v>
      </c>
      <c r="I60" s="7" t="s">
        <v>2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4">
        <f t="shared" si="0"/>
        <v>350</v>
      </c>
      <c r="Q60" s="1" t="s">
        <v>14</v>
      </c>
      <c r="R60" s="44">
        <v>100</v>
      </c>
      <c r="S60" s="47">
        <v>300</v>
      </c>
    </row>
    <row r="61" spans="1:20" x14ac:dyDescent="0.25">
      <c r="A61" s="7">
        <v>58</v>
      </c>
      <c r="D61" s="16" t="s">
        <v>63</v>
      </c>
      <c r="E61" s="17"/>
      <c r="F61" s="17"/>
      <c r="G61" s="18"/>
      <c r="H61" s="12">
        <v>0</v>
      </c>
      <c r="I61" s="7" t="s">
        <v>2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4">
        <f t="shared" si="0"/>
        <v>0</v>
      </c>
      <c r="Q61" s="1" t="s">
        <v>14</v>
      </c>
      <c r="R61" s="44">
        <v>100</v>
      </c>
      <c r="S61" s="47">
        <v>300</v>
      </c>
    </row>
    <row r="62" spans="1:20" x14ac:dyDescent="0.25">
      <c r="A62" s="7">
        <v>59</v>
      </c>
      <c r="D62" s="9" t="s">
        <v>77</v>
      </c>
      <c r="E62" s="10"/>
      <c r="F62" s="10"/>
      <c r="G62" s="11"/>
      <c r="H62" s="12">
        <v>1300</v>
      </c>
      <c r="I62" s="7" t="s">
        <v>2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4">
        <f t="shared" si="0"/>
        <v>1300</v>
      </c>
      <c r="Q62" s="1" t="s">
        <v>14</v>
      </c>
      <c r="R62" s="44">
        <v>100</v>
      </c>
      <c r="S62" s="47">
        <v>300</v>
      </c>
    </row>
    <row r="63" spans="1:20" x14ac:dyDescent="0.25">
      <c r="A63" s="7">
        <v>60</v>
      </c>
      <c r="D63" s="16" t="s">
        <v>130</v>
      </c>
      <c r="E63" s="17"/>
      <c r="F63" s="17"/>
      <c r="G63" s="18"/>
      <c r="H63" s="12">
        <v>10</v>
      </c>
      <c r="I63" s="7" t="s">
        <v>2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8</v>
      </c>
      <c r="P63" s="4">
        <f t="shared" si="0"/>
        <v>2</v>
      </c>
      <c r="Q63" s="1" t="s">
        <v>14</v>
      </c>
      <c r="R63" s="44">
        <v>0</v>
      </c>
      <c r="S63" s="46"/>
    </row>
    <row r="64" spans="1:20" x14ac:dyDescent="0.25">
      <c r="A64" s="7">
        <v>61</v>
      </c>
      <c r="D64" s="26" t="s">
        <v>146</v>
      </c>
      <c r="E64" s="27"/>
      <c r="F64" s="27"/>
      <c r="G64" s="28"/>
      <c r="H64" s="12">
        <v>53</v>
      </c>
      <c r="I64" s="30" t="s">
        <v>2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4">
        <f t="shared" si="0"/>
        <v>53</v>
      </c>
      <c r="Q64" s="1" t="s">
        <v>14</v>
      </c>
      <c r="R64" s="44">
        <v>50</v>
      </c>
      <c r="S64" s="47">
        <v>100</v>
      </c>
    </row>
    <row r="65" spans="1:20" x14ac:dyDescent="0.25">
      <c r="A65" s="7">
        <v>62</v>
      </c>
      <c r="D65" s="16" t="s">
        <v>65</v>
      </c>
      <c r="E65" s="17"/>
      <c r="F65" s="17"/>
      <c r="G65" s="18"/>
      <c r="H65" s="12">
        <v>59</v>
      </c>
      <c r="I65" s="7" t="s">
        <v>2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4">
        <f t="shared" si="0"/>
        <v>59</v>
      </c>
      <c r="Q65" s="1" t="s">
        <v>14</v>
      </c>
      <c r="R65" s="44">
        <v>0</v>
      </c>
      <c r="S65" s="46"/>
    </row>
    <row r="66" spans="1:20" x14ac:dyDescent="0.25">
      <c r="A66" s="7">
        <v>63</v>
      </c>
      <c r="D66" s="9" t="s">
        <v>66</v>
      </c>
      <c r="E66" s="10"/>
      <c r="F66" s="10"/>
      <c r="G66" s="11"/>
      <c r="H66" s="12">
        <v>150</v>
      </c>
      <c r="I66" s="7" t="s">
        <v>2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  <c r="P66" s="4">
        <f t="shared" si="0"/>
        <v>150</v>
      </c>
      <c r="Q66" s="1" t="s">
        <v>14</v>
      </c>
      <c r="R66" s="44">
        <v>300</v>
      </c>
      <c r="S66" s="47">
        <v>1000</v>
      </c>
    </row>
    <row r="67" spans="1:20" x14ac:dyDescent="0.25">
      <c r="A67" s="7">
        <v>64</v>
      </c>
      <c r="D67" s="19" t="s">
        <v>86</v>
      </c>
      <c r="E67" s="20"/>
      <c r="F67" s="20"/>
      <c r="G67" s="21"/>
      <c r="H67" s="12">
        <v>1550</v>
      </c>
      <c r="I67" s="7" t="s">
        <v>2</v>
      </c>
      <c r="J67" s="3">
        <v>0</v>
      </c>
      <c r="K67" s="3">
        <v>0</v>
      </c>
      <c r="L67" s="3">
        <v>0</v>
      </c>
      <c r="M67" s="3">
        <v>0</v>
      </c>
      <c r="N67" s="3">
        <v>10</v>
      </c>
      <c r="O67" s="3">
        <v>0</v>
      </c>
      <c r="P67" s="4">
        <f t="shared" si="0"/>
        <v>1540</v>
      </c>
      <c r="Q67" s="1" t="s">
        <v>14</v>
      </c>
      <c r="R67" s="44">
        <v>50</v>
      </c>
      <c r="S67" s="47">
        <v>150</v>
      </c>
    </row>
    <row r="68" spans="1:20" x14ac:dyDescent="0.25">
      <c r="A68" s="7">
        <v>65</v>
      </c>
      <c r="D68" s="22" t="s">
        <v>74</v>
      </c>
      <c r="E68" s="10"/>
      <c r="F68" s="10"/>
      <c r="G68" s="11"/>
      <c r="H68" s="12">
        <v>0</v>
      </c>
      <c r="I68" s="8" t="s">
        <v>75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4">
        <f t="shared" ref="P68:P88" si="1">+H68+J68-K68-L68-M68-N68-O68</f>
        <v>0</v>
      </c>
      <c r="Q68" s="1" t="s">
        <v>91</v>
      </c>
      <c r="R68" s="44">
        <v>65</v>
      </c>
      <c r="S68" s="47">
        <v>150</v>
      </c>
    </row>
    <row r="69" spans="1:20" x14ac:dyDescent="0.25">
      <c r="A69" s="7">
        <v>66</v>
      </c>
      <c r="C69" s="1" t="s">
        <v>14</v>
      </c>
      <c r="D69" s="22" t="s">
        <v>76</v>
      </c>
      <c r="E69" s="10"/>
      <c r="F69" s="10"/>
      <c r="G69" s="11"/>
      <c r="H69" s="12">
        <v>240</v>
      </c>
      <c r="I69" s="8" t="s">
        <v>2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4">
        <f t="shared" si="1"/>
        <v>240</v>
      </c>
      <c r="Q69" s="1" t="s">
        <v>14</v>
      </c>
      <c r="R69" s="44">
        <v>50</v>
      </c>
      <c r="S69" s="47">
        <v>100</v>
      </c>
    </row>
    <row r="70" spans="1:20" x14ac:dyDescent="0.25">
      <c r="A70" s="7">
        <v>67</v>
      </c>
      <c r="D70" s="25" t="s">
        <v>147</v>
      </c>
      <c r="H70" s="12">
        <v>53</v>
      </c>
      <c r="I70" s="30" t="s">
        <v>2</v>
      </c>
      <c r="J70" s="3">
        <v>150</v>
      </c>
      <c r="K70" s="3">
        <v>0</v>
      </c>
      <c r="L70" s="3">
        <v>0</v>
      </c>
      <c r="M70" s="3">
        <v>0</v>
      </c>
      <c r="N70" s="3">
        <v>0</v>
      </c>
      <c r="O70" s="3">
        <v>60</v>
      </c>
      <c r="P70" s="4">
        <f t="shared" si="1"/>
        <v>143</v>
      </c>
      <c r="Q70" s="1" t="s">
        <v>14</v>
      </c>
      <c r="R70" s="44">
        <v>50</v>
      </c>
      <c r="S70" s="47">
        <v>100</v>
      </c>
    </row>
    <row r="71" spans="1:20" x14ac:dyDescent="0.25">
      <c r="A71" s="7">
        <v>68</v>
      </c>
      <c r="D71" s="26" t="s">
        <v>80</v>
      </c>
      <c r="E71" s="27"/>
      <c r="F71" s="27"/>
      <c r="G71" s="28"/>
      <c r="H71" s="12">
        <v>0</v>
      </c>
      <c r="I71" s="8" t="s">
        <v>2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4">
        <f t="shared" si="1"/>
        <v>0</v>
      </c>
      <c r="Q71" s="1" t="s">
        <v>14</v>
      </c>
      <c r="R71" s="44">
        <v>0</v>
      </c>
      <c r="S71" s="46"/>
    </row>
    <row r="72" spans="1:20" x14ac:dyDescent="0.25">
      <c r="A72" s="7">
        <v>69</v>
      </c>
      <c r="D72" s="26" t="s">
        <v>84</v>
      </c>
      <c r="E72" s="27"/>
      <c r="F72" s="27"/>
      <c r="G72" s="28"/>
      <c r="H72" s="12">
        <f>'ARALIK 3 HAFTA '!P77</f>
        <v>50</v>
      </c>
      <c r="I72" s="8" t="s">
        <v>2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  <c r="P72" s="4">
        <f t="shared" si="1"/>
        <v>50</v>
      </c>
      <c r="Q72" s="1" t="s">
        <v>14</v>
      </c>
      <c r="R72" s="44">
        <v>100</v>
      </c>
      <c r="S72" s="47">
        <v>200</v>
      </c>
    </row>
    <row r="73" spans="1:20" x14ac:dyDescent="0.25">
      <c r="A73" s="7">
        <v>70</v>
      </c>
      <c r="D73" s="26" t="s">
        <v>85</v>
      </c>
      <c r="E73" s="27"/>
      <c r="F73" s="27"/>
      <c r="G73" s="28"/>
      <c r="H73" s="12">
        <f>'ARALIK 3 HAFTA '!P78</f>
        <v>0</v>
      </c>
      <c r="I73" s="8" t="s">
        <v>2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4">
        <f t="shared" si="1"/>
        <v>0</v>
      </c>
      <c r="R73" s="44">
        <v>0</v>
      </c>
      <c r="S73" s="46"/>
    </row>
    <row r="74" spans="1:20" x14ac:dyDescent="0.25">
      <c r="A74" s="7">
        <v>71</v>
      </c>
      <c r="D74" s="37" t="s">
        <v>99</v>
      </c>
      <c r="E74" s="17"/>
      <c r="F74" s="33"/>
      <c r="G74" s="33"/>
      <c r="H74" s="12">
        <v>693.7</v>
      </c>
      <c r="I74" s="8" t="s">
        <v>2</v>
      </c>
      <c r="J74" s="3">
        <v>0</v>
      </c>
      <c r="K74" s="3">
        <v>0</v>
      </c>
      <c r="L74" s="3">
        <v>25</v>
      </c>
      <c r="M74" s="3">
        <v>0</v>
      </c>
      <c r="N74" s="3">
        <v>0</v>
      </c>
      <c r="O74" s="3">
        <v>75</v>
      </c>
      <c r="P74" s="4">
        <f t="shared" si="1"/>
        <v>593.70000000000005</v>
      </c>
      <c r="Q74" s="1" t="s">
        <v>14</v>
      </c>
      <c r="R74" s="44">
        <v>100</v>
      </c>
      <c r="S74" s="47">
        <v>500</v>
      </c>
    </row>
    <row r="75" spans="1:20" x14ac:dyDescent="0.25">
      <c r="A75" s="7">
        <v>72</v>
      </c>
      <c r="D75" s="22" t="s">
        <v>100</v>
      </c>
      <c r="E75" s="10"/>
      <c r="F75" s="10"/>
      <c r="G75" s="28"/>
      <c r="H75" s="12">
        <v>0</v>
      </c>
      <c r="I75" s="8" t="s">
        <v>2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4">
        <f t="shared" si="1"/>
        <v>0</v>
      </c>
      <c r="R75" s="44">
        <v>0</v>
      </c>
      <c r="S75" s="46"/>
    </row>
    <row r="76" spans="1:20" x14ac:dyDescent="0.25">
      <c r="A76" s="7">
        <v>73</v>
      </c>
      <c r="D76" s="37" t="s">
        <v>113</v>
      </c>
      <c r="E76" s="17"/>
      <c r="F76" s="17"/>
      <c r="G76" s="33"/>
      <c r="H76" s="12">
        <v>186.6</v>
      </c>
      <c r="I76" s="8" t="s">
        <v>97</v>
      </c>
      <c r="J76" s="3">
        <v>55.2</v>
      </c>
      <c r="K76" s="3">
        <v>0</v>
      </c>
      <c r="L76" s="3">
        <v>168.3</v>
      </c>
      <c r="M76" s="3">
        <v>6.9</v>
      </c>
      <c r="N76" s="3">
        <v>0</v>
      </c>
      <c r="O76" s="3">
        <v>0</v>
      </c>
      <c r="P76" s="4">
        <f t="shared" si="1"/>
        <v>66.599999999999994</v>
      </c>
      <c r="Q76" s="65" t="s">
        <v>121</v>
      </c>
      <c r="R76" s="44">
        <v>30</v>
      </c>
      <c r="S76" s="47">
        <v>100</v>
      </c>
    </row>
    <row r="77" spans="1:20" x14ac:dyDescent="0.25">
      <c r="A77" s="7">
        <v>74</v>
      </c>
      <c r="D77" s="22" t="s">
        <v>103</v>
      </c>
      <c r="E77" s="10"/>
      <c r="F77" s="10"/>
      <c r="G77" s="28"/>
      <c r="H77" s="12">
        <v>248</v>
      </c>
      <c r="I77" s="8" t="s">
        <v>2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4">
        <f t="shared" si="1"/>
        <v>248</v>
      </c>
      <c r="R77" s="44">
        <v>60</v>
      </c>
      <c r="S77" s="47">
        <v>100</v>
      </c>
    </row>
    <row r="78" spans="1:20" x14ac:dyDescent="0.25">
      <c r="A78" s="8">
        <v>75</v>
      </c>
      <c r="D78" s="49" t="s">
        <v>108</v>
      </c>
      <c r="E78" s="20"/>
      <c r="F78" s="20"/>
      <c r="G78" s="20"/>
      <c r="H78" s="12">
        <v>1500</v>
      </c>
      <c r="I78" s="8" t="s">
        <v>110</v>
      </c>
      <c r="J78" s="3">
        <v>3000</v>
      </c>
      <c r="K78" s="3">
        <v>1500</v>
      </c>
      <c r="L78" s="3">
        <v>1500</v>
      </c>
      <c r="M78" s="3">
        <v>0</v>
      </c>
      <c r="N78" s="3">
        <v>0</v>
      </c>
      <c r="O78" s="3">
        <v>0</v>
      </c>
      <c r="P78" s="4">
        <f t="shared" si="1"/>
        <v>1500</v>
      </c>
      <c r="R78" s="43">
        <v>1000</v>
      </c>
      <c r="S78" s="46">
        <v>10000</v>
      </c>
    </row>
    <row r="79" spans="1:20" x14ac:dyDescent="0.25">
      <c r="A79" s="48">
        <v>76</v>
      </c>
      <c r="B79" s="41"/>
      <c r="C79" s="41"/>
      <c r="D79" s="22" t="s">
        <v>115</v>
      </c>
      <c r="E79" s="10"/>
      <c r="F79" s="10"/>
      <c r="G79" s="11"/>
      <c r="H79" s="12">
        <v>160</v>
      </c>
      <c r="I79" s="62" t="s">
        <v>2</v>
      </c>
      <c r="J79" s="3">
        <v>100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  <c r="P79" s="64">
        <f t="shared" si="1"/>
        <v>260</v>
      </c>
      <c r="R79" s="64">
        <v>50</v>
      </c>
      <c r="S79" s="64">
        <v>100</v>
      </c>
      <c r="T79" t="s">
        <v>75</v>
      </c>
    </row>
    <row r="80" spans="1:20" x14ac:dyDescent="0.25">
      <c r="A80" s="73">
        <v>77</v>
      </c>
      <c r="B80" s="41"/>
      <c r="C80" s="41"/>
      <c r="D80" s="49" t="s">
        <v>134</v>
      </c>
      <c r="E80" s="35"/>
      <c r="F80" s="35"/>
      <c r="G80" s="60"/>
      <c r="H80" s="12">
        <v>85</v>
      </c>
      <c r="I80" s="8" t="s">
        <v>2</v>
      </c>
      <c r="J80" s="3">
        <v>0</v>
      </c>
      <c r="K80" s="3">
        <v>0</v>
      </c>
      <c r="L80" s="3">
        <v>0</v>
      </c>
      <c r="M80" s="3">
        <v>0</v>
      </c>
      <c r="N80" s="3">
        <v>3</v>
      </c>
      <c r="O80" s="3">
        <v>0</v>
      </c>
      <c r="P80" s="4">
        <f t="shared" si="1"/>
        <v>82</v>
      </c>
      <c r="Q80" s="4"/>
      <c r="R80" s="4">
        <v>20</v>
      </c>
      <c r="S80" s="4">
        <v>50</v>
      </c>
    </row>
    <row r="81" spans="1:19" x14ac:dyDescent="0.25">
      <c r="A81" s="8">
        <v>78</v>
      </c>
      <c r="D81" s="22" t="s">
        <v>123</v>
      </c>
      <c r="E81" s="10"/>
      <c r="F81" s="10"/>
      <c r="G81" s="11"/>
      <c r="H81" s="12">
        <v>3500</v>
      </c>
      <c r="I81" s="8" t="s">
        <v>2</v>
      </c>
      <c r="J81" s="3">
        <v>0</v>
      </c>
      <c r="K81" s="3">
        <v>0</v>
      </c>
      <c r="L81" s="3">
        <v>0</v>
      </c>
      <c r="M81" s="3">
        <v>1000</v>
      </c>
      <c r="N81" s="3">
        <v>0</v>
      </c>
      <c r="O81" s="3">
        <v>0</v>
      </c>
      <c r="P81" s="4">
        <f t="shared" si="1"/>
        <v>2500</v>
      </c>
      <c r="Q81" s="4"/>
      <c r="R81" s="4">
        <v>100</v>
      </c>
      <c r="S81" s="4">
        <v>500</v>
      </c>
    </row>
    <row r="82" spans="1:19" x14ac:dyDescent="0.25">
      <c r="A82" s="48">
        <v>79</v>
      </c>
      <c r="B82" s="41"/>
      <c r="C82" s="41"/>
      <c r="D82" s="22" t="s">
        <v>154</v>
      </c>
      <c r="E82" s="10"/>
      <c r="F82" s="10"/>
      <c r="G82" s="11"/>
      <c r="H82" s="4">
        <v>15</v>
      </c>
      <c r="I82" s="8" t="s">
        <v>2</v>
      </c>
      <c r="J82" s="3">
        <v>5</v>
      </c>
      <c r="K82" s="3">
        <v>5</v>
      </c>
      <c r="L82" s="3">
        <v>0</v>
      </c>
      <c r="M82" s="3">
        <v>0</v>
      </c>
      <c r="N82" s="3">
        <v>0</v>
      </c>
      <c r="O82" s="3">
        <v>0</v>
      </c>
      <c r="P82" s="4">
        <f t="shared" si="1"/>
        <v>15</v>
      </c>
      <c r="Q82" s="4"/>
      <c r="R82" s="4"/>
      <c r="S82" s="4"/>
    </row>
    <row r="83" spans="1:19" x14ac:dyDescent="0.25">
      <c r="A83" s="48">
        <v>80</v>
      </c>
      <c r="B83" s="41"/>
      <c r="C83" s="41"/>
      <c r="D83" s="37" t="s">
        <v>155</v>
      </c>
      <c r="E83" s="17"/>
      <c r="F83" s="17"/>
      <c r="G83" s="18"/>
      <c r="H83" s="64">
        <v>15</v>
      </c>
      <c r="I83" s="62" t="s">
        <v>2</v>
      </c>
      <c r="J83" s="3">
        <v>5</v>
      </c>
      <c r="K83" s="3">
        <v>5</v>
      </c>
      <c r="L83" s="3">
        <v>0</v>
      </c>
      <c r="M83" s="3">
        <v>0</v>
      </c>
      <c r="N83" s="3">
        <v>0</v>
      </c>
      <c r="O83" s="3">
        <v>0</v>
      </c>
      <c r="P83" s="64">
        <f t="shared" si="1"/>
        <v>15</v>
      </c>
      <c r="Q83" s="64"/>
      <c r="R83" s="64"/>
      <c r="S83" s="64"/>
    </row>
    <row r="84" spans="1:19" x14ac:dyDescent="0.25">
      <c r="A84" s="48">
        <v>81</v>
      </c>
      <c r="B84" s="11"/>
      <c r="C84" s="23"/>
      <c r="D84" s="23" t="s">
        <v>149</v>
      </c>
      <c r="E84" s="23"/>
      <c r="F84" s="23"/>
      <c r="G84" s="23"/>
      <c r="H84" s="23">
        <v>20</v>
      </c>
      <c r="I84" s="8" t="s">
        <v>2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4">
        <f t="shared" si="1"/>
        <v>20</v>
      </c>
      <c r="Q84" s="4"/>
      <c r="R84" s="4"/>
      <c r="S84" s="4"/>
    </row>
    <row r="85" spans="1:19" x14ac:dyDescent="0.25">
      <c r="A85" s="8">
        <v>82</v>
      </c>
      <c r="D85" s="68" t="s">
        <v>148</v>
      </c>
      <c r="E85" s="27"/>
      <c r="F85" s="27"/>
      <c r="G85" s="28"/>
      <c r="H85" s="4">
        <v>77</v>
      </c>
      <c r="I85" s="8" t="s">
        <v>2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4">
        <f t="shared" si="1"/>
        <v>77</v>
      </c>
      <c r="Q85" s="4"/>
      <c r="R85" s="4"/>
      <c r="S85" s="4"/>
    </row>
    <row r="86" spans="1:19" ht="15.75" customHeight="1" x14ac:dyDescent="0.25">
      <c r="A86" s="8">
        <v>83</v>
      </c>
      <c r="D86" s="22" t="s">
        <v>150</v>
      </c>
      <c r="E86" s="10"/>
      <c r="F86" s="27"/>
      <c r="G86" s="28"/>
      <c r="H86" s="4">
        <v>130</v>
      </c>
      <c r="I86" s="8" t="s">
        <v>2</v>
      </c>
      <c r="J86" s="3">
        <v>0</v>
      </c>
      <c r="K86" s="3">
        <v>2</v>
      </c>
      <c r="L86" s="3">
        <v>0</v>
      </c>
      <c r="M86" s="3">
        <v>0</v>
      </c>
      <c r="N86" s="3">
        <v>0</v>
      </c>
      <c r="O86" s="3">
        <v>114</v>
      </c>
      <c r="P86" s="4">
        <f t="shared" si="1"/>
        <v>14</v>
      </c>
      <c r="Q86" s="4"/>
      <c r="R86" s="4">
        <v>50</v>
      </c>
      <c r="S86" s="4">
        <v>300</v>
      </c>
    </row>
    <row r="87" spans="1:19" x14ac:dyDescent="0.25">
      <c r="A87" s="8">
        <v>84</v>
      </c>
      <c r="D87" s="22" t="s">
        <v>152</v>
      </c>
      <c r="E87" s="10"/>
      <c r="F87" s="10"/>
      <c r="G87" s="11"/>
      <c r="H87" s="23">
        <v>1040</v>
      </c>
      <c r="I87" s="8" t="s">
        <v>2</v>
      </c>
      <c r="J87" s="4"/>
      <c r="K87" s="4">
        <v>4</v>
      </c>
      <c r="L87" s="4"/>
      <c r="M87" s="4">
        <v>30</v>
      </c>
      <c r="N87" s="4">
        <v>40</v>
      </c>
      <c r="O87" s="4"/>
      <c r="P87" s="4">
        <f t="shared" si="1"/>
        <v>966</v>
      </c>
      <c r="Q87" s="4"/>
      <c r="R87" s="4"/>
      <c r="S87" s="4"/>
    </row>
    <row r="88" spans="1:19" x14ac:dyDescent="0.25">
      <c r="A88" s="8">
        <v>85</v>
      </c>
      <c r="D88" s="49" t="s">
        <v>153</v>
      </c>
      <c r="E88" s="20"/>
      <c r="F88" s="20"/>
      <c r="G88" s="21"/>
      <c r="H88" s="23">
        <v>90</v>
      </c>
      <c r="I88" s="8" t="s">
        <v>2</v>
      </c>
      <c r="J88" s="4"/>
      <c r="K88" s="4">
        <v>2</v>
      </c>
      <c r="L88" s="4"/>
      <c r="M88" s="4"/>
      <c r="N88" s="4"/>
      <c r="O88" s="4"/>
      <c r="P88" s="4">
        <f t="shared" si="1"/>
        <v>88</v>
      </c>
      <c r="Q88" s="4"/>
      <c r="R88" s="4"/>
      <c r="S88" s="4"/>
    </row>
  </sheetData>
  <pageMargins left="0.75" right="0.75" top="1" bottom="1" header="0.5" footer="0.5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T89"/>
  <sheetViews>
    <sheetView workbookViewId="0">
      <selection activeCell="O87" sqref="O87"/>
    </sheetView>
  </sheetViews>
  <sheetFormatPr defaultRowHeight="15" x14ac:dyDescent="0.25"/>
  <cols>
    <col min="1" max="1" width="5.5703125" customWidth="1"/>
    <col min="2" max="3" width="9.140625" hidden="1" customWidth="1"/>
    <col min="11" max="15" width="10.140625" bestFit="1" customWidth="1"/>
    <col min="17" max="17" width="4.85546875" customWidth="1"/>
    <col min="18" max="18" width="10" customWidth="1"/>
    <col min="19" max="19" width="11.140625" customWidth="1"/>
  </cols>
  <sheetData>
    <row r="1" spans="1:20" x14ac:dyDescent="0.25">
      <c r="G1" s="1"/>
      <c r="P1">
        <f>+H1+J1-K1-L1-M1-N1-O1</f>
        <v>0</v>
      </c>
    </row>
    <row r="2" spans="1:20" x14ac:dyDescent="0.25">
      <c r="A2" t="s">
        <v>14</v>
      </c>
      <c r="D2" t="s">
        <v>156</v>
      </c>
      <c r="O2" s="38" t="s">
        <v>14</v>
      </c>
      <c r="S2" s="50">
        <v>44837</v>
      </c>
    </row>
    <row r="3" spans="1:20" x14ac:dyDescent="0.25">
      <c r="A3" s="3" t="s">
        <v>15</v>
      </c>
      <c r="D3" s="9" t="s">
        <v>17</v>
      </c>
      <c r="E3" s="10"/>
      <c r="F3" s="10"/>
      <c r="G3" s="11"/>
      <c r="H3" s="12" t="s">
        <v>18</v>
      </c>
      <c r="I3" s="4" t="s">
        <v>19</v>
      </c>
      <c r="J3" s="3" t="s">
        <v>20</v>
      </c>
      <c r="K3" s="5">
        <v>44956</v>
      </c>
      <c r="L3" s="6">
        <v>44957</v>
      </c>
      <c r="M3" s="5">
        <v>44958</v>
      </c>
      <c r="N3" s="5">
        <v>44959</v>
      </c>
      <c r="O3" s="6">
        <v>44960</v>
      </c>
      <c r="P3" s="3" t="s">
        <v>21</v>
      </c>
      <c r="R3" s="42" t="s">
        <v>105</v>
      </c>
      <c r="S3" s="45" t="s">
        <v>104</v>
      </c>
    </row>
    <row r="4" spans="1:20" x14ac:dyDescent="0.25">
      <c r="A4" s="7">
        <v>1</v>
      </c>
      <c r="D4" s="13" t="s">
        <v>16</v>
      </c>
      <c r="E4" s="14"/>
      <c r="F4" s="14"/>
      <c r="G4" s="15"/>
      <c r="H4" s="12">
        <v>68</v>
      </c>
      <c r="I4" s="7" t="s">
        <v>1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4">
        <f t="shared" ref="P4:P67" si="0">+H4+J4-K4-L4-M4-N4-O4</f>
        <v>68</v>
      </c>
      <c r="Q4" t="s">
        <v>67</v>
      </c>
      <c r="R4" s="43">
        <v>100</v>
      </c>
      <c r="S4" s="46">
        <v>500</v>
      </c>
      <c r="T4" t="s">
        <v>75</v>
      </c>
    </row>
    <row r="5" spans="1:20" x14ac:dyDescent="0.25">
      <c r="A5" s="7">
        <v>2</v>
      </c>
      <c r="D5" s="9" t="s">
        <v>22</v>
      </c>
      <c r="E5" s="10"/>
      <c r="F5" s="10"/>
      <c r="G5" s="11"/>
      <c r="H5" s="12">
        <v>28</v>
      </c>
      <c r="I5" s="7" t="s">
        <v>2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4">
        <f t="shared" si="0"/>
        <v>28</v>
      </c>
      <c r="Q5" s="1" t="s">
        <v>14</v>
      </c>
      <c r="R5" s="44">
        <v>6</v>
      </c>
      <c r="S5" s="47">
        <v>10</v>
      </c>
    </row>
    <row r="6" spans="1:20" x14ac:dyDescent="0.25">
      <c r="A6" s="7">
        <v>3</v>
      </c>
      <c r="D6" s="16" t="s">
        <v>23</v>
      </c>
      <c r="E6" s="17"/>
      <c r="F6" s="17"/>
      <c r="G6" s="18"/>
      <c r="H6" s="12">
        <v>60</v>
      </c>
      <c r="I6" s="7" t="s">
        <v>2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4">
        <f t="shared" si="0"/>
        <v>60</v>
      </c>
      <c r="Q6" s="1" t="s">
        <v>14</v>
      </c>
      <c r="R6" s="44">
        <v>6</v>
      </c>
      <c r="S6" s="47">
        <v>10</v>
      </c>
    </row>
    <row r="7" spans="1:20" x14ac:dyDescent="0.25">
      <c r="A7" s="7">
        <v>4</v>
      </c>
      <c r="D7" s="9" t="s">
        <v>3</v>
      </c>
      <c r="E7" s="10"/>
      <c r="F7" s="10"/>
      <c r="G7" s="11"/>
      <c r="H7" s="12">
        <v>30</v>
      </c>
      <c r="I7" s="7" t="s">
        <v>2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4">
        <f t="shared" si="0"/>
        <v>30</v>
      </c>
      <c r="Q7" s="1" t="s">
        <v>14</v>
      </c>
      <c r="R7" s="44">
        <v>6</v>
      </c>
      <c r="S7" s="47">
        <v>10</v>
      </c>
    </row>
    <row r="8" spans="1:20" x14ac:dyDescent="0.25">
      <c r="A8" s="7">
        <v>5</v>
      </c>
      <c r="D8" s="16" t="s">
        <v>139</v>
      </c>
      <c r="E8" s="17"/>
      <c r="F8" s="17"/>
      <c r="G8" s="18"/>
      <c r="H8" s="12">
        <v>505</v>
      </c>
      <c r="I8" s="7" t="s">
        <v>2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4">
        <f t="shared" si="0"/>
        <v>505</v>
      </c>
      <c r="Q8" s="1" t="s">
        <v>14</v>
      </c>
      <c r="R8" s="44">
        <v>100</v>
      </c>
      <c r="S8" s="47">
        <v>400</v>
      </c>
    </row>
    <row r="9" spans="1:20" x14ac:dyDescent="0.25">
      <c r="A9" s="7">
        <v>6</v>
      </c>
      <c r="D9" s="9" t="s">
        <v>24</v>
      </c>
      <c r="E9" s="10"/>
      <c r="F9" s="10"/>
      <c r="G9" s="11"/>
      <c r="H9" s="12">
        <v>288</v>
      </c>
      <c r="I9" s="7" t="s">
        <v>2</v>
      </c>
      <c r="J9" s="3">
        <v>60</v>
      </c>
      <c r="K9" s="3">
        <v>0</v>
      </c>
      <c r="L9" s="3">
        <v>0</v>
      </c>
      <c r="M9" s="3">
        <v>0</v>
      </c>
      <c r="N9" s="3">
        <v>0</v>
      </c>
      <c r="O9" s="3">
        <v>10</v>
      </c>
      <c r="P9" s="4">
        <f t="shared" si="0"/>
        <v>338</v>
      </c>
      <c r="Q9" s="1" t="s">
        <v>14</v>
      </c>
      <c r="R9" s="44">
        <v>60</v>
      </c>
      <c r="S9" s="47">
        <v>200</v>
      </c>
    </row>
    <row r="10" spans="1:20" x14ac:dyDescent="0.25">
      <c r="A10" s="7">
        <v>7</v>
      </c>
      <c r="D10" s="16" t="s">
        <v>101</v>
      </c>
      <c r="E10" s="17"/>
      <c r="F10" s="17"/>
      <c r="G10" s="18"/>
      <c r="H10" s="12">
        <v>3138</v>
      </c>
      <c r="I10" s="7" t="s">
        <v>2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20</v>
      </c>
      <c r="P10" s="4">
        <f t="shared" si="0"/>
        <v>3118</v>
      </c>
      <c r="Q10" s="1" t="s">
        <v>14</v>
      </c>
      <c r="R10" s="44">
        <v>200</v>
      </c>
      <c r="S10" s="47">
        <v>500</v>
      </c>
    </row>
    <row r="11" spans="1:20" x14ac:dyDescent="0.25">
      <c r="A11" s="7">
        <v>8</v>
      </c>
      <c r="D11" s="9" t="s">
        <v>25</v>
      </c>
      <c r="E11" s="10"/>
      <c r="F11" s="10"/>
      <c r="G11" s="11"/>
      <c r="H11" s="12">
        <v>430</v>
      </c>
      <c r="I11" s="7" t="s">
        <v>2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4">
        <f t="shared" si="0"/>
        <v>430</v>
      </c>
      <c r="Q11" s="1" t="s">
        <v>14</v>
      </c>
      <c r="R11" s="44">
        <v>0</v>
      </c>
      <c r="S11" s="47">
        <v>0</v>
      </c>
    </row>
    <row r="12" spans="1:20" x14ac:dyDescent="0.25">
      <c r="A12" s="7">
        <v>9</v>
      </c>
      <c r="D12" s="16" t="s">
        <v>26</v>
      </c>
      <c r="E12" s="17"/>
      <c r="F12" s="17"/>
      <c r="G12" s="18"/>
      <c r="H12" s="12">
        <v>0</v>
      </c>
      <c r="I12" s="7" t="s">
        <v>2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4">
        <f t="shared" si="0"/>
        <v>0</v>
      </c>
      <c r="Q12" s="1" t="s">
        <v>14</v>
      </c>
      <c r="R12" s="44">
        <v>200</v>
      </c>
      <c r="S12" s="47">
        <v>400</v>
      </c>
    </row>
    <row r="13" spans="1:20" x14ac:dyDescent="0.25">
      <c r="A13" s="7">
        <v>10</v>
      </c>
      <c r="D13" s="9" t="s">
        <v>6</v>
      </c>
      <c r="E13" s="10"/>
      <c r="F13" s="10"/>
      <c r="G13" s="11"/>
      <c r="H13" s="12">
        <v>60</v>
      </c>
      <c r="I13" s="7" t="s">
        <v>2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4">
        <f t="shared" si="0"/>
        <v>60</v>
      </c>
      <c r="Q13" s="1" t="s">
        <v>14</v>
      </c>
      <c r="R13" s="44">
        <v>0</v>
      </c>
      <c r="S13" s="46"/>
    </row>
    <row r="14" spans="1:20" x14ac:dyDescent="0.25">
      <c r="A14" s="7">
        <v>11</v>
      </c>
      <c r="D14" s="16" t="s">
        <v>7</v>
      </c>
      <c r="E14" s="17"/>
      <c r="F14" s="17"/>
      <c r="G14" s="18"/>
      <c r="H14" s="12">
        <v>0</v>
      </c>
      <c r="I14" s="7" t="s">
        <v>2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4">
        <f t="shared" si="0"/>
        <v>0</v>
      </c>
      <c r="Q14" s="1" t="s">
        <v>14</v>
      </c>
      <c r="R14" s="44">
        <v>20</v>
      </c>
      <c r="S14" s="47">
        <v>50</v>
      </c>
    </row>
    <row r="15" spans="1:20" x14ac:dyDescent="0.25">
      <c r="A15" s="7">
        <v>12</v>
      </c>
      <c r="D15" s="9" t="s">
        <v>69</v>
      </c>
      <c r="E15" s="10"/>
      <c r="F15" s="10"/>
      <c r="G15" s="11"/>
      <c r="H15" s="12">
        <v>20</v>
      </c>
      <c r="I15" s="7" t="s">
        <v>2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16</v>
      </c>
      <c r="P15" s="4">
        <f t="shared" si="0"/>
        <v>4</v>
      </c>
      <c r="Q15" s="1" t="s">
        <v>14</v>
      </c>
      <c r="R15" s="44">
        <v>100</v>
      </c>
      <c r="S15" s="47">
        <v>200</v>
      </c>
    </row>
    <row r="16" spans="1:20" x14ac:dyDescent="0.25">
      <c r="A16" s="7">
        <v>13</v>
      </c>
      <c r="D16" s="16" t="s">
        <v>27</v>
      </c>
      <c r="E16" s="17"/>
      <c r="F16" s="17"/>
      <c r="G16" s="18"/>
      <c r="H16" s="12">
        <v>0</v>
      </c>
      <c r="I16" s="7" t="s">
        <v>2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4">
        <f t="shared" si="0"/>
        <v>0</v>
      </c>
      <c r="Q16" s="1" t="s">
        <v>14</v>
      </c>
      <c r="R16" s="44">
        <v>0</v>
      </c>
      <c r="S16" s="46"/>
    </row>
    <row r="17" spans="1:19" x14ac:dyDescent="0.25">
      <c r="A17" s="7">
        <v>14</v>
      </c>
      <c r="D17" s="9" t="s">
        <v>73</v>
      </c>
      <c r="E17" s="10"/>
      <c r="F17" s="10"/>
      <c r="G17" s="11"/>
      <c r="H17" s="12">
        <v>794</v>
      </c>
      <c r="I17" s="7" t="s">
        <v>2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4">
        <f t="shared" si="0"/>
        <v>794</v>
      </c>
      <c r="Q17" s="1" t="s">
        <v>14</v>
      </c>
      <c r="R17" s="44">
        <v>0</v>
      </c>
      <c r="S17" s="46"/>
    </row>
    <row r="18" spans="1:19" x14ac:dyDescent="0.25">
      <c r="A18" s="7">
        <v>15</v>
      </c>
      <c r="D18" s="16" t="s">
        <v>28</v>
      </c>
      <c r="E18" s="17"/>
      <c r="F18" s="17"/>
      <c r="G18" s="18"/>
      <c r="H18" s="12">
        <v>36</v>
      </c>
      <c r="I18" s="7" t="s">
        <v>2</v>
      </c>
      <c r="J18" s="3">
        <v>0</v>
      </c>
      <c r="K18" s="3">
        <v>7</v>
      </c>
      <c r="L18" s="3">
        <v>0</v>
      </c>
      <c r="M18" s="3">
        <v>0</v>
      </c>
      <c r="N18" s="3">
        <v>0</v>
      </c>
      <c r="O18" s="3">
        <v>0</v>
      </c>
      <c r="P18" s="4">
        <f t="shared" si="0"/>
        <v>29</v>
      </c>
      <c r="Q18" s="1" t="s">
        <v>14</v>
      </c>
      <c r="R18" s="44">
        <v>20</v>
      </c>
      <c r="S18" s="47">
        <v>50</v>
      </c>
    </row>
    <row r="19" spans="1:19" x14ac:dyDescent="0.25">
      <c r="A19" s="7">
        <v>16</v>
      </c>
      <c r="D19" s="9" t="s">
        <v>29</v>
      </c>
      <c r="E19" s="10"/>
      <c r="F19" s="10"/>
      <c r="G19" s="11"/>
      <c r="H19" s="12">
        <v>41</v>
      </c>
      <c r="I19" s="7" t="s">
        <v>2</v>
      </c>
      <c r="J19" s="3">
        <v>0</v>
      </c>
      <c r="K19" s="3">
        <v>7</v>
      </c>
      <c r="L19" s="3">
        <v>0</v>
      </c>
      <c r="M19" s="3">
        <v>0</v>
      </c>
      <c r="N19" s="3">
        <v>0</v>
      </c>
      <c r="O19" s="3">
        <v>0</v>
      </c>
      <c r="P19" s="4">
        <f t="shared" si="0"/>
        <v>34</v>
      </c>
      <c r="Q19" s="1" t="s">
        <v>14</v>
      </c>
      <c r="R19" s="44">
        <v>20</v>
      </c>
      <c r="S19" s="47">
        <v>50</v>
      </c>
    </row>
    <row r="20" spans="1:19" x14ac:dyDescent="0.25">
      <c r="A20" s="7">
        <v>17</v>
      </c>
      <c r="D20" s="16" t="s">
        <v>30</v>
      </c>
      <c r="E20" s="17"/>
      <c r="F20" s="17"/>
      <c r="G20" s="18"/>
      <c r="H20" s="12">
        <v>77</v>
      </c>
      <c r="I20" s="7" t="s">
        <v>2</v>
      </c>
      <c r="J20" s="3">
        <v>0</v>
      </c>
      <c r="K20" s="3">
        <v>7</v>
      </c>
      <c r="L20" s="3">
        <v>0</v>
      </c>
      <c r="M20" s="3">
        <v>0</v>
      </c>
      <c r="N20" s="3">
        <v>0</v>
      </c>
      <c r="O20" s="3">
        <v>0</v>
      </c>
      <c r="P20" s="4">
        <f t="shared" si="0"/>
        <v>70</v>
      </c>
      <c r="Q20" s="1" t="s">
        <v>14</v>
      </c>
      <c r="R20" s="44">
        <v>20</v>
      </c>
      <c r="S20" s="47">
        <v>50</v>
      </c>
    </row>
    <row r="21" spans="1:19" x14ac:dyDescent="0.25">
      <c r="A21" s="7">
        <v>18</v>
      </c>
      <c r="D21" s="9" t="s">
        <v>129</v>
      </c>
      <c r="E21" s="10"/>
      <c r="F21" s="10"/>
      <c r="G21" s="11"/>
      <c r="H21" s="12">
        <v>15</v>
      </c>
      <c r="I21" s="7" t="s">
        <v>2</v>
      </c>
      <c r="J21" s="3">
        <v>0</v>
      </c>
      <c r="K21" s="3">
        <v>0</v>
      </c>
      <c r="L21" s="3">
        <v>0</v>
      </c>
      <c r="M21" s="3">
        <v>5</v>
      </c>
      <c r="N21" s="3">
        <v>0</v>
      </c>
      <c r="O21" s="3">
        <v>0</v>
      </c>
      <c r="P21" s="4">
        <f t="shared" si="0"/>
        <v>10</v>
      </c>
      <c r="Q21" s="1" t="s">
        <v>14</v>
      </c>
      <c r="R21" s="44">
        <v>0</v>
      </c>
      <c r="S21" s="46"/>
    </row>
    <row r="22" spans="1:19" x14ac:dyDescent="0.25">
      <c r="A22" s="7">
        <v>19</v>
      </c>
      <c r="D22" s="55" t="s">
        <v>8</v>
      </c>
      <c r="E22" s="56"/>
      <c r="F22" s="56"/>
      <c r="G22" s="57"/>
      <c r="H22" s="12">
        <v>120</v>
      </c>
      <c r="I22" s="59" t="s">
        <v>1</v>
      </c>
      <c r="J22" s="3">
        <v>0</v>
      </c>
      <c r="K22" s="3">
        <v>30</v>
      </c>
      <c r="L22" s="3">
        <v>10</v>
      </c>
      <c r="M22" s="3">
        <v>40</v>
      </c>
      <c r="N22" s="3">
        <v>30</v>
      </c>
      <c r="O22" s="3">
        <v>10</v>
      </c>
      <c r="P22" s="46">
        <f t="shared" si="0"/>
        <v>0</v>
      </c>
      <c r="Q22" s="1" t="s">
        <v>14</v>
      </c>
      <c r="R22" s="44">
        <v>50</v>
      </c>
      <c r="S22" s="47">
        <v>200</v>
      </c>
    </row>
    <row r="23" spans="1:19" x14ac:dyDescent="0.25">
      <c r="A23" s="7">
        <v>20</v>
      </c>
      <c r="D23" s="9" t="s">
        <v>32</v>
      </c>
      <c r="E23" s="10"/>
      <c r="F23" s="10"/>
      <c r="G23" s="11"/>
      <c r="H23" s="12">
        <f>'ARALIK 3 HAFTA '!P23</f>
        <v>2000</v>
      </c>
      <c r="I23" s="7" t="s">
        <v>2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4">
        <f t="shared" si="0"/>
        <v>2000</v>
      </c>
      <c r="Q23" s="1" t="s">
        <v>14</v>
      </c>
      <c r="R23" s="44">
        <v>0</v>
      </c>
      <c r="S23" s="46"/>
    </row>
    <row r="24" spans="1:19" x14ac:dyDescent="0.25">
      <c r="A24" s="7">
        <v>21</v>
      </c>
      <c r="D24" s="16" t="s">
        <v>140</v>
      </c>
      <c r="E24" s="17"/>
      <c r="F24" s="17"/>
      <c r="G24" s="18"/>
      <c r="H24" s="12">
        <v>200</v>
      </c>
      <c r="I24" s="7" t="s">
        <v>2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4">
        <f t="shared" si="0"/>
        <v>200</v>
      </c>
      <c r="Q24" s="1" t="s">
        <v>14</v>
      </c>
      <c r="R24" s="44">
        <v>0</v>
      </c>
      <c r="S24" s="46"/>
    </row>
    <row r="25" spans="1:19" x14ac:dyDescent="0.25">
      <c r="A25" s="7">
        <v>22</v>
      </c>
      <c r="D25" s="9" t="s">
        <v>34</v>
      </c>
      <c r="E25" s="10"/>
      <c r="F25" s="10"/>
      <c r="G25" s="11"/>
      <c r="H25" s="12">
        <v>50</v>
      </c>
      <c r="I25" s="7" t="s">
        <v>2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4">
        <f t="shared" si="0"/>
        <v>50</v>
      </c>
      <c r="Q25" s="1" t="s">
        <v>14</v>
      </c>
      <c r="R25" s="44">
        <v>0</v>
      </c>
      <c r="S25" s="46"/>
    </row>
    <row r="26" spans="1:19" x14ac:dyDescent="0.25">
      <c r="A26" s="7">
        <v>23</v>
      </c>
      <c r="D26" s="16" t="s">
        <v>142</v>
      </c>
      <c r="E26" s="17"/>
      <c r="F26" s="17"/>
      <c r="G26" s="18"/>
      <c r="H26" s="12">
        <v>69</v>
      </c>
      <c r="I26" s="7" t="s">
        <v>2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4">
        <f t="shared" si="0"/>
        <v>69</v>
      </c>
      <c r="Q26" s="1" t="s">
        <v>14</v>
      </c>
      <c r="R26" s="44">
        <v>20</v>
      </c>
      <c r="S26" s="47">
        <v>50</v>
      </c>
    </row>
    <row r="27" spans="1:19" x14ac:dyDescent="0.25">
      <c r="A27" s="7">
        <v>24</v>
      </c>
      <c r="D27" s="9" t="s">
        <v>141</v>
      </c>
      <c r="E27" s="10"/>
      <c r="F27" s="10"/>
      <c r="G27" s="11"/>
      <c r="H27" s="12">
        <v>0</v>
      </c>
      <c r="I27" s="7" t="s">
        <v>2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  <c r="P27" s="4">
        <f t="shared" si="0"/>
        <v>0</v>
      </c>
      <c r="Q27" s="1"/>
      <c r="R27" s="44">
        <v>20</v>
      </c>
      <c r="S27" s="47">
        <v>50</v>
      </c>
    </row>
    <row r="28" spans="1:19" x14ac:dyDescent="0.25">
      <c r="A28" s="7">
        <v>25</v>
      </c>
      <c r="D28" s="9" t="s">
        <v>137</v>
      </c>
      <c r="E28" s="10"/>
      <c r="F28" s="10"/>
      <c r="G28" s="11"/>
      <c r="H28" s="12">
        <v>112</v>
      </c>
      <c r="I28" s="7" t="s">
        <v>2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4">
        <f t="shared" si="0"/>
        <v>112</v>
      </c>
      <c r="Q28" s="1" t="s">
        <v>14</v>
      </c>
      <c r="R28" s="44">
        <v>20</v>
      </c>
      <c r="S28" s="47">
        <v>50</v>
      </c>
    </row>
    <row r="29" spans="1:19" x14ac:dyDescent="0.25">
      <c r="A29" s="7">
        <v>26</v>
      </c>
      <c r="D29" s="9" t="s">
        <v>138</v>
      </c>
      <c r="E29" s="10"/>
      <c r="F29" s="10"/>
      <c r="G29" s="11"/>
      <c r="H29" s="12">
        <v>32</v>
      </c>
      <c r="I29" s="7" t="s">
        <v>2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4">
        <f t="shared" si="0"/>
        <v>32</v>
      </c>
      <c r="Q29" s="1"/>
      <c r="R29" s="44"/>
      <c r="S29" s="47"/>
    </row>
    <row r="30" spans="1:19" x14ac:dyDescent="0.25">
      <c r="A30" s="7">
        <v>27</v>
      </c>
      <c r="D30" s="16" t="s">
        <v>35</v>
      </c>
      <c r="E30" s="17"/>
      <c r="F30" s="17"/>
      <c r="G30" s="18"/>
      <c r="H30" s="12">
        <v>100</v>
      </c>
      <c r="I30" s="7" t="s">
        <v>2</v>
      </c>
      <c r="J30" s="3">
        <v>400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4">
        <f t="shared" si="0"/>
        <v>500</v>
      </c>
      <c r="Q30" s="1" t="s">
        <v>14</v>
      </c>
      <c r="R30" s="44">
        <v>50</v>
      </c>
      <c r="S30" s="47">
        <v>100</v>
      </c>
    </row>
    <row r="31" spans="1:19" x14ac:dyDescent="0.25">
      <c r="A31" s="7">
        <v>28</v>
      </c>
      <c r="D31" s="9" t="s">
        <v>36</v>
      </c>
      <c r="E31" s="10"/>
      <c r="F31" s="10"/>
      <c r="G31" s="11"/>
      <c r="H31" s="12">
        <v>0</v>
      </c>
      <c r="I31" s="7" t="s">
        <v>2</v>
      </c>
      <c r="J31" s="3">
        <v>500</v>
      </c>
      <c r="K31" s="3">
        <v>0</v>
      </c>
      <c r="L31" s="3">
        <v>0</v>
      </c>
      <c r="M31" s="3">
        <v>0</v>
      </c>
      <c r="N31" s="3">
        <v>0</v>
      </c>
      <c r="O31" s="3">
        <v>454</v>
      </c>
      <c r="P31" s="4">
        <f t="shared" si="0"/>
        <v>46</v>
      </c>
      <c r="Q31" s="1" t="s">
        <v>14</v>
      </c>
      <c r="R31" s="44">
        <v>50</v>
      </c>
      <c r="S31" s="47">
        <v>100</v>
      </c>
    </row>
    <row r="32" spans="1:19" x14ac:dyDescent="0.25">
      <c r="A32" s="7">
        <v>29</v>
      </c>
      <c r="D32" s="16" t="s">
        <v>37</v>
      </c>
      <c r="E32" s="17"/>
      <c r="F32" s="17"/>
      <c r="G32" s="18"/>
      <c r="H32" s="12">
        <v>599</v>
      </c>
      <c r="I32" s="7" t="s">
        <v>2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4">
        <f t="shared" si="0"/>
        <v>599</v>
      </c>
      <c r="Q32" s="1" t="s">
        <v>14</v>
      </c>
      <c r="R32" s="44">
        <v>20</v>
      </c>
      <c r="S32" s="47">
        <v>50</v>
      </c>
    </row>
    <row r="33" spans="1:19" x14ac:dyDescent="0.25">
      <c r="A33" s="7">
        <v>30</v>
      </c>
      <c r="D33" s="9" t="s">
        <v>38</v>
      </c>
      <c r="E33" s="10"/>
      <c r="F33" s="10"/>
      <c r="G33" s="11"/>
      <c r="H33" s="12">
        <v>601</v>
      </c>
      <c r="I33" s="7" t="s">
        <v>2</v>
      </c>
      <c r="J33" s="3">
        <v>0</v>
      </c>
      <c r="K33" s="3">
        <v>0</v>
      </c>
      <c r="L33" s="3">
        <v>1</v>
      </c>
      <c r="M33" s="3">
        <v>0</v>
      </c>
      <c r="N33" s="3">
        <v>0</v>
      </c>
      <c r="O33" s="3">
        <v>0</v>
      </c>
      <c r="P33" s="4">
        <f t="shared" si="0"/>
        <v>600</v>
      </c>
      <c r="Q33" s="1" t="s">
        <v>14</v>
      </c>
      <c r="R33" s="44">
        <v>50</v>
      </c>
      <c r="S33" s="47">
        <v>100</v>
      </c>
    </row>
    <row r="34" spans="1:19" x14ac:dyDescent="0.25">
      <c r="A34" s="7">
        <v>31</v>
      </c>
      <c r="D34" s="16" t="s">
        <v>39</v>
      </c>
      <c r="E34" s="17"/>
      <c r="F34" s="17"/>
      <c r="G34" s="18"/>
      <c r="H34" s="12">
        <v>64</v>
      </c>
      <c r="I34" s="7" t="s">
        <v>2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4">
        <f t="shared" si="0"/>
        <v>64</v>
      </c>
      <c r="Q34" s="1" t="s">
        <v>14</v>
      </c>
      <c r="R34" s="44">
        <v>20</v>
      </c>
      <c r="S34" s="47">
        <v>50</v>
      </c>
    </row>
    <row r="35" spans="1:19" x14ac:dyDescent="0.25">
      <c r="A35" s="7">
        <v>32</v>
      </c>
      <c r="D35" s="9" t="s">
        <v>40</v>
      </c>
      <c r="E35" s="10"/>
      <c r="F35" s="10"/>
      <c r="G35" s="11"/>
      <c r="H35" s="12">
        <f>'ARALIK 3 HAFTA '!P33</f>
        <v>1075</v>
      </c>
      <c r="I35" s="7" t="s">
        <v>2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4">
        <f t="shared" si="0"/>
        <v>1075</v>
      </c>
      <c r="Q35" s="1" t="s">
        <v>14</v>
      </c>
      <c r="R35" s="44">
        <v>0</v>
      </c>
      <c r="S35" s="46"/>
    </row>
    <row r="36" spans="1:19" x14ac:dyDescent="0.25">
      <c r="A36" s="7">
        <v>33</v>
      </c>
      <c r="D36" s="9" t="s">
        <v>9</v>
      </c>
      <c r="E36" s="10"/>
      <c r="F36" s="10"/>
      <c r="G36" s="11"/>
      <c r="H36" s="12">
        <v>558</v>
      </c>
      <c r="I36" s="7" t="s">
        <v>2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4">
        <f t="shared" si="0"/>
        <v>558</v>
      </c>
      <c r="Q36" s="1" t="s">
        <v>14</v>
      </c>
      <c r="R36" s="44">
        <v>50</v>
      </c>
      <c r="S36" s="47">
        <v>100</v>
      </c>
    </row>
    <row r="37" spans="1:19" x14ac:dyDescent="0.25">
      <c r="A37" s="7">
        <v>34</v>
      </c>
      <c r="D37" s="19" t="s">
        <v>70</v>
      </c>
      <c r="E37" s="20"/>
      <c r="F37" s="20"/>
      <c r="G37" s="21"/>
      <c r="H37" s="69">
        <v>53</v>
      </c>
      <c r="I37" s="7" t="s">
        <v>2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4">
        <f t="shared" si="0"/>
        <v>53</v>
      </c>
      <c r="Q37" s="1" t="s">
        <v>14</v>
      </c>
      <c r="R37" s="44">
        <v>0</v>
      </c>
      <c r="S37" s="46"/>
    </row>
    <row r="38" spans="1:19" x14ac:dyDescent="0.25">
      <c r="A38" s="7">
        <v>35</v>
      </c>
      <c r="D38" s="16" t="s">
        <v>143</v>
      </c>
      <c r="E38" s="17"/>
      <c r="F38" s="17"/>
      <c r="G38" s="18"/>
      <c r="H38" s="12">
        <v>182</v>
      </c>
      <c r="I38" s="7" t="s">
        <v>2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4">
        <f t="shared" si="0"/>
        <v>182</v>
      </c>
      <c r="Q38" s="1" t="s">
        <v>14</v>
      </c>
      <c r="R38" s="44">
        <v>50</v>
      </c>
      <c r="S38" s="46">
        <v>100</v>
      </c>
    </row>
    <row r="39" spans="1:19" x14ac:dyDescent="0.25">
      <c r="A39" s="7">
        <v>36</v>
      </c>
      <c r="D39" s="9" t="s">
        <v>144</v>
      </c>
      <c r="E39" s="10"/>
      <c r="F39" s="10"/>
      <c r="G39" s="11"/>
      <c r="H39" s="12">
        <v>314</v>
      </c>
      <c r="I39" s="7" t="s">
        <v>2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4">
        <f t="shared" si="0"/>
        <v>314</v>
      </c>
      <c r="Q39" s="1" t="s">
        <v>14</v>
      </c>
      <c r="R39" s="44">
        <v>50</v>
      </c>
      <c r="S39" s="47">
        <v>100</v>
      </c>
    </row>
    <row r="40" spans="1:19" x14ac:dyDescent="0.25">
      <c r="A40" s="7">
        <v>37</v>
      </c>
      <c r="D40" s="16" t="s">
        <v>42</v>
      </c>
      <c r="E40" s="17"/>
      <c r="F40" s="17"/>
      <c r="G40" s="18"/>
      <c r="H40" s="12">
        <v>272</v>
      </c>
      <c r="I40" s="7" t="s">
        <v>2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4">
        <f t="shared" si="0"/>
        <v>272</v>
      </c>
      <c r="Q40" s="1" t="s">
        <v>14</v>
      </c>
      <c r="R40" s="44">
        <v>50</v>
      </c>
      <c r="S40" s="47">
        <v>100</v>
      </c>
    </row>
    <row r="41" spans="1:19" x14ac:dyDescent="0.25">
      <c r="A41" s="7">
        <v>38</v>
      </c>
      <c r="D41" s="9" t="s">
        <v>133</v>
      </c>
      <c r="E41" s="10"/>
      <c r="F41" s="10"/>
      <c r="G41" s="11"/>
      <c r="H41" s="12">
        <v>37</v>
      </c>
      <c r="I41" s="7" t="s">
        <v>2</v>
      </c>
      <c r="J41" s="3">
        <v>0</v>
      </c>
      <c r="K41" s="3">
        <v>0</v>
      </c>
      <c r="L41" s="3">
        <v>0</v>
      </c>
      <c r="M41" s="3">
        <v>5</v>
      </c>
      <c r="N41" s="3">
        <v>0</v>
      </c>
      <c r="O41" s="3">
        <v>0</v>
      </c>
      <c r="P41" s="4">
        <f t="shared" si="0"/>
        <v>32</v>
      </c>
      <c r="Q41" s="1" t="s">
        <v>14</v>
      </c>
      <c r="R41" s="44">
        <v>20</v>
      </c>
      <c r="S41" s="47">
        <v>50</v>
      </c>
    </row>
    <row r="42" spans="1:19" x14ac:dyDescent="0.25">
      <c r="A42" s="7">
        <v>39</v>
      </c>
      <c r="D42" s="16" t="s">
        <v>145</v>
      </c>
      <c r="E42" s="17"/>
      <c r="F42" s="17"/>
      <c r="G42" s="18"/>
      <c r="H42" s="12">
        <v>27</v>
      </c>
      <c r="I42" s="7" t="s">
        <v>2</v>
      </c>
      <c r="J42" s="3">
        <v>0</v>
      </c>
      <c r="K42" s="3">
        <v>0</v>
      </c>
      <c r="L42" s="3">
        <v>0</v>
      </c>
      <c r="M42" s="3">
        <v>5</v>
      </c>
      <c r="N42" s="3">
        <v>0</v>
      </c>
      <c r="O42" s="3">
        <v>0</v>
      </c>
      <c r="P42" s="4">
        <f t="shared" si="0"/>
        <v>22</v>
      </c>
      <c r="Q42" s="1" t="s">
        <v>14</v>
      </c>
      <c r="R42" s="44">
        <v>20</v>
      </c>
      <c r="S42" s="46">
        <v>50</v>
      </c>
    </row>
    <row r="43" spans="1:19" x14ac:dyDescent="0.25">
      <c r="A43" s="7">
        <v>40</v>
      </c>
      <c r="D43" s="9" t="s">
        <v>71</v>
      </c>
      <c r="E43" s="10"/>
      <c r="F43" s="10"/>
      <c r="G43" s="11"/>
      <c r="H43" s="12">
        <v>25</v>
      </c>
      <c r="I43" s="7" t="s">
        <v>2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4">
        <f t="shared" si="0"/>
        <v>25</v>
      </c>
      <c r="Q43" s="1" t="s">
        <v>14</v>
      </c>
      <c r="R43" s="44">
        <v>5</v>
      </c>
      <c r="S43" s="47">
        <v>10</v>
      </c>
    </row>
    <row r="44" spans="1:19" x14ac:dyDescent="0.25">
      <c r="A44" s="7">
        <v>41</v>
      </c>
      <c r="D44" s="16" t="s">
        <v>10</v>
      </c>
      <c r="E44" s="17"/>
      <c r="F44" s="17"/>
      <c r="G44" s="18"/>
      <c r="H44" s="12">
        <v>2974</v>
      </c>
      <c r="I44" s="7" t="s">
        <v>2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4">
        <f t="shared" si="0"/>
        <v>2974</v>
      </c>
      <c r="Q44" s="1" t="s">
        <v>14</v>
      </c>
      <c r="R44" s="44">
        <v>40</v>
      </c>
      <c r="S44" s="47">
        <v>100</v>
      </c>
    </row>
    <row r="45" spans="1:19" x14ac:dyDescent="0.25">
      <c r="A45" s="7">
        <v>42</v>
      </c>
      <c r="D45" s="9" t="s">
        <v>45</v>
      </c>
      <c r="E45" s="10"/>
      <c r="F45" s="10"/>
      <c r="G45" s="11"/>
      <c r="H45" s="12">
        <v>1512</v>
      </c>
      <c r="I45" s="7" t="s">
        <v>2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4">
        <f t="shared" si="0"/>
        <v>1512</v>
      </c>
      <c r="Q45" s="1" t="s">
        <v>14</v>
      </c>
      <c r="R45" s="44">
        <v>20</v>
      </c>
      <c r="S45" s="47">
        <v>50</v>
      </c>
    </row>
    <row r="46" spans="1:19" x14ac:dyDescent="0.25">
      <c r="A46" s="7">
        <v>43</v>
      </c>
      <c r="D46" s="16" t="s">
        <v>46</v>
      </c>
      <c r="E46" s="17"/>
      <c r="F46" s="17"/>
      <c r="G46" s="18"/>
      <c r="H46" s="12">
        <v>1512</v>
      </c>
      <c r="I46" s="7" t="s">
        <v>2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4">
        <f t="shared" si="0"/>
        <v>1512</v>
      </c>
      <c r="Q46" s="1" t="s">
        <v>14</v>
      </c>
      <c r="R46" s="44">
        <v>20</v>
      </c>
      <c r="S46" s="47">
        <v>50</v>
      </c>
    </row>
    <row r="47" spans="1:19" x14ac:dyDescent="0.25">
      <c r="A47" s="7">
        <v>44</v>
      </c>
      <c r="D47" s="9" t="s">
        <v>47</v>
      </c>
      <c r="E47" s="10"/>
      <c r="F47" s="10"/>
      <c r="G47" s="11"/>
      <c r="H47" s="12">
        <v>1527</v>
      </c>
      <c r="I47" s="7" t="s">
        <v>2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4">
        <f t="shared" si="0"/>
        <v>1527</v>
      </c>
      <c r="Q47" s="1" t="s">
        <v>14</v>
      </c>
      <c r="R47" s="44">
        <v>20</v>
      </c>
      <c r="S47" s="47">
        <v>50</v>
      </c>
    </row>
    <row r="48" spans="1:19" x14ac:dyDescent="0.25">
      <c r="A48" s="7">
        <v>45</v>
      </c>
      <c r="D48" s="16" t="s">
        <v>79</v>
      </c>
      <c r="E48" s="17"/>
      <c r="F48" s="17"/>
      <c r="G48" s="18"/>
      <c r="H48" s="12">
        <v>17</v>
      </c>
      <c r="I48" s="7" t="s">
        <v>2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4">
        <f t="shared" si="0"/>
        <v>17</v>
      </c>
      <c r="Q48" s="1" t="s">
        <v>14</v>
      </c>
      <c r="R48" s="44">
        <v>10</v>
      </c>
      <c r="S48" s="47">
        <v>20</v>
      </c>
    </row>
    <row r="49" spans="1:20" x14ac:dyDescent="0.25">
      <c r="A49" s="7">
        <v>46</v>
      </c>
      <c r="D49" s="9" t="s">
        <v>48</v>
      </c>
      <c r="E49" s="10"/>
      <c r="F49" s="10"/>
      <c r="G49" s="11"/>
      <c r="H49" s="12">
        <v>18</v>
      </c>
      <c r="I49" s="7" t="s">
        <v>2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4">
        <f t="shared" si="0"/>
        <v>18</v>
      </c>
      <c r="Q49" s="1" t="s">
        <v>14</v>
      </c>
      <c r="R49" s="44">
        <v>10</v>
      </c>
      <c r="S49" s="47">
        <v>20</v>
      </c>
      <c r="T49" t="s">
        <v>75</v>
      </c>
    </row>
    <row r="50" spans="1:20" x14ac:dyDescent="0.25">
      <c r="A50" s="7">
        <v>47</v>
      </c>
      <c r="D50" s="16" t="s">
        <v>49</v>
      </c>
      <c r="E50" s="17"/>
      <c r="F50" s="17"/>
      <c r="G50" s="18"/>
      <c r="H50" s="12">
        <v>17</v>
      </c>
      <c r="I50" s="7" t="s">
        <v>2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4">
        <f t="shared" si="0"/>
        <v>17</v>
      </c>
      <c r="Q50" s="1" t="s">
        <v>14</v>
      </c>
      <c r="R50" s="44">
        <v>10</v>
      </c>
      <c r="S50" s="47">
        <v>20</v>
      </c>
    </row>
    <row r="51" spans="1:20" x14ac:dyDescent="0.25">
      <c r="A51" s="7">
        <v>48</v>
      </c>
      <c r="D51" s="9" t="s">
        <v>11</v>
      </c>
      <c r="E51" s="10"/>
      <c r="F51" s="10"/>
      <c r="G51" s="11"/>
      <c r="H51" s="12">
        <v>92.5</v>
      </c>
      <c r="I51" s="7" t="s">
        <v>1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4">
        <f t="shared" si="0"/>
        <v>92.5</v>
      </c>
      <c r="Q51" s="1" t="s">
        <v>14</v>
      </c>
      <c r="R51" s="44">
        <v>20</v>
      </c>
      <c r="S51" s="47">
        <v>100</v>
      </c>
    </row>
    <row r="52" spans="1:20" x14ac:dyDescent="0.25">
      <c r="A52" s="7">
        <v>49</v>
      </c>
      <c r="D52" s="16" t="s">
        <v>111</v>
      </c>
      <c r="E52" s="17"/>
      <c r="F52" s="17"/>
      <c r="G52" s="18"/>
      <c r="H52" s="12">
        <v>55</v>
      </c>
      <c r="I52" s="7" t="s">
        <v>2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4">
        <f t="shared" si="0"/>
        <v>55</v>
      </c>
      <c r="Q52" s="1" t="s">
        <v>14</v>
      </c>
      <c r="R52" s="44">
        <v>30</v>
      </c>
      <c r="S52" s="47">
        <v>100</v>
      </c>
    </row>
    <row r="53" spans="1:20" x14ac:dyDescent="0.25">
      <c r="A53" s="7">
        <v>50</v>
      </c>
      <c r="D53" s="9" t="s">
        <v>51</v>
      </c>
      <c r="E53" s="10"/>
      <c r="F53" s="10"/>
      <c r="G53" s="11"/>
      <c r="H53" s="12">
        <v>98</v>
      </c>
      <c r="I53" s="7" t="s">
        <v>2</v>
      </c>
      <c r="J53" s="3">
        <v>0</v>
      </c>
      <c r="K53" s="3">
        <v>0</v>
      </c>
      <c r="L53" s="3">
        <v>6</v>
      </c>
      <c r="M53" s="3">
        <v>0</v>
      </c>
      <c r="N53" s="3">
        <v>0</v>
      </c>
      <c r="O53" s="3">
        <v>0</v>
      </c>
      <c r="P53" s="4">
        <f t="shared" si="0"/>
        <v>92</v>
      </c>
      <c r="Q53" s="1" t="s">
        <v>14</v>
      </c>
      <c r="R53" s="44">
        <v>20</v>
      </c>
      <c r="S53" s="47">
        <v>50</v>
      </c>
    </row>
    <row r="54" spans="1:20" x14ac:dyDescent="0.25">
      <c r="A54" s="7">
        <v>51</v>
      </c>
      <c r="D54" s="16" t="s">
        <v>52</v>
      </c>
      <c r="E54" s="17"/>
      <c r="F54" s="17"/>
      <c r="G54" s="18"/>
      <c r="H54" s="12">
        <v>139</v>
      </c>
      <c r="I54" s="7" t="s">
        <v>2</v>
      </c>
      <c r="J54" s="3">
        <v>0</v>
      </c>
      <c r="K54" s="3">
        <v>0</v>
      </c>
      <c r="L54" s="3">
        <v>6</v>
      </c>
      <c r="M54" s="3">
        <v>0</v>
      </c>
      <c r="N54" s="3">
        <v>0</v>
      </c>
      <c r="O54" s="3">
        <v>0</v>
      </c>
      <c r="P54" s="4">
        <f t="shared" si="0"/>
        <v>133</v>
      </c>
      <c r="Q54" s="1" t="s">
        <v>14</v>
      </c>
      <c r="R54" s="44">
        <v>20</v>
      </c>
      <c r="S54" s="47">
        <v>50</v>
      </c>
      <c r="T54" t="s">
        <v>75</v>
      </c>
    </row>
    <row r="55" spans="1:20" x14ac:dyDescent="0.25">
      <c r="A55" s="7">
        <v>52</v>
      </c>
      <c r="D55" s="9" t="s">
        <v>53</v>
      </c>
      <c r="E55" s="10"/>
      <c r="F55" s="10"/>
      <c r="G55" s="11"/>
      <c r="H55" s="12">
        <v>130</v>
      </c>
      <c r="I55" s="7" t="s">
        <v>2</v>
      </c>
      <c r="J55" s="3">
        <v>0</v>
      </c>
      <c r="K55" s="3">
        <v>0</v>
      </c>
      <c r="L55" s="3">
        <v>6</v>
      </c>
      <c r="M55" s="3">
        <v>0</v>
      </c>
      <c r="N55" s="3">
        <v>0</v>
      </c>
      <c r="O55" s="3">
        <v>0</v>
      </c>
      <c r="P55" s="4">
        <f t="shared" si="0"/>
        <v>124</v>
      </c>
      <c r="Q55" s="1" t="s">
        <v>14</v>
      </c>
      <c r="R55" s="44">
        <v>20</v>
      </c>
      <c r="S55" s="47">
        <v>50</v>
      </c>
    </row>
    <row r="56" spans="1:20" x14ac:dyDescent="0.25">
      <c r="A56" s="7">
        <v>53</v>
      </c>
      <c r="D56" s="70" t="s">
        <v>54</v>
      </c>
      <c r="E56" s="71"/>
      <c r="F56" s="71"/>
      <c r="G56" s="72"/>
      <c r="H56" s="12">
        <v>1275</v>
      </c>
      <c r="I56" s="7" t="s">
        <v>1</v>
      </c>
      <c r="J56" s="3">
        <v>0</v>
      </c>
      <c r="K56" s="3">
        <v>30</v>
      </c>
      <c r="L56" s="3">
        <v>30</v>
      </c>
      <c r="M56" s="3">
        <v>30</v>
      </c>
      <c r="N56" s="3">
        <v>30</v>
      </c>
      <c r="O56" s="3">
        <v>30</v>
      </c>
      <c r="P56" s="4">
        <f t="shared" si="0"/>
        <v>1125</v>
      </c>
      <c r="Q56" s="1" t="s">
        <v>120</v>
      </c>
      <c r="R56" s="44">
        <v>250</v>
      </c>
      <c r="S56" s="47">
        <v>750</v>
      </c>
    </row>
    <row r="57" spans="1:20" x14ac:dyDescent="0.25">
      <c r="A57" s="7">
        <v>54</v>
      </c>
      <c r="D57" s="16" t="s">
        <v>61</v>
      </c>
      <c r="E57" s="17"/>
      <c r="F57" s="17"/>
      <c r="G57" s="18"/>
      <c r="H57" s="12">
        <v>246</v>
      </c>
      <c r="I57" s="7" t="s">
        <v>2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  <c r="P57" s="4">
        <f t="shared" si="0"/>
        <v>246</v>
      </c>
      <c r="Q57" s="1" t="s">
        <v>14</v>
      </c>
      <c r="R57" s="44">
        <v>0</v>
      </c>
      <c r="S57" s="46"/>
    </row>
    <row r="58" spans="1:20" x14ac:dyDescent="0.25">
      <c r="A58" s="7">
        <v>55</v>
      </c>
      <c r="D58" s="9" t="s">
        <v>62</v>
      </c>
      <c r="E58" s="10"/>
      <c r="F58" s="10"/>
      <c r="G58" s="11"/>
      <c r="H58" s="12">
        <v>600</v>
      </c>
      <c r="I58" s="7" t="s">
        <v>2</v>
      </c>
      <c r="J58" s="3">
        <v>0</v>
      </c>
      <c r="K58" s="3">
        <v>20</v>
      </c>
      <c r="L58" s="3">
        <v>18</v>
      </c>
      <c r="M58" s="3">
        <v>0</v>
      </c>
      <c r="N58" s="3">
        <v>0</v>
      </c>
      <c r="O58" s="3">
        <v>350</v>
      </c>
      <c r="P58" s="4">
        <f t="shared" si="0"/>
        <v>212</v>
      </c>
      <c r="Q58" s="1" t="s">
        <v>14</v>
      </c>
      <c r="R58" s="44">
        <v>200</v>
      </c>
      <c r="S58" s="47">
        <v>1000</v>
      </c>
    </row>
    <row r="59" spans="1:20" x14ac:dyDescent="0.25">
      <c r="A59" s="7">
        <v>56</v>
      </c>
      <c r="D59" s="16" t="s">
        <v>13</v>
      </c>
      <c r="E59" s="17"/>
      <c r="F59" s="17"/>
      <c r="G59" s="18"/>
      <c r="H59" s="12">
        <v>297</v>
      </c>
      <c r="I59" s="7" t="s">
        <v>2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  <c r="P59" s="4">
        <f t="shared" si="0"/>
        <v>297</v>
      </c>
      <c r="Q59" s="1" t="s">
        <v>14</v>
      </c>
      <c r="R59" s="44">
        <v>100</v>
      </c>
      <c r="S59" s="47">
        <v>300</v>
      </c>
    </row>
    <row r="60" spans="1:20" x14ac:dyDescent="0.25">
      <c r="A60" s="7">
        <v>57</v>
      </c>
      <c r="D60" s="9" t="s">
        <v>72</v>
      </c>
      <c r="E60" s="10"/>
      <c r="F60" s="10"/>
      <c r="G60" s="11"/>
      <c r="H60" s="12">
        <v>350</v>
      </c>
      <c r="I60" s="7" t="s">
        <v>2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4">
        <f t="shared" si="0"/>
        <v>350</v>
      </c>
      <c r="Q60" s="1" t="s">
        <v>14</v>
      </c>
      <c r="R60" s="44">
        <v>100</v>
      </c>
      <c r="S60" s="47">
        <v>300</v>
      </c>
    </row>
    <row r="61" spans="1:20" x14ac:dyDescent="0.25">
      <c r="A61" s="7">
        <v>58</v>
      </c>
      <c r="D61" s="16" t="s">
        <v>63</v>
      </c>
      <c r="E61" s="17"/>
      <c r="F61" s="17"/>
      <c r="G61" s="18"/>
      <c r="H61" s="12">
        <v>0</v>
      </c>
      <c r="I61" s="7" t="s">
        <v>2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4">
        <f t="shared" si="0"/>
        <v>0</v>
      </c>
      <c r="Q61" s="1" t="s">
        <v>14</v>
      </c>
      <c r="R61" s="44">
        <v>100</v>
      </c>
      <c r="S61" s="47">
        <v>300</v>
      </c>
    </row>
    <row r="62" spans="1:20" x14ac:dyDescent="0.25">
      <c r="A62" s="7">
        <v>59</v>
      </c>
      <c r="D62" s="9" t="s">
        <v>77</v>
      </c>
      <c r="E62" s="10"/>
      <c r="F62" s="10"/>
      <c r="G62" s="11"/>
      <c r="H62" s="12">
        <v>1300</v>
      </c>
      <c r="I62" s="7" t="s">
        <v>2</v>
      </c>
      <c r="J62" s="3">
        <v>0</v>
      </c>
      <c r="K62" s="3">
        <v>0</v>
      </c>
      <c r="L62" s="3">
        <v>200</v>
      </c>
      <c r="M62" s="3">
        <v>0</v>
      </c>
      <c r="N62" s="3">
        <v>0</v>
      </c>
      <c r="O62" s="3">
        <v>0</v>
      </c>
      <c r="P62" s="4">
        <f t="shared" si="0"/>
        <v>1100</v>
      </c>
      <c r="Q62" s="1" t="s">
        <v>14</v>
      </c>
      <c r="R62" s="44">
        <v>100</v>
      </c>
      <c r="S62" s="47">
        <v>300</v>
      </c>
    </row>
    <row r="63" spans="1:20" x14ac:dyDescent="0.25">
      <c r="A63" s="7">
        <v>60</v>
      </c>
      <c r="D63" s="16" t="s">
        <v>130</v>
      </c>
      <c r="E63" s="17"/>
      <c r="F63" s="17"/>
      <c r="G63" s="18"/>
      <c r="H63" s="12">
        <v>2</v>
      </c>
      <c r="I63" s="7" t="s">
        <v>2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2</v>
      </c>
      <c r="P63" s="4">
        <f t="shared" si="0"/>
        <v>0</v>
      </c>
      <c r="Q63" s="1" t="s">
        <v>14</v>
      </c>
      <c r="R63" s="44">
        <v>0</v>
      </c>
      <c r="S63" s="46"/>
    </row>
    <row r="64" spans="1:20" x14ac:dyDescent="0.25">
      <c r="A64" s="7">
        <v>61</v>
      </c>
      <c r="D64" s="26" t="s">
        <v>146</v>
      </c>
      <c r="E64" s="27"/>
      <c r="F64" s="27"/>
      <c r="G64" s="28"/>
      <c r="H64" s="12">
        <v>53</v>
      </c>
      <c r="I64" s="30" t="s">
        <v>2</v>
      </c>
      <c r="J64" s="3">
        <v>0</v>
      </c>
      <c r="K64" s="3">
        <v>0</v>
      </c>
      <c r="L64" s="3">
        <v>1</v>
      </c>
      <c r="M64" s="3">
        <v>0</v>
      </c>
      <c r="N64" s="3">
        <v>0</v>
      </c>
      <c r="O64" s="3">
        <v>0</v>
      </c>
      <c r="P64" s="4">
        <f t="shared" si="0"/>
        <v>52</v>
      </c>
      <c r="Q64" s="1" t="s">
        <v>14</v>
      </c>
      <c r="R64" s="44">
        <v>50</v>
      </c>
      <c r="S64" s="47">
        <v>100</v>
      </c>
    </row>
    <row r="65" spans="1:20" x14ac:dyDescent="0.25">
      <c r="A65" s="7">
        <v>62</v>
      </c>
      <c r="D65" s="16" t="s">
        <v>65</v>
      </c>
      <c r="E65" s="17"/>
      <c r="F65" s="17"/>
      <c r="G65" s="18"/>
      <c r="H65" s="12">
        <v>59</v>
      </c>
      <c r="I65" s="7" t="s">
        <v>2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4">
        <f t="shared" si="0"/>
        <v>59</v>
      </c>
      <c r="Q65" s="1" t="s">
        <v>14</v>
      </c>
      <c r="R65" s="44">
        <v>0</v>
      </c>
      <c r="S65" s="46"/>
    </row>
    <row r="66" spans="1:20" x14ac:dyDescent="0.25">
      <c r="A66" s="7">
        <v>63</v>
      </c>
      <c r="D66" s="9" t="s">
        <v>66</v>
      </c>
      <c r="E66" s="10"/>
      <c r="F66" s="10"/>
      <c r="G66" s="11"/>
      <c r="H66" s="12">
        <v>150</v>
      </c>
      <c r="I66" s="7" t="s">
        <v>2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  <c r="P66" s="4">
        <f t="shared" si="0"/>
        <v>150</v>
      </c>
      <c r="Q66" s="1" t="s">
        <v>14</v>
      </c>
      <c r="R66" s="44">
        <v>300</v>
      </c>
      <c r="S66" s="47">
        <v>1000</v>
      </c>
    </row>
    <row r="67" spans="1:20" x14ac:dyDescent="0.25">
      <c r="A67" s="7">
        <v>64</v>
      </c>
      <c r="D67" s="19" t="s">
        <v>86</v>
      </c>
      <c r="E67" s="20"/>
      <c r="F67" s="20"/>
      <c r="G67" s="21"/>
      <c r="H67" s="12">
        <v>1540</v>
      </c>
      <c r="I67" s="7" t="s">
        <v>2</v>
      </c>
      <c r="J67" s="3">
        <v>0</v>
      </c>
      <c r="K67" s="3">
        <v>1</v>
      </c>
      <c r="L67" s="3">
        <v>0</v>
      </c>
      <c r="M67" s="3">
        <v>0</v>
      </c>
      <c r="N67" s="3">
        <v>0</v>
      </c>
      <c r="O67" s="3">
        <v>0</v>
      </c>
      <c r="P67" s="4">
        <f t="shared" si="0"/>
        <v>1539</v>
      </c>
      <c r="Q67" s="1" t="s">
        <v>14</v>
      </c>
      <c r="R67" s="44">
        <v>50</v>
      </c>
      <c r="S67" s="47">
        <v>150</v>
      </c>
    </row>
    <row r="68" spans="1:20" x14ac:dyDescent="0.25">
      <c r="A68" s="7">
        <v>65</v>
      </c>
      <c r="D68" s="22" t="s">
        <v>74</v>
      </c>
      <c r="E68" s="10"/>
      <c r="F68" s="10"/>
      <c r="G68" s="11"/>
      <c r="H68" s="12">
        <v>0</v>
      </c>
      <c r="I68" s="8" t="s">
        <v>75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4">
        <f t="shared" ref="P68:P89" si="1">+H68+J68-K68-L68-M68-N68-O68</f>
        <v>0</v>
      </c>
      <c r="Q68" s="1" t="s">
        <v>91</v>
      </c>
      <c r="R68" s="44">
        <v>65</v>
      </c>
      <c r="S68" s="47">
        <v>150</v>
      </c>
    </row>
    <row r="69" spans="1:20" x14ac:dyDescent="0.25">
      <c r="A69" s="7">
        <v>66</v>
      </c>
      <c r="C69" s="1" t="s">
        <v>14</v>
      </c>
      <c r="D69" s="22" t="s">
        <v>76</v>
      </c>
      <c r="E69" s="10"/>
      <c r="F69" s="10"/>
      <c r="G69" s="11"/>
      <c r="H69" s="12">
        <v>240</v>
      </c>
      <c r="I69" s="8" t="s">
        <v>2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4">
        <f t="shared" si="1"/>
        <v>240</v>
      </c>
      <c r="Q69" s="1" t="s">
        <v>14</v>
      </c>
      <c r="R69" s="44">
        <v>50</v>
      </c>
      <c r="S69" s="47">
        <v>100</v>
      </c>
    </row>
    <row r="70" spans="1:20" x14ac:dyDescent="0.25">
      <c r="A70" s="7">
        <v>67</v>
      </c>
      <c r="D70" s="25" t="s">
        <v>147</v>
      </c>
      <c r="H70" s="12">
        <v>143</v>
      </c>
      <c r="I70" s="30" t="s">
        <v>2</v>
      </c>
      <c r="J70" s="3">
        <v>0</v>
      </c>
      <c r="K70" s="3">
        <v>0</v>
      </c>
      <c r="L70" s="3">
        <v>1</v>
      </c>
      <c r="M70" s="3">
        <v>0</v>
      </c>
      <c r="N70" s="3">
        <v>0</v>
      </c>
      <c r="O70" s="3">
        <v>0</v>
      </c>
      <c r="P70" s="4">
        <f t="shared" si="1"/>
        <v>142</v>
      </c>
      <c r="Q70" s="1" t="s">
        <v>14</v>
      </c>
      <c r="R70" s="44">
        <v>50</v>
      </c>
      <c r="S70" s="47">
        <v>100</v>
      </c>
    </row>
    <row r="71" spans="1:20" x14ac:dyDescent="0.25">
      <c r="A71" s="7">
        <v>68</v>
      </c>
      <c r="D71" s="26" t="s">
        <v>80</v>
      </c>
      <c r="E71" s="27"/>
      <c r="F71" s="27"/>
      <c r="G71" s="28"/>
      <c r="H71" s="12">
        <v>0</v>
      </c>
      <c r="I71" s="8" t="s">
        <v>2</v>
      </c>
      <c r="J71" s="3">
        <v>20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4">
        <f t="shared" si="1"/>
        <v>20</v>
      </c>
      <c r="Q71" s="1" t="s">
        <v>14</v>
      </c>
      <c r="R71" s="44">
        <v>0</v>
      </c>
      <c r="S71" s="46"/>
    </row>
    <row r="72" spans="1:20" x14ac:dyDescent="0.25">
      <c r="A72" s="7">
        <v>69</v>
      </c>
      <c r="D72" s="26" t="s">
        <v>84</v>
      </c>
      <c r="E72" s="27"/>
      <c r="F72" s="27"/>
      <c r="G72" s="28"/>
      <c r="H72" s="12">
        <f>'ARALIK 3 HAFTA '!P77</f>
        <v>50</v>
      </c>
      <c r="I72" s="8" t="s">
        <v>2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  <c r="P72" s="4">
        <f t="shared" si="1"/>
        <v>50</v>
      </c>
      <c r="Q72" s="1" t="s">
        <v>14</v>
      </c>
      <c r="R72" s="44">
        <v>100</v>
      </c>
      <c r="S72" s="47">
        <v>200</v>
      </c>
    </row>
    <row r="73" spans="1:20" x14ac:dyDescent="0.25">
      <c r="A73" s="7">
        <v>70</v>
      </c>
      <c r="D73" s="26" t="s">
        <v>85</v>
      </c>
      <c r="E73" s="27"/>
      <c r="F73" s="27"/>
      <c r="G73" s="28"/>
      <c r="H73" s="12">
        <f>'ARALIK 3 HAFTA '!P78</f>
        <v>0</v>
      </c>
      <c r="I73" s="8" t="s">
        <v>2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4">
        <f t="shared" si="1"/>
        <v>0</v>
      </c>
      <c r="R73" s="44">
        <v>0</v>
      </c>
      <c r="S73" s="46"/>
    </row>
    <row r="74" spans="1:20" x14ac:dyDescent="0.25">
      <c r="A74" s="7">
        <v>71</v>
      </c>
      <c r="D74" s="37" t="s">
        <v>99</v>
      </c>
      <c r="E74" s="17"/>
      <c r="F74" s="33"/>
      <c r="G74" s="33"/>
      <c r="H74" s="12">
        <v>593.70000000000005</v>
      </c>
      <c r="I74" s="8" t="s">
        <v>2</v>
      </c>
      <c r="J74" s="3">
        <v>0</v>
      </c>
      <c r="K74" s="3">
        <v>0</v>
      </c>
      <c r="L74" s="3">
        <v>0</v>
      </c>
      <c r="M74" s="3">
        <v>0</v>
      </c>
      <c r="N74" s="3">
        <v>25</v>
      </c>
      <c r="O74" s="3">
        <v>75</v>
      </c>
      <c r="P74" s="4">
        <f t="shared" si="1"/>
        <v>493.70000000000005</v>
      </c>
      <c r="Q74" s="1" t="s">
        <v>14</v>
      </c>
      <c r="R74" s="44">
        <v>100</v>
      </c>
      <c r="S74" s="47">
        <v>500</v>
      </c>
    </row>
    <row r="75" spans="1:20" x14ac:dyDescent="0.25">
      <c r="A75" s="7">
        <v>72</v>
      </c>
      <c r="D75" s="22" t="s">
        <v>100</v>
      </c>
      <c r="E75" s="10"/>
      <c r="F75" s="10"/>
      <c r="G75" s="28"/>
      <c r="H75" s="12">
        <v>0</v>
      </c>
      <c r="I75" s="8" t="s">
        <v>2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4">
        <f t="shared" si="1"/>
        <v>0</v>
      </c>
      <c r="R75" s="44">
        <v>0</v>
      </c>
      <c r="S75" s="46"/>
    </row>
    <row r="76" spans="1:20" x14ac:dyDescent="0.25">
      <c r="A76" s="7">
        <v>73</v>
      </c>
      <c r="D76" s="37" t="s">
        <v>113</v>
      </c>
      <c r="E76" s="17"/>
      <c r="F76" s="17"/>
      <c r="G76" s="33"/>
      <c r="H76" s="12">
        <v>66.599999999999994</v>
      </c>
      <c r="I76" s="8" t="s">
        <v>97</v>
      </c>
      <c r="J76" s="3">
        <v>513</v>
      </c>
      <c r="K76" s="3">
        <v>0</v>
      </c>
      <c r="L76" s="3">
        <v>27.6</v>
      </c>
      <c r="M76" s="3">
        <v>27.6</v>
      </c>
      <c r="N76" s="3">
        <v>0</v>
      </c>
      <c r="O76" s="3">
        <v>0</v>
      </c>
      <c r="P76" s="4">
        <f t="shared" si="1"/>
        <v>524.4</v>
      </c>
      <c r="Q76" s="65" t="s">
        <v>121</v>
      </c>
      <c r="R76" s="44">
        <v>30</v>
      </c>
      <c r="S76" s="47">
        <v>100</v>
      </c>
    </row>
    <row r="77" spans="1:20" x14ac:dyDescent="0.25">
      <c r="A77" s="7">
        <v>74</v>
      </c>
      <c r="D77" s="22" t="s">
        <v>103</v>
      </c>
      <c r="E77" s="10"/>
      <c r="F77" s="10"/>
      <c r="G77" s="28"/>
      <c r="H77" s="12">
        <v>248</v>
      </c>
      <c r="I77" s="8" t="s">
        <v>2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4">
        <f t="shared" si="1"/>
        <v>248</v>
      </c>
      <c r="R77" s="44">
        <v>60</v>
      </c>
      <c r="S77" s="47">
        <v>100</v>
      </c>
    </row>
    <row r="78" spans="1:20" x14ac:dyDescent="0.25">
      <c r="A78" s="8">
        <v>75</v>
      </c>
      <c r="D78" s="49" t="s">
        <v>108</v>
      </c>
      <c r="E78" s="20"/>
      <c r="F78" s="20"/>
      <c r="G78" s="20"/>
      <c r="H78" s="12">
        <v>1000</v>
      </c>
      <c r="I78" s="8" t="s">
        <v>110</v>
      </c>
      <c r="J78" s="3">
        <v>500</v>
      </c>
      <c r="K78" s="3">
        <v>1000</v>
      </c>
      <c r="L78" s="3">
        <v>500</v>
      </c>
      <c r="M78" s="3">
        <v>0</v>
      </c>
      <c r="N78" s="3">
        <v>0</v>
      </c>
      <c r="O78" s="3">
        <v>0</v>
      </c>
      <c r="P78" s="4">
        <f t="shared" si="1"/>
        <v>0</v>
      </c>
      <c r="R78" s="43">
        <v>1000</v>
      </c>
      <c r="S78" s="46">
        <v>10000</v>
      </c>
    </row>
    <row r="79" spans="1:20" x14ac:dyDescent="0.25">
      <c r="A79" s="48">
        <v>76</v>
      </c>
      <c r="B79" s="41"/>
      <c r="C79" s="41"/>
      <c r="D79" s="22" t="s">
        <v>115</v>
      </c>
      <c r="E79" s="10"/>
      <c r="F79" s="10"/>
      <c r="G79" s="11"/>
      <c r="H79" s="12">
        <v>260</v>
      </c>
      <c r="I79" s="62" t="s">
        <v>2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  <c r="P79" s="64">
        <f t="shared" si="1"/>
        <v>260</v>
      </c>
      <c r="R79" s="64">
        <v>50</v>
      </c>
      <c r="S79" s="64">
        <v>100</v>
      </c>
      <c r="T79" t="s">
        <v>75</v>
      </c>
    </row>
    <row r="80" spans="1:20" x14ac:dyDescent="0.25">
      <c r="A80" s="73">
        <v>77</v>
      </c>
      <c r="B80" s="41"/>
      <c r="C80" s="41"/>
      <c r="D80" s="49" t="s">
        <v>134</v>
      </c>
      <c r="E80" s="35"/>
      <c r="F80" s="35"/>
      <c r="G80" s="60"/>
      <c r="H80" s="12">
        <v>82</v>
      </c>
      <c r="I80" s="8" t="s">
        <v>2</v>
      </c>
      <c r="J80" s="3">
        <v>0</v>
      </c>
      <c r="K80" s="3">
        <v>0</v>
      </c>
      <c r="L80" s="3">
        <v>0</v>
      </c>
      <c r="M80" s="3">
        <v>5</v>
      </c>
      <c r="N80" s="3">
        <v>0</v>
      </c>
      <c r="O80" s="3">
        <v>0</v>
      </c>
      <c r="P80" s="4">
        <f t="shared" si="1"/>
        <v>77</v>
      </c>
      <c r="Q80" s="4"/>
      <c r="R80" s="4">
        <v>20</v>
      </c>
      <c r="S80" s="4">
        <v>50</v>
      </c>
    </row>
    <row r="81" spans="1:19" x14ac:dyDescent="0.25">
      <c r="A81" s="8">
        <v>78</v>
      </c>
      <c r="D81" s="22" t="s">
        <v>123</v>
      </c>
      <c r="E81" s="10"/>
      <c r="F81" s="10"/>
      <c r="G81" s="11"/>
      <c r="H81" s="12">
        <v>2500</v>
      </c>
      <c r="I81" s="8" t="s">
        <v>2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  <c r="P81" s="4">
        <f t="shared" si="1"/>
        <v>2500</v>
      </c>
      <c r="Q81" s="4"/>
      <c r="R81" s="4">
        <v>100</v>
      </c>
      <c r="S81" s="4">
        <v>500</v>
      </c>
    </row>
    <row r="82" spans="1:19" x14ac:dyDescent="0.25">
      <c r="A82" s="48">
        <v>79</v>
      </c>
      <c r="B82" s="41"/>
      <c r="C82" s="41"/>
      <c r="D82" s="22" t="s">
        <v>154</v>
      </c>
      <c r="E82" s="10"/>
      <c r="F82" s="10"/>
      <c r="G82" s="11"/>
      <c r="H82" s="4">
        <v>15</v>
      </c>
      <c r="I82" s="8" t="s">
        <v>2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  <c r="P82" s="4">
        <f t="shared" si="1"/>
        <v>15</v>
      </c>
      <c r="Q82" s="4"/>
      <c r="R82" s="4"/>
      <c r="S82" s="4"/>
    </row>
    <row r="83" spans="1:19" x14ac:dyDescent="0.25">
      <c r="A83" s="48">
        <v>80</v>
      </c>
      <c r="B83" s="41"/>
      <c r="C83" s="41"/>
      <c r="D83" s="37" t="s">
        <v>155</v>
      </c>
      <c r="E83" s="17"/>
      <c r="F83" s="17"/>
      <c r="G83" s="18"/>
      <c r="H83" s="64">
        <v>15</v>
      </c>
      <c r="I83" s="62" t="s">
        <v>2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64">
        <f t="shared" si="1"/>
        <v>15</v>
      </c>
      <c r="Q83" s="64"/>
      <c r="R83" s="64"/>
      <c r="S83" s="64"/>
    </row>
    <row r="84" spans="1:19" x14ac:dyDescent="0.25">
      <c r="A84" s="48">
        <v>81</v>
      </c>
      <c r="B84" s="11"/>
      <c r="C84" s="23"/>
      <c r="D84" s="23" t="s">
        <v>149</v>
      </c>
      <c r="E84" s="23"/>
      <c r="F84" s="23"/>
      <c r="G84" s="23"/>
      <c r="H84" s="23">
        <v>20</v>
      </c>
      <c r="I84" s="8" t="s">
        <v>2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4">
        <f t="shared" si="1"/>
        <v>20</v>
      </c>
      <c r="Q84" s="4"/>
      <c r="R84" s="4"/>
      <c r="S84" s="4"/>
    </row>
    <row r="85" spans="1:19" x14ac:dyDescent="0.25">
      <c r="A85" s="8">
        <v>82</v>
      </c>
      <c r="D85" s="68" t="s">
        <v>148</v>
      </c>
      <c r="E85" s="27"/>
      <c r="F85" s="27"/>
      <c r="G85" s="28"/>
      <c r="H85" s="4">
        <v>77</v>
      </c>
      <c r="I85" s="8" t="s">
        <v>2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4">
        <f t="shared" si="1"/>
        <v>77</v>
      </c>
      <c r="Q85" s="4"/>
      <c r="R85" s="4"/>
      <c r="S85" s="4"/>
    </row>
    <row r="86" spans="1:19" ht="15.75" customHeight="1" x14ac:dyDescent="0.25">
      <c r="A86" s="8">
        <v>83</v>
      </c>
      <c r="D86" s="22" t="s">
        <v>150</v>
      </c>
      <c r="E86" s="10"/>
      <c r="F86" s="27"/>
      <c r="G86" s="28"/>
      <c r="H86" s="4">
        <v>37</v>
      </c>
      <c r="I86" s="8" t="s">
        <v>2</v>
      </c>
      <c r="J86" s="3">
        <v>0</v>
      </c>
      <c r="K86" s="3">
        <v>0</v>
      </c>
      <c r="L86" s="3">
        <v>10</v>
      </c>
      <c r="M86" s="3">
        <v>0</v>
      </c>
      <c r="N86" s="3">
        <v>14</v>
      </c>
      <c r="O86" s="3">
        <v>0</v>
      </c>
      <c r="P86" s="4">
        <f t="shared" si="1"/>
        <v>13</v>
      </c>
      <c r="Q86" s="4"/>
      <c r="R86" s="4">
        <v>50</v>
      </c>
      <c r="S86" s="4">
        <v>300</v>
      </c>
    </row>
    <row r="87" spans="1:19" x14ac:dyDescent="0.25">
      <c r="A87" s="8">
        <v>84</v>
      </c>
      <c r="D87" s="22" t="s">
        <v>152</v>
      </c>
      <c r="E87" s="10"/>
      <c r="F87" s="10"/>
      <c r="G87" s="11"/>
      <c r="H87" s="23">
        <v>966</v>
      </c>
      <c r="I87" s="8" t="s">
        <v>2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4">
        <f t="shared" si="1"/>
        <v>966</v>
      </c>
      <c r="Q87" s="4"/>
      <c r="R87" s="4"/>
      <c r="S87" s="4"/>
    </row>
    <row r="88" spans="1:19" x14ac:dyDescent="0.25">
      <c r="A88" s="8">
        <v>85</v>
      </c>
      <c r="D88" s="49" t="s">
        <v>153</v>
      </c>
      <c r="E88" s="20"/>
      <c r="F88" s="20"/>
      <c r="G88" s="21"/>
      <c r="H88" s="23">
        <v>88</v>
      </c>
      <c r="I88" s="8" t="s">
        <v>2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4">
        <f t="shared" si="1"/>
        <v>88</v>
      </c>
      <c r="Q88" s="4"/>
      <c r="R88" s="4"/>
      <c r="S88" s="4"/>
    </row>
    <row r="89" spans="1:19" x14ac:dyDescent="0.25">
      <c r="A89" s="77">
        <v>86</v>
      </c>
      <c r="D89" s="68" t="s">
        <v>157</v>
      </c>
      <c r="E89" s="27"/>
      <c r="F89" s="27"/>
      <c r="G89" s="28"/>
      <c r="H89" s="74">
        <v>0</v>
      </c>
      <c r="I89" s="75" t="s">
        <v>2</v>
      </c>
      <c r="J89" s="76">
        <v>240</v>
      </c>
      <c r="K89" s="4"/>
      <c r="L89" s="4"/>
      <c r="M89" s="4"/>
      <c r="N89" s="4"/>
      <c r="O89" s="4">
        <v>240</v>
      </c>
      <c r="P89" s="4">
        <f t="shared" si="1"/>
        <v>0</v>
      </c>
      <c r="Q89" s="4"/>
      <c r="R89" s="4"/>
      <c r="S89" s="4"/>
    </row>
  </sheetData>
  <pageMargins left="0.75" right="0.75" top="1" bottom="1" header="0.5" footer="0.5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T89"/>
  <sheetViews>
    <sheetView workbookViewId="0">
      <selection activeCell="O3" sqref="O3"/>
    </sheetView>
  </sheetViews>
  <sheetFormatPr defaultRowHeight="15" x14ac:dyDescent="0.25"/>
  <cols>
    <col min="1" max="1" width="5.5703125" customWidth="1"/>
    <col min="2" max="3" width="9.140625" hidden="1" customWidth="1"/>
    <col min="11" max="15" width="10.140625" bestFit="1" customWidth="1"/>
    <col min="17" max="17" width="4.85546875" customWidth="1"/>
    <col min="18" max="18" width="10" customWidth="1"/>
    <col min="19" max="19" width="11.140625" customWidth="1"/>
  </cols>
  <sheetData>
    <row r="1" spans="1:20" x14ac:dyDescent="0.25">
      <c r="G1" s="1"/>
      <c r="P1">
        <f>+H1+J1-K1-L1-M1-N1-O1</f>
        <v>0</v>
      </c>
    </row>
    <row r="2" spans="1:20" x14ac:dyDescent="0.25">
      <c r="A2" t="s">
        <v>14</v>
      </c>
      <c r="D2" t="s">
        <v>158</v>
      </c>
      <c r="O2" s="38" t="s">
        <v>14</v>
      </c>
      <c r="S2" s="50">
        <v>44837</v>
      </c>
    </row>
    <row r="3" spans="1:20" x14ac:dyDescent="0.25">
      <c r="A3" s="3" t="s">
        <v>15</v>
      </c>
      <c r="D3" s="9" t="s">
        <v>17</v>
      </c>
      <c r="E3" s="10"/>
      <c r="F3" s="10"/>
      <c r="G3" s="11"/>
      <c r="H3" s="12" t="s">
        <v>18</v>
      </c>
      <c r="I3" s="4" t="s">
        <v>19</v>
      </c>
      <c r="J3" s="3" t="s">
        <v>20</v>
      </c>
      <c r="K3" s="5">
        <v>45005</v>
      </c>
      <c r="L3" s="6">
        <v>45016</v>
      </c>
      <c r="M3" s="5">
        <v>45025</v>
      </c>
      <c r="N3" s="5">
        <v>45072</v>
      </c>
      <c r="O3" s="6">
        <v>45076</v>
      </c>
      <c r="P3" s="3" t="s">
        <v>21</v>
      </c>
      <c r="R3" s="42" t="s">
        <v>105</v>
      </c>
      <c r="S3" s="45" t="s">
        <v>104</v>
      </c>
    </row>
    <row r="4" spans="1:20" x14ac:dyDescent="0.25">
      <c r="A4" s="7">
        <v>1</v>
      </c>
      <c r="D4" s="13" t="s">
        <v>16</v>
      </c>
      <c r="E4" s="14"/>
      <c r="F4" s="14"/>
      <c r="G4" s="15"/>
      <c r="H4" s="12">
        <v>68</v>
      </c>
      <c r="I4" s="7" t="s">
        <v>1</v>
      </c>
      <c r="J4" s="3">
        <v>0</v>
      </c>
      <c r="K4" s="3">
        <v>34</v>
      </c>
      <c r="L4" s="3">
        <v>0</v>
      </c>
      <c r="M4" s="3">
        <v>17</v>
      </c>
      <c r="N4" s="3">
        <v>17</v>
      </c>
      <c r="O4" s="3">
        <v>0</v>
      </c>
      <c r="P4" s="4">
        <f t="shared" ref="P4:P67" si="0">+H4+J4-K4-L4-M4-N4-O4</f>
        <v>0</v>
      </c>
      <c r="Q4" t="s">
        <v>67</v>
      </c>
      <c r="R4" s="43">
        <v>100</v>
      </c>
      <c r="S4" s="46">
        <v>500</v>
      </c>
      <c r="T4" t="s">
        <v>75</v>
      </c>
    </row>
    <row r="5" spans="1:20" x14ac:dyDescent="0.25">
      <c r="A5" s="7">
        <v>2</v>
      </c>
      <c r="D5" s="9" t="s">
        <v>22</v>
      </c>
      <c r="E5" s="10"/>
      <c r="F5" s="10"/>
      <c r="G5" s="11"/>
      <c r="H5" s="12">
        <v>28</v>
      </c>
      <c r="I5" s="7" t="s">
        <v>2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4">
        <f t="shared" si="0"/>
        <v>28</v>
      </c>
      <c r="Q5" s="1" t="s">
        <v>14</v>
      </c>
      <c r="R5" s="44">
        <v>6</v>
      </c>
      <c r="S5" s="47">
        <v>10</v>
      </c>
    </row>
    <row r="6" spans="1:20" x14ac:dyDescent="0.25">
      <c r="A6" s="7">
        <v>3</v>
      </c>
      <c r="D6" s="16" t="s">
        <v>23</v>
      </c>
      <c r="E6" s="17"/>
      <c r="F6" s="17"/>
      <c r="G6" s="18"/>
      <c r="H6" s="12">
        <v>60</v>
      </c>
      <c r="I6" s="7" t="s">
        <v>2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4">
        <f t="shared" si="0"/>
        <v>60</v>
      </c>
      <c r="Q6" s="1" t="s">
        <v>14</v>
      </c>
      <c r="R6" s="44">
        <v>6</v>
      </c>
      <c r="S6" s="47">
        <v>10</v>
      </c>
    </row>
    <row r="7" spans="1:20" x14ac:dyDescent="0.25">
      <c r="A7" s="7">
        <v>4</v>
      </c>
      <c r="D7" s="9" t="s">
        <v>3</v>
      </c>
      <c r="E7" s="10"/>
      <c r="F7" s="10"/>
      <c r="G7" s="11"/>
      <c r="H7" s="12">
        <v>30</v>
      </c>
      <c r="I7" s="7" t="s">
        <v>2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4">
        <f t="shared" si="0"/>
        <v>30</v>
      </c>
      <c r="Q7" s="1" t="s">
        <v>14</v>
      </c>
      <c r="R7" s="44">
        <v>6</v>
      </c>
      <c r="S7" s="47">
        <v>10</v>
      </c>
    </row>
    <row r="8" spans="1:20" x14ac:dyDescent="0.25">
      <c r="A8" s="7">
        <v>5</v>
      </c>
      <c r="D8" s="16" t="s">
        <v>139</v>
      </c>
      <c r="E8" s="17"/>
      <c r="F8" s="17"/>
      <c r="G8" s="18"/>
      <c r="H8" s="12">
        <v>505</v>
      </c>
      <c r="I8" s="7" t="s">
        <v>2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4">
        <f t="shared" si="0"/>
        <v>505</v>
      </c>
      <c r="Q8" s="1" t="s">
        <v>14</v>
      </c>
      <c r="R8" s="44">
        <v>100</v>
      </c>
      <c r="S8" s="47">
        <v>400</v>
      </c>
    </row>
    <row r="9" spans="1:20" x14ac:dyDescent="0.25">
      <c r="A9" s="7">
        <v>6</v>
      </c>
      <c r="D9" s="9" t="s">
        <v>24</v>
      </c>
      <c r="E9" s="10"/>
      <c r="F9" s="10"/>
      <c r="G9" s="11"/>
      <c r="H9" s="12">
        <v>338</v>
      </c>
      <c r="I9" s="7" t="s">
        <v>2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4">
        <f t="shared" si="0"/>
        <v>338</v>
      </c>
      <c r="Q9" s="1" t="s">
        <v>14</v>
      </c>
      <c r="R9" s="44">
        <v>60</v>
      </c>
      <c r="S9" s="47">
        <v>200</v>
      </c>
    </row>
    <row r="10" spans="1:20" x14ac:dyDescent="0.25">
      <c r="A10" s="7">
        <v>7</v>
      </c>
      <c r="D10" s="16" t="s">
        <v>101</v>
      </c>
      <c r="E10" s="17"/>
      <c r="F10" s="17"/>
      <c r="G10" s="18"/>
      <c r="H10" s="12">
        <v>3118</v>
      </c>
      <c r="I10" s="7" t="s">
        <v>2</v>
      </c>
      <c r="J10" s="3">
        <v>0</v>
      </c>
      <c r="K10" s="3">
        <v>40</v>
      </c>
      <c r="L10" s="3">
        <v>0</v>
      </c>
      <c r="M10" s="3">
        <v>20</v>
      </c>
      <c r="N10" s="3">
        <v>0</v>
      </c>
      <c r="O10" s="3">
        <v>0</v>
      </c>
      <c r="P10" s="4">
        <f t="shared" si="0"/>
        <v>3058</v>
      </c>
      <c r="Q10" s="1" t="s">
        <v>14</v>
      </c>
      <c r="R10" s="44">
        <v>200</v>
      </c>
      <c r="S10" s="47">
        <v>500</v>
      </c>
    </row>
    <row r="11" spans="1:20" x14ac:dyDescent="0.25">
      <c r="A11" s="7">
        <v>8</v>
      </c>
      <c r="D11" s="9" t="s">
        <v>25</v>
      </c>
      <c r="E11" s="10"/>
      <c r="F11" s="10"/>
      <c r="G11" s="11"/>
      <c r="H11" s="12">
        <v>430</v>
      </c>
      <c r="I11" s="7" t="s">
        <v>2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4">
        <f t="shared" si="0"/>
        <v>430</v>
      </c>
      <c r="Q11" s="1" t="s">
        <v>14</v>
      </c>
      <c r="R11" s="44">
        <v>0</v>
      </c>
      <c r="S11" s="47">
        <v>0</v>
      </c>
    </row>
    <row r="12" spans="1:20" x14ac:dyDescent="0.25">
      <c r="A12" s="7">
        <v>9</v>
      </c>
      <c r="D12" s="16" t="s">
        <v>26</v>
      </c>
      <c r="E12" s="17"/>
      <c r="F12" s="17"/>
      <c r="G12" s="18"/>
      <c r="H12" s="12">
        <v>0</v>
      </c>
      <c r="I12" s="7" t="s">
        <v>2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4">
        <f t="shared" si="0"/>
        <v>0</v>
      </c>
      <c r="Q12" s="1" t="s">
        <v>14</v>
      </c>
      <c r="R12" s="44">
        <v>200</v>
      </c>
      <c r="S12" s="47">
        <v>400</v>
      </c>
    </row>
    <row r="13" spans="1:20" x14ac:dyDescent="0.25">
      <c r="A13" s="7">
        <v>10</v>
      </c>
      <c r="D13" s="9" t="s">
        <v>6</v>
      </c>
      <c r="E13" s="10"/>
      <c r="F13" s="10"/>
      <c r="G13" s="11"/>
      <c r="H13" s="12">
        <v>60</v>
      </c>
      <c r="I13" s="7" t="s">
        <v>2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4">
        <f t="shared" si="0"/>
        <v>60</v>
      </c>
      <c r="Q13" s="1" t="s">
        <v>14</v>
      </c>
      <c r="R13" s="44">
        <v>0</v>
      </c>
      <c r="S13" s="46"/>
    </row>
    <row r="14" spans="1:20" x14ac:dyDescent="0.25">
      <c r="A14" s="7">
        <v>11</v>
      </c>
      <c r="D14" s="16" t="s">
        <v>7</v>
      </c>
      <c r="E14" s="17"/>
      <c r="F14" s="17"/>
      <c r="G14" s="18"/>
      <c r="H14" s="12">
        <v>0</v>
      </c>
      <c r="I14" s="7" t="s">
        <v>2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4">
        <f t="shared" si="0"/>
        <v>0</v>
      </c>
      <c r="Q14" s="1" t="s">
        <v>14</v>
      </c>
      <c r="R14" s="44">
        <v>20</v>
      </c>
      <c r="S14" s="47">
        <v>50</v>
      </c>
    </row>
    <row r="15" spans="1:20" x14ac:dyDescent="0.25">
      <c r="A15" s="7">
        <v>12</v>
      </c>
      <c r="D15" s="9" t="s">
        <v>69</v>
      </c>
      <c r="E15" s="10"/>
      <c r="F15" s="10"/>
      <c r="G15" s="11"/>
      <c r="H15" s="12">
        <v>4</v>
      </c>
      <c r="I15" s="7" t="s">
        <v>2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4">
        <f t="shared" si="0"/>
        <v>4</v>
      </c>
      <c r="Q15" s="1" t="s">
        <v>14</v>
      </c>
      <c r="R15" s="44">
        <v>100</v>
      </c>
      <c r="S15" s="47">
        <v>200</v>
      </c>
    </row>
    <row r="16" spans="1:20" x14ac:dyDescent="0.25">
      <c r="A16" s="7">
        <v>13</v>
      </c>
      <c r="D16" s="16" t="s">
        <v>27</v>
      </c>
      <c r="E16" s="17"/>
      <c r="F16" s="17"/>
      <c r="G16" s="18"/>
      <c r="H16" s="12">
        <v>0</v>
      </c>
      <c r="I16" s="7" t="s">
        <v>2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4">
        <f t="shared" si="0"/>
        <v>0</v>
      </c>
      <c r="Q16" s="1" t="s">
        <v>14</v>
      </c>
      <c r="R16" s="44">
        <v>0</v>
      </c>
      <c r="S16" s="46"/>
    </row>
    <row r="17" spans="1:19" x14ac:dyDescent="0.25">
      <c r="A17" s="7">
        <v>14</v>
      </c>
      <c r="D17" s="9" t="s">
        <v>73</v>
      </c>
      <c r="E17" s="10"/>
      <c r="F17" s="10"/>
      <c r="G17" s="11"/>
      <c r="H17" s="12">
        <v>794</v>
      </c>
      <c r="I17" s="7" t="s">
        <v>2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4">
        <f t="shared" si="0"/>
        <v>794</v>
      </c>
      <c r="Q17" s="1" t="s">
        <v>14</v>
      </c>
      <c r="R17" s="44">
        <v>0</v>
      </c>
      <c r="S17" s="46"/>
    </row>
    <row r="18" spans="1:19" x14ac:dyDescent="0.25">
      <c r="A18" s="7">
        <v>15</v>
      </c>
      <c r="D18" s="16" t="s">
        <v>28</v>
      </c>
      <c r="E18" s="17"/>
      <c r="F18" s="17"/>
      <c r="G18" s="18"/>
      <c r="H18" s="12">
        <v>29</v>
      </c>
      <c r="I18" s="7" t="s">
        <v>2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4">
        <f t="shared" si="0"/>
        <v>29</v>
      </c>
      <c r="Q18" s="1" t="s">
        <v>14</v>
      </c>
      <c r="R18" s="44">
        <v>20</v>
      </c>
      <c r="S18" s="47">
        <v>50</v>
      </c>
    </row>
    <row r="19" spans="1:19" x14ac:dyDescent="0.25">
      <c r="A19" s="7">
        <v>16</v>
      </c>
      <c r="D19" s="9" t="s">
        <v>29</v>
      </c>
      <c r="E19" s="10"/>
      <c r="F19" s="10"/>
      <c r="G19" s="11"/>
      <c r="H19" s="12">
        <v>34</v>
      </c>
      <c r="I19" s="7" t="s">
        <v>2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4">
        <f t="shared" si="0"/>
        <v>34</v>
      </c>
      <c r="Q19" s="1" t="s">
        <v>14</v>
      </c>
      <c r="R19" s="44">
        <v>20</v>
      </c>
      <c r="S19" s="47">
        <v>50</v>
      </c>
    </row>
    <row r="20" spans="1:19" x14ac:dyDescent="0.25">
      <c r="A20" s="7">
        <v>17</v>
      </c>
      <c r="D20" s="16" t="s">
        <v>30</v>
      </c>
      <c r="E20" s="17"/>
      <c r="F20" s="17"/>
      <c r="G20" s="18"/>
      <c r="H20" s="12">
        <v>70</v>
      </c>
      <c r="I20" s="7" t="s">
        <v>2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4">
        <f t="shared" si="0"/>
        <v>70</v>
      </c>
      <c r="Q20" s="1" t="s">
        <v>14</v>
      </c>
      <c r="R20" s="44">
        <v>20</v>
      </c>
      <c r="S20" s="47">
        <v>50</v>
      </c>
    </row>
    <row r="21" spans="1:19" x14ac:dyDescent="0.25">
      <c r="A21" s="7">
        <v>18</v>
      </c>
      <c r="D21" s="9" t="s">
        <v>129</v>
      </c>
      <c r="E21" s="10"/>
      <c r="F21" s="10"/>
      <c r="G21" s="11"/>
      <c r="H21" s="12">
        <v>10</v>
      </c>
      <c r="I21" s="7" t="s">
        <v>2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4">
        <f t="shared" si="0"/>
        <v>10</v>
      </c>
      <c r="Q21" s="1" t="s">
        <v>14</v>
      </c>
      <c r="R21" s="44">
        <v>0</v>
      </c>
      <c r="S21" s="46"/>
    </row>
    <row r="22" spans="1:19" x14ac:dyDescent="0.25">
      <c r="A22" s="7">
        <v>19</v>
      </c>
      <c r="D22" s="55" t="s">
        <v>8</v>
      </c>
      <c r="E22" s="56"/>
      <c r="F22" s="56"/>
      <c r="G22" s="57"/>
      <c r="H22" s="12">
        <v>0</v>
      </c>
      <c r="I22" s="59" t="s">
        <v>1</v>
      </c>
      <c r="J22" s="3">
        <v>10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46">
        <f t="shared" si="0"/>
        <v>10</v>
      </c>
      <c r="Q22" s="1" t="s">
        <v>14</v>
      </c>
      <c r="R22" s="44">
        <v>50</v>
      </c>
      <c r="S22" s="47">
        <v>200</v>
      </c>
    </row>
    <row r="23" spans="1:19" x14ac:dyDescent="0.25">
      <c r="A23" s="7">
        <v>20</v>
      </c>
      <c r="D23" s="9" t="s">
        <v>32</v>
      </c>
      <c r="E23" s="10"/>
      <c r="F23" s="10"/>
      <c r="G23" s="11"/>
      <c r="H23" s="12">
        <f>'ARALIK 3 HAFTA '!P23</f>
        <v>2000</v>
      </c>
      <c r="I23" s="7" t="s">
        <v>2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4">
        <f t="shared" si="0"/>
        <v>2000</v>
      </c>
      <c r="Q23" s="1" t="s">
        <v>14</v>
      </c>
      <c r="R23" s="44">
        <v>0</v>
      </c>
      <c r="S23" s="46"/>
    </row>
    <row r="24" spans="1:19" x14ac:dyDescent="0.25">
      <c r="A24" s="7">
        <v>21</v>
      </c>
      <c r="D24" s="16" t="s">
        <v>140</v>
      </c>
      <c r="E24" s="17"/>
      <c r="F24" s="17"/>
      <c r="G24" s="18"/>
      <c r="H24" s="12">
        <v>200</v>
      </c>
      <c r="I24" s="7" t="s">
        <v>2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4">
        <f t="shared" si="0"/>
        <v>200</v>
      </c>
      <c r="Q24" s="1" t="s">
        <v>14</v>
      </c>
      <c r="R24" s="44">
        <v>0</v>
      </c>
      <c r="S24" s="46"/>
    </row>
    <row r="25" spans="1:19" x14ac:dyDescent="0.25">
      <c r="A25" s="7">
        <v>22</v>
      </c>
      <c r="D25" s="9" t="s">
        <v>34</v>
      </c>
      <c r="E25" s="10"/>
      <c r="F25" s="10"/>
      <c r="G25" s="11"/>
      <c r="H25" s="12">
        <v>50</v>
      </c>
      <c r="I25" s="7" t="s">
        <v>2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4">
        <f t="shared" si="0"/>
        <v>50</v>
      </c>
      <c r="Q25" s="1" t="s">
        <v>14</v>
      </c>
      <c r="R25" s="44">
        <v>0</v>
      </c>
      <c r="S25" s="46"/>
    </row>
    <row r="26" spans="1:19" x14ac:dyDescent="0.25">
      <c r="A26" s="7">
        <v>23</v>
      </c>
      <c r="D26" s="16" t="s">
        <v>142</v>
      </c>
      <c r="E26" s="17"/>
      <c r="F26" s="17"/>
      <c r="G26" s="18"/>
      <c r="H26" s="12">
        <v>69</v>
      </c>
      <c r="I26" s="7" t="s">
        <v>2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20</v>
      </c>
      <c r="P26" s="4">
        <f t="shared" si="0"/>
        <v>49</v>
      </c>
      <c r="Q26" s="1" t="s">
        <v>14</v>
      </c>
      <c r="R26" s="44">
        <v>20</v>
      </c>
      <c r="S26" s="47">
        <v>50</v>
      </c>
    </row>
    <row r="27" spans="1:19" x14ac:dyDescent="0.25">
      <c r="A27" s="7">
        <v>24</v>
      </c>
      <c r="D27" s="9" t="s">
        <v>141</v>
      </c>
      <c r="E27" s="10"/>
      <c r="F27" s="10"/>
      <c r="G27" s="11"/>
      <c r="H27" s="12">
        <v>0</v>
      </c>
      <c r="I27" s="7" t="s">
        <v>2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  <c r="P27" s="4">
        <f t="shared" si="0"/>
        <v>0</v>
      </c>
      <c r="Q27" s="1"/>
      <c r="R27" s="44">
        <v>20</v>
      </c>
      <c r="S27" s="47">
        <v>50</v>
      </c>
    </row>
    <row r="28" spans="1:19" x14ac:dyDescent="0.25">
      <c r="A28" s="7">
        <v>25</v>
      </c>
      <c r="D28" s="9" t="s">
        <v>137</v>
      </c>
      <c r="E28" s="10"/>
      <c r="F28" s="10"/>
      <c r="G28" s="11"/>
      <c r="H28" s="12">
        <v>112</v>
      </c>
      <c r="I28" s="7" t="s">
        <v>2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4">
        <f t="shared" si="0"/>
        <v>112</v>
      </c>
      <c r="Q28" s="1" t="s">
        <v>14</v>
      </c>
      <c r="R28" s="44">
        <v>20</v>
      </c>
      <c r="S28" s="47">
        <v>50</v>
      </c>
    </row>
    <row r="29" spans="1:19" x14ac:dyDescent="0.25">
      <c r="A29" s="7">
        <v>26</v>
      </c>
      <c r="D29" s="9" t="s">
        <v>138</v>
      </c>
      <c r="E29" s="10"/>
      <c r="F29" s="10"/>
      <c r="G29" s="11"/>
      <c r="H29" s="12">
        <v>32</v>
      </c>
      <c r="I29" s="7" t="s">
        <v>2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4">
        <f t="shared" si="0"/>
        <v>32</v>
      </c>
      <c r="Q29" s="1"/>
      <c r="R29" s="44"/>
      <c r="S29" s="47"/>
    </row>
    <row r="30" spans="1:19" x14ac:dyDescent="0.25">
      <c r="A30" s="7">
        <v>27</v>
      </c>
      <c r="D30" s="16" t="s">
        <v>35</v>
      </c>
      <c r="E30" s="17"/>
      <c r="F30" s="17"/>
      <c r="G30" s="18"/>
      <c r="H30" s="12">
        <v>500</v>
      </c>
      <c r="I30" s="7" t="s">
        <v>2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4">
        <f t="shared" si="0"/>
        <v>500</v>
      </c>
      <c r="Q30" s="1" t="s">
        <v>14</v>
      </c>
      <c r="R30" s="44">
        <v>50</v>
      </c>
      <c r="S30" s="47">
        <v>100</v>
      </c>
    </row>
    <row r="31" spans="1:19" x14ac:dyDescent="0.25">
      <c r="A31" s="7">
        <v>28</v>
      </c>
      <c r="D31" s="9" t="s">
        <v>36</v>
      </c>
      <c r="E31" s="10"/>
      <c r="F31" s="10"/>
      <c r="G31" s="11"/>
      <c r="H31" s="12">
        <v>46</v>
      </c>
      <c r="I31" s="7" t="s">
        <v>2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4">
        <f t="shared" si="0"/>
        <v>46</v>
      </c>
      <c r="Q31" s="1" t="s">
        <v>14</v>
      </c>
      <c r="R31" s="44">
        <v>50</v>
      </c>
      <c r="S31" s="47">
        <v>100</v>
      </c>
    </row>
    <row r="32" spans="1:19" x14ac:dyDescent="0.25">
      <c r="A32" s="7">
        <v>29</v>
      </c>
      <c r="D32" s="16" t="s">
        <v>37</v>
      </c>
      <c r="E32" s="17"/>
      <c r="F32" s="17"/>
      <c r="G32" s="18"/>
      <c r="H32" s="12">
        <v>599</v>
      </c>
      <c r="I32" s="7" t="s">
        <v>2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20</v>
      </c>
      <c r="P32" s="4">
        <f t="shared" si="0"/>
        <v>579</v>
      </c>
      <c r="Q32" s="1" t="s">
        <v>14</v>
      </c>
      <c r="R32" s="44">
        <v>20</v>
      </c>
      <c r="S32" s="47">
        <v>50</v>
      </c>
    </row>
    <row r="33" spans="1:19" x14ac:dyDescent="0.25">
      <c r="A33" s="7">
        <v>30</v>
      </c>
      <c r="D33" s="9" t="s">
        <v>38</v>
      </c>
      <c r="E33" s="10"/>
      <c r="F33" s="10"/>
      <c r="G33" s="11"/>
      <c r="H33" s="12">
        <v>600</v>
      </c>
      <c r="I33" s="7" t="s">
        <v>2</v>
      </c>
      <c r="J33" s="3">
        <v>0</v>
      </c>
      <c r="K33" s="3">
        <v>10</v>
      </c>
      <c r="L33" s="3">
        <v>0</v>
      </c>
      <c r="M33" s="3">
        <v>0</v>
      </c>
      <c r="N33" s="3">
        <v>0</v>
      </c>
      <c r="O33" s="3">
        <v>0</v>
      </c>
      <c r="P33" s="4">
        <f t="shared" si="0"/>
        <v>590</v>
      </c>
      <c r="Q33" s="1" t="s">
        <v>14</v>
      </c>
      <c r="R33" s="44">
        <v>50</v>
      </c>
      <c r="S33" s="47">
        <v>100</v>
      </c>
    </row>
    <row r="34" spans="1:19" x14ac:dyDescent="0.25">
      <c r="A34" s="7">
        <v>31</v>
      </c>
      <c r="D34" s="16" t="s">
        <v>39</v>
      </c>
      <c r="E34" s="17"/>
      <c r="F34" s="17"/>
      <c r="G34" s="18"/>
      <c r="H34" s="12">
        <v>64</v>
      </c>
      <c r="I34" s="7" t="s">
        <v>2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20</v>
      </c>
      <c r="P34" s="4">
        <f t="shared" si="0"/>
        <v>44</v>
      </c>
      <c r="Q34" s="1" t="s">
        <v>14</v>
      </c>
      <c r="R34" s="44">
        <v>20</v>
      </c>
      <c r="S34" s="47">
        <v>50</v>
      </c>
    </row>
    <row r="35" spans="1:19" x14ac:dyDescent="0.25">
      <c r="A35" s="7">
        <v>32</v>
      </c>
      <c r="D35" s="9" t="s">
        <v>40</v>
      </c>
      <c r="E35" s="10"/>
      <c r="F35" s="10"/>
      <c r="G35" s="11"/>
      <c r="H35" s="12">
        <f>'ARALIK 3 HAFTA '!P33</f>
        <v>1075</v>
      </c>
      <c r="I35" s="7" t="s">
        <v>2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4">
        <f t="shared" si="0"/>
        <v>1075</v>
      </c>
      <c r="Q35" s="1" t="s">
        <v>14</v>
      </c>
      <c r="R35" s="44">
        <v>0</v>
      </c>
      <c r="S35" s="46"/>
    </row>
    <row r="36" spans="1:19" x14ac:dyDescent="0.25">
      <c r="A36" s="7">
        <v>33</v>
      </c>
      <c r="D36" s="9" t="s">
        <v>9</v>
      </c>
      <c r="E36" s="10"/>
      <c r="F36" s="10"/>
      <c r="G36" s="11"/>
      <c r="H36" s="12">
        <v>558</v>
      </c>
      <c r="I36" s="7" t="s">
        <v>2</v>
      </c>
      <c r="J36" s="3">
        <v>0</v>
      </c>
      <c r="K36" s="3">
        <v>300</v>
      </c>
      <c r="L36" s="3">
        <v>0</v>
      </c>
      <c r="M36" s="3">
        <v>0</v>
      </c>
      <c r="N36" s="3">
        <v>0</v>
      </c>
      <c r="O36" s="3">
        <v>36</v>
      </c>
      <c r="P36" s="4">
        <f t="shared" si="0"/>
        <v>222</v>
      </c>
      <c r="Q36" s="1" t="s">
        <v>14</v>
      </c>
      <c r="R36" s="44">
        <v>50</v>
      </c>
      <c r="S36" s="47">
        <v>100</v>
      </c>
    </row>
    <row r="37" spans="1:19" x14ac:dyDescent="0.25">
      <c r="A37" s="7">
        <v>34</v>
      </c>
      <c r="D37" s="19" t="s">
        <v>70</v>
      </c>
      <c r="E37" s="20"/>
      <c r="F37" s="20"/>
      <c r="G37" s="21"/>
      <c r="H37" s="69">
        <v>53</v>
      </c>
      <c r="I37" s="7" t="s">
        <v>2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4">
        <f t="shared" si="0"/>
        <v>53</v>
      </c>
      <c r="Q37" s="1" t="s">
        <v>14</v>
      </c>
      <c r="R37" s="44">
        <v>0</v>
      </c>
      <c r="S37" s="46"/>
    </row>
    <row r="38" spans="1:19" x14ac:dyDescent="0.25">
      <c r="A38" s="7">
        <v>35</v>
      </c>
      <c r="D38" s="16" t="s">
        <v>143</v>
      </c>
      <c r="E38" s="17"/>
      <c r="F38" s="17"/>
      <c r="G38" s="18"/>
      <c r="H38" s="12">
        <v>182</v>
      </c>
      <c r="I38" s="7" t="s">
        <v>2</v>
      </c>
      <c r="J38" s="3">
        <v>0</v>
      </c>
      <c r="K38" s="3">
        <v>150</v>
      </c>
      <c r="L38" s="3">
        <v>0</v>
      </c>
      <c r="M38" s="3">
        <v>0</v>
      </c>
      <c r="N38" s="3">
        <v>0</v>
      </c>
      <c r="O38" s="3">
        <v>18</v>
      </c>
      <c r="P38" s="4">
        <f t="shared" si="0"/>
        <v>14</v>
      </c>
      <c r="Q38" s="1" t="s">
        <v>14</v>
      </c>
      <c r="R38" s="44">
        <v>50</v>
      </c>
      <c r="S38" s="46">
        <v>100</v>
      </c>
    </row>
    <row r="39" spans="1:19" x14ac:dyDescent="0.25">
      <c r="A39" s="7">
        <v>36</v>
      </c>
      <c r="D39" s="9" t="s">
        <v>144</v>
      </c>
      <c r="E39" s="10"/>
      <c r="F39" s="10"/>
      <c r="G39" s="11"/>
      <c r="H39" s="12">
        <v>314</v>
      </c>
      <c r="I39" s="7" t="s">
        <v>2</v>
      </c>
      <c r="J39" s="3">
        <v>0</v>
      </c>
      <c r="K39" s="3">
        <v>150</v>
      </c>
      <c r="L39" s="3">
        <v>0</v>
      </c>
      <c r="M39" s="3">
        <v>0</v>
      </c>
      <c r="N39" s="3">
        <v>0</v>
      </c>
      <c r="O39" s="3">
        <v>18</v>
      </c>
      <c r="P39" s="4">
        <f t="shared" si="0"/>
        <v>146</v>
      </c>
      <c r="Q39" s="1" t="s">
        <v>14</v>
      </c>
      <c r="R39" s="44">
        <v>50</v>
      </c>
      <c r="S39" s="47">
        <v>100</v>
      </c>
    </row>
    <row r="40" spans="1:19" x14ac:dyDescent="0.25">
      <c r="A40" s="7">
        <v>37</v>
      </c>
      <c r="D40" s="16" t="s">
        <v>42</v>
      </c>
      <c r="E40" s="17"/>
      <c r="F40" s="17"/>
      <c r="G40" s="18"/>
      <c r="H40" s="12">
        <v>272</v>
      </c>
      <c r="I40" s="7" t="s">
        <v>2</v>
      </c>
      <c r="J40" s="3">
        <v>0</v>
      </c>
      <c r="K40" s="3">
        <v>150</v>
      </c>
      <c r="L40" s="3">
        <v>0</v>
      </c>
      <c r="M40" s="3">
        <v>0</v>
      </c>
      <c r="N40" s="3">
        <v>0</v>
      </c>
      <c r="O40" s="3">
        <v>18</v>
      </c>
      <c r="P40" s="4">
        <f t="shared" si="0"/>
        <v>104</v>
      </c>
      <c r="Q40" s="1" t="s">
        <v>14</v>
      </c>
      <c r="R40" s="44">
        <v>50</v>
      </c>
      <c r="S40" s="47">
        <v>100</v>
      </c>
    </row>
    <row r="41" spans="1:19" x14ac:dyDescent="0.25">
      <c r="A41" s="7">
        <v>38</v>
      </c>
      <c r="D41" s="9" t="s">
        <v>133</v>
      </c>
      <c r="E41" s="10"/>
      <c r="F41" s="10"/>
      <c r="G41" s="11"/>
      <c r="H41" s="12">
        <v>32</v>
      </c>
      <c r="I41" s="7" t="s">
        <v>2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4">
        <f t="shared" si="0"/>
        <v>32</v>
      </c>
      <c r="Q41" s="1" t="s">
        <v>14</v>
      </c>
      <c r="R41" s="44">
        <v>20</v>
      </c>
      <c r="S41" s="47">
        <v>50</v>
      </c>
    </row>
    <row r="42" spans="1:19" x14ac:dyDescent="0.25">
      <c r="A42" s="7">
        <v>39</v>
      </c>
      <c r="D42" s="16" t="s">
        <v>145</v>
      </c>
      <c r="E42" s="17"/>
      <c r="F42" s="17"/>
      <c r="G42" s="18"/>
      <c r="H42" s="12">
        <v>22</v>
      </c>
      <c r="I42" s="7" t="s">
        <v>2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4">
        <f t="shared" si="0"/>
        <v>22</v>
      </c>
      <c r="Q42" s="1" t="s">
        <v>14</v>
      </c>
      <c r="R42" s="44">
        <v>20</v>
      </c>
      <c r="S42" s="46">
        <v>50</v>
      </c>
    </row>
    <row r="43" spans="1:19" x14ac:dyDescent="0.25">
      <c r="A43" s="7">
        <v>40</v>
      </c>
      <c r="D43" s="9" t="s">
        <v>71</v>
      </c>
      <c r="E43" s="10"/>
      <c r="F43" s="10"/>
      <c r="G43" s="11"/>
      <c r="H43" s="12">
        <v>25</v>
      </c>
      <c r="I43" s="7" t="s">
        <v>2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4">
        <f t="shared" si="0"/>
        <v>25</v>
      </c>
      <c r="Q43" s="1" t="s">
        <v>14</v>
      </c>
      <c r="R43" s="44">
        <v>5</v>
      </c>
      <c r="S43" s="47">
        <v>10</v>
      </c>
    </row>
    <row r="44" spans="1:19" x14ac:dyDescent="0.25">
      <c r="A44" s="7">
        <v>41</v>
      </c>
      <c r="D44" s="16" t="s">
        <v>10</v>
      </c>
      <c r="E44" s="17"/>
      <c r="F44" s="17"/>
      <c r="G44" s="18"/>
      <c r="H44" s="12">
        <v>2974</v>
      </c>
      <c r="I44" s="7" t="s">
        <v>2</v>
      </c>
      <c r="J44" s="3">
        <v>0</v>
      </c>
      <c r="K44" s="3">
        <v>0</v>
      </c>
      <c r="L44" s="3">
        <v>0</v>
      </c>
      <c r="M44" s="3">
        <v>12</v>
      </c>
      <c r="N44" s="3">
        <v>2500</v>
      </c>
      <c r="O44" s="3">
        <v>12</v>
      </c>
      <c r="P44" s="4">
        <f t="shared" si="0"/>
        <v>450</v>
      </c>
      <c r="Q44" s="1" t="s">
        <v>14</v>
      </c>
      <c r="R44" s="44">
        <v>40</v>
      </c>
      <c r="S44" s="47">
        <v>100</v>
      </c>
    </row>
    <row r="45" spans="1:19" x14ac:dyDescent="0.25">
      <c r="A45" s="7">
        <v>42</v>
      </c>
      <c r="D45" s="9" t="s">
        <v>45</v>
      </c>
      <c r="E45" s="10"/>
      <c r="F45" s="10"/>
      <c r="G45" s="11"/>
      <c r="H45" s="12">
        <v>1512</v>
      </c>
      <c r="I45" s="7" t="s">
        <v>2</v>
      </c>
      <c r="J45" s="3">
        <v>0</v>
      </c>
      <c r="K45" s="3">
        <v>0</v>
      </c>
      <c r="L45" s="3">
        <v>0</v>
      </c>
      <c r="M45" s="3">
        <v>6</v>
      </c>
      <c r="N45" s="3">
        <v>1250</v>
      </c>
      <c r="O45" s="3">
        <v>6</v>
      </c>
      <c r="P45" s="4">
        <f t="shared" si="0"/>
        <v>250</v>
      </c>
      <c r="Q45" s="1" t="s">
        <v>14</v>
      </c>
      <c r="R45" s="44">
        <v>20</v>
      </c>
      <c r="S45" s="47">
        <v>50</v>
      </c>
    </row>
    <row r="46" spans="1:19" x14ac:dyDescent="0.25">
      <c r="A46" s="7">
        <v>43</v>
      </c>
      <c r="D46" s="16" t="s">
        <v>46</v>
      </c>
      <c r="E46" s="17"/>
      <c r="F46" s="17"/>
      <c r="G46" s="18"/>
      <c r="H46" s="12">
        <v>1512</v>
      </c>
      <c r="I46" s="7" t="s">
        <v>2</v>
      </c>
      <c r="J46" s="3">
        <v>0</v>
      </c>
      <c r="K46" s="3">
        <v>0</v>
      </c>
      <c r="L46" s="3">
        <v>0</v>
      </c>
      <c r="M46" s="3">
        <v>6</v>
      </c>
      <c r="N46" s="3">
        <v>1250</v>
      </c>
      <c r="O46" s="3">
        <v>6</v>
      </c>
      <c r="P46" s="4">
        <f t="shared" si="0"/>
        <v>250</v>
      </c>
      <c r="Q46" s="1" t="s">
        <v>14</v>
      </c>
      <c r="R46" s="44">
        <v>20</v>
      </c>
      <c r="S46" s="47">
        <v>50</v>
      </c>
    </row>
    <row r="47" spans="1:19" x14ac:dyDescent="0.25">
      <c r="A47" s="7">
        <v>44</v>
      </c>
      <c r="D47" s="9" t="s">
        <v>47</v>
      </c>
      <c r="E47" s="10"/>
      <c r="F47" s="10"/>
      <c r="G47" s="11"/>
      <c r="H47" s="12">
        <v>1527</v>
      </c>
      <c r="I47" s="7" t="s">
        <v>2</v>
      </c>
      <c r="J47" s="3">
        <v>0</v>
      </c>
      <c r="K47" s="3">
        <v>0</v>
      </c>
      <c r="L47" s="3">
        <v>0</v>
      </c>
      <c r="M47" s="3">
        <v>6</v>
      </c>
      <c r="N47" s="3">
        <v>1250</v>
      </c>
      <c r="O47" s="3">
        <v>6</v>
      </c>
      <c r="P47" s="4">
        <f t="shared" si="0"/>
        <v>265</v>
      </c>
      <c r="Q47" s="1" t="s">
        <v>14</v>
      </c>
      <c r="R47" s="44">
        <v>20</v>
      </c>
      <c r="S47" s="47">
        <v>50</v>
      </c>
    </row>
    <row r="48" spans="1:19" x14ac:dyDescent="0.25">
      <c r="A48" s="7">
        <v>45</v>
      </c>
      <c r="D48" s="16" t="s">
        <v>79</v>
      </c>
      <c r="E48" s="17"/>
      <c r="F48" s="17"/>
      <c r="G48" s="18"/>
      <c r="H48" s="12">
        <v>17</v>
      </c>
      <c r="I48" s="7" t="s">
        <v>2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4">
        <f t="shared" si="0"/>
        <v>17</v>
      </c>
      <c r="Q48" s="1" t="s">
        <v>14</v>
      </c>
      <c r="R48" s="44">
        <v>10</v>
      </c>
      <c r="S48" s="47">
        <v>20</v>
      </c>
    </row>
    <row r="49" spans="1:20" x14ac:dyDescent="0.25">
      <c r="A49" s="7">
        <v>46</v>
      </c>
      <c r="D49" s="9" t="s">
        <v>48</v>
      </c>
      <c r="E49" s="10"/>
      <c r="F49" s="10"/>
      <c r="G49" s="11"/>
      <c r="H49" s="12">
        <v>18</v>
      </c>
      <c r="I49" s="7" t="s">
        <v>2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4">
        <f t="shared" si="0"/>
        <v>18</v>
      </c>
      <c r="Q49" s="1" t="s">
        <v>14</v>
      </c>
      <c r="R49" s="44">
        <v>10</v>
      </c>
      <c r="S49" s="47">
        <v>20</v>
      </c>
      <c r="T49" t="s">
        <v>75</v>
      </c>
    </row>
    <row r="50" spans="1:20" x14ac:dyDescent="0.25">
      <c r="A50" s="7">
        <v>47</v>
      </c>
      <c r="D50" s="16" t="s">
        <v>49</v>
      </c>
      <c r="E50" s="17"/>
      <c r="F50" s="17"/>
      <c r="G50" s="18"/>
      <c r="H50" s="12">
        <v>17</v>
      </c>
      <c r="I50" s="7" t="s">
        <v>2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4">
        <f t="shared" si="0"/>
        <v>17</v>
      </c>
      <c r="Q50" s="1" t="s">
        <v>14</v>
      </c>
      <c r="R50" s="44">
        <v>10</v>
      </c>
      <c r="S50" s="47">
        <v>20</v>
      </c>
    </row>
    <row r="51" spans="1:20" x14ac:dyDescent="0.25">
      <c r="A51" s="7">
        <v>48</v>
      </c>
      <c r="D51" s="9" t="s">
        <v>11</v>
      </c>
      <c r="E51" s="10"/>
      <c r="F51" s="10"/>
      <c r="G51" s="11"/>
      <c r="H51" s="12">
        <v>92.5</v>
      </c>
      <c r="I51" s="7" t="s">
        <v>1</v>
      </c>
      <c r="J51" s="3">
        <v>0</v>
      </c>
      <c r="K51" s="3">
        <v>23</v>
      </c>
      <c r="L51" s="3">
        <v>0</v>
      </c>
      <c r="M51" s="3">
        <v>0</v>
      </c>
      <c r="N51" s="3">
        <v>25</v>
      </c>
      <c r="O51" s="3">
        <v>0</v>
      </c>
      <c r="P51" s="4">
        <f t="shared" si="0"/>
        <v>44.5</v>
      </c>
      <c r="Q51" s="1" t="s">
        <v>14</v>
      </c>
      <c r="R51" s="44">
        <v>20</v>
      </c>
      <c r="S51" s="47">
        <v>100</v>
      </c>
    </row>
    <row r="52" spans="1:20" x14ac:dyDescent="0.25">
      <c r="A52" s="7">
        <v>49</v>
      </c>
      <c r="D52" s="16" t="s">
        <v>111</v>
      </c>
      <c r="E52" s="17"/>
      <c r="F52" s="17"/>
      <c r="G52" s="18"/>
      <c r="H52" s="12">
        <v>55</v>
      </c>
      <c r="I52" s="7" t="s">
        <v>2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4">
        <f t="shared" si="0"/>
        <v>55</v>
      </c>
      <c r="Q52" s="1" t="s">
        <v>14</v>
      </c>
      <c r="R52" s="44">
        <v>30</v>
      </c>
      <c r="S52" s="47">
        <v>100</v>
      </c>
    </row>
    <row r="53" spans="1:20" x14ac:dyDescent="0.25">
      <c r="A53" s="7">
        <v>50</v>
      </c>
      <c r="D53" s="9" t="s">
        <v>51</v>
      </c>
      <c r="E53" s="10"/>
      <c r="F53" s="10"/>
      <c r="G53" s="11"/>
      <c r="H53" s="12">
        <v>92</v>
      </c>
      <c r="I53" s="7" t="s">
        <v>2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4">
        <f t="shared" si="0"/>
        <v>92</v>
      </c>
      <c r="Q53" s="1" t="s">
        <v>14</v>
      </c>
      <c r="R53" s="44">
        <v>20</v>
      </c>
      <c r="S53" s="47">
        <v>50</v>
      </c>
    </row>
    <row r="54" spans="1:20" x14ac:dyDescent="0.25">
      <c r="A54" s="7">
        <v>51</v>
      </c>
      <c r="D54" s="16" t="s">
        <v>52</v>
      </c>
      <c r="E54" s="17"/>
      <c r="F54" s="17"/>
      <c r="G54" s="18"/>
      <c r="H54" s="12">
        <v>133</v>
      </c>
      <c r="I54" s="7" t="s">
        <v>2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  <c r="P54" s="4">
        <f t="shared" si="0"/>
        <v>133</v>
      </c>
      <c r="Q54" s="1" t="s">
        <v>14</v>
      </c>
      <c r="R54" s="44">
        <v>20</v>
      </c>
      <c r="S54" s="47">
        <v>50</v>
      </c>
      <c r="T54" t="s">
        <v>75</v>
      </c>
    </row>
    <row r="55" spans="1:20" x14ac:dyDescent="0.25">
      <c r="A55" s="7">
        <v>52</v>
      </c>
      <c r="D55" s="9" t="s">
        <v>53</v>
      </c>
      <c r="E55" s="10"/>
      <c r="F55" s="10"/>
      <c r="G55" s="11"/>
      <c r="H55" s="12">
        <v>124</v>
      </c>
      <c r="I55" s="7" t="s">
        <v>2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  <c r="P55" s="4">
        <f t="shared" si="0"/>
        <v>124</v>
      </c>
      <c r="Q55" s="1" t="s">
        <v>14</v>
      </c>
      <c r="R55" s="44">
        <v>20</v>
      </c>
      <c r="S55" s="47">
        <v>50</v>
      </c>
    </row>
    <row r="56" spans="1:20" x14ac:dyDescent="0.25">
      <c r="A56" s="7">
        <v>53</v>
      </c>
      <c r="D56" s="70" t="s">
        <v>54</v>
      </c>
      <c r="E56" s="71"/>
      <c r="F56" s="71"/>
      <c r="G56" s="72"/>
      <c r="H56" s="12">
        <v>1125</v>
      </c>
      <c r="I56" s="7" t="s">
        <v>1</v>
      </c>
      <c r="J56" s="3">
        <v>0</v>
      </c>
      <c r="K56" s="3">
        <v>90</v>
      </c>
      <c r="L56" s="3">
        <v>0</v>
      </c>
      <c r="M56" s="3">
        <v>30</v>
      </c>
      <c r="N56" s="3">
        <v>265</v>
      </c>
      <c r="O56" s="3">
        <v>45</v>
      </c>
      <c r="P56" s="4">
        <f t="shared" si="0"/>
        <v>695</v>
      </c>
      <c r="Q56" s="1" t="s">
        <v>120</v>
      </c>
      <c r="R56" s="44">
        <v>250</v>
      </c>
      <c r="S56" s="47">
        <v>750</v>
      </c>
    </row>
    <row r="57" spans="1:20" x14ac:dyDescent="0.25">
      <c r="A57" s="7">
        <v>54</v>
      </c>
      <c r="D57" s="16" t="s">
        <v>61</v>
      </c>
      <c r="E57" s="17"/>
      <c r="F57" s="17"/>
      <c r="G57" s="18"/>
      <c r="H57" s="12">
        <v>246</v>
      </c>
      <c r="I57" s="7" t="s">
        <v>2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  <c r="P57" s="4">
        <f t="shared" si="0"/>
        <v>246</v>
      </c>
      <c r="Q57" s="1" t="s">
        <v>14</v>
      </c>
      <c r="R57" s="44">
        <v>0</v>
      </c>
      <c r="S57" s="46"/>
    </row>
    <row r="58" spans="1:20" x14ac:dyDescent="0.25">
      <c r="A58" s="7">
        <v>55</v>
      </c>
      <c r="D58" s="9" t="s">
        <v>62</v>
      </c>
      <c r="E58" s="10"/>
      <c r="F58" s="10"/>
      <c r="G58" s="11"/>
      <c r="H58" s="12">
        <v>212</v>
      </c>
      <c r="I58" s="7" t="s">
        <v>2</v>
      </c>
      <c r="J58" s="3">
        <v>1000</v>
      </c>
      <c r="K58" s="3">
        <v>150</v>
      </c>
      <c r="L58" s="3">
        <v>0</v>
      </c>
      <c r="M58" s="3">
        <v>0</v>
      </c>
      <c r="N58" s="3">
        <v>385</v>
      </c>
      <c r="O58" s="3">
        <v>156</v>
      </c>
      <c r="P58" s="4">
        <f t="shared" si="0"/>
        <v>521</v>
      </c>
      <c r="Q58" s="1" t="s">
        <v>14</v>
      </c>
      <c r="R58" s="44">
        <v>200</v>
      </c>
      <c r="S58" s="47">
        <v>1000</v>
      </c>
    </row>
    <row r="59" spans="1:20" x14ac:dyDescent="0.25">
      <c r="A59" s="7">
        <v>56</v>
      </c>
      <c r="D59" s="16" t="s">
        <v>13</v>
      </c>
      <c r="E59" s="17"/>
      <c r="F59" s="17"/>
      <c r="G59" s="18"/>
      <c r="H59" s="12">
        <v>297</v>
      </c>
      <c r="I59" s="7" t="s">
        <v>2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17</v>
      </c>
      <c r="P59" s="4">
        <f t="shared" si="0"/>
        <v>280</v>
      </c>
      <c r="Q59" s="1" t="s">
        <v>14</v>
      </c>
      <c r="R59" s="44">
        <v>100</v>
      </c>
      <c r="S59" s="47">
        <v>300</v>
      </c>
    </row>
    <row r="60" spans="1:20" x14ac:dyDescent="0.25">
      <c r="A60" s="7">
        <v>57</v>
      </c>
      <c r="D60" s="9" t="s">
        <v>72</v>
      </c>
      <c r="E60" s="10"/>
      <c r="F60" s="10"/>
      <c r="G60" s="11"/>
      <c r="H60" s="12">
        <v>350</v>
      </c>
      <c r="I60" s="7" t="s">
        <v>2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4">
        <f t="shared" si="0"/>
        <v>350</v>
      </c>
      <c r="Q60" s="1" t="s">
        <v>14</v>
      </c>
      <c r="R60" s="44">
        <v>100</v>
      </c>
      <c r="S60" s="47">
        <v>300</v>
      </c>
    </row>
    <row r="61" spans="1:20" x14ac:dyDescent="0.25">
      <c r="A61" s="7">
        <v>58</v>
      </c>
      <c r="D61" s="16" t="s">
        <v>63</v>
      </c>
      <c r="E61" s="17"/>
      <c r="F61" s="17"/>
      <c r="G61" s="18"/>
      <c r="H61" s="12">
        <v>0</v>
      </c>
      <c r="I61" s="7" t="s">
        <v>2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4">
        <f t="shared" si="0"/>
        <v>0</v>
      </c>
      <c r="Q61" s="1" t="s">
        <v>14</v>
      </c>
      <c r="R61" s="44">
        <v>100</v>
      </c>
      <c r="S61" s="47">
        <v>300</v>
      </c>
    </row>
    <row r="62" spans="1:20" x14ac:dyDescent="0.25">
      <c r="A62" s="7">
        <v>59</v>
      </c>
      <c r="D62" s="9" t="s">
        <v>77</v>
      </c>
      <c r="E62" s="10"/>
      <c r="F62" s="10"/>
      <c r="G62" s="11"/>
      <c r="H62" s="12">
        <v>1100</v>
      </c>
      <c r="I62" s="7" t="s">
        <v>2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4">
        <f t="shared" si="0"/>
        <v>1100</v>
      </c>
      <c r="Q62" s="1" t="s">
        <v>14</v>
      </c>
      <c r="R62" s="44">
        <v>100</v>
      </c>
      <c r="S62" s="47">
        <v>300</v>
      </c>
    </row>
    <row r="63" spans="1:20" x14ac:dyDescent="0.25">
      <c r="A63" s="7">
        <v>60</v>
      </c>
      <c r="D63" s="16" t="s">
        <v>130</v>
      </c>
      <c r="E63" s="17"/>
      <c r="F63" s="17"/>
      <c r="G63" s="18"/>
      <c r="H63" s="12">
        <v>0</v>
      </c>
      <c r="I63" s="7" t="s">
        <v>2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4">
        <f t="shared" si="0"/>
        <v>0</v>
      </c>
      <c r="Q63" s="1" t="s">
        <v>14</v>
      </c>
      <c r="R63" s="44">
        <v>0</v>
      </c>
      <c r="S63" s="46"/>
    </row>
    <row r="64" spans="1:20" x14ac:dyDescent="0.25">
      <c r="A64" s="7">
        <v>61</v>
      </c>
      <c r="D64" s="26" t="s">
        <v>146</v>
      </c>
      <c r="E64" s="27"/>
      <c r="F64" s="27"/>
      <c r="G64" s="28"/>
      <c r="H64" s="12">
        <v>52</v>
      </c>
      <c r="I64" s="30" t="s">
        <v>2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4">
        <f t="shared" si="0"/>
        <v>52</v>
      </c>
      <c r="Q64" s="1" t="s">
        <v>14</v>
      </c>
      <c r="R64" s="44">
        <v>50</v>
      </c>
      <c r="S64" s="47">
        <v>100</v>
      </c>
    </row>
    <row r="65" spans="1:20" x14ac:dyDescent="0.25">
      <c r="A65" s="7">
        <v>62</v>
      </c>
      <c r="D65" s="16" t="s">
        <v>65</v>
      </c>
      <c r="E65" s="17"/>
      <c r="F65" s="17"/>
      <c r="G65" s="18"/>
      <c r="H65" s="12">
        <v>59</v>
      </c>
      <c r="I65" s="7" t="s">
        <v>2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4">
        <f t="shared" si="0"/>
        <v>59</v>
      </c>
      <c r="Q65" s="1" t="s">
        <v>14</v>
      </c>
      <c r="R65" s="44">
        <v>0</v>
      </c>
      <c r="S65" s="46"/>
    </row>
    <row r="66" spans="1:20" x14ac:dyDescent="0.25">
      <c r="A66" s="7">
        <v>63</v>
      </c>
      <c r="D66" s="9" t="s">
        <v>66</v>
      </c>
      <c r="E66" s="10"/>
      <c r="F66" s="10"/>
      <c r="G66" s="11"/>
      <c r="H66" s="12">
        <v>150</v>
      </c>
      <c r="I66" s="7" t="s">
        <v>2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  <c r="P66" s="4">
        <f t="shared" si="0"/>
        <v>150</v>
      </c>
      <c r="Q66" s="1" t="s">
        <v>14</v>
      </c>
      <c r="R66" s="44">
        <v>300</v>
      </c>
      <c r="S66" s="47">
        <v>1000</v>
      </c>
    </row>
    <row r="67" spans="1:20" x14ac:dyDescent="0.25">
      <c r="A67" s="7">
        <v>64</v>
      </c>
      <c r="D67" s="19" t="s">
        <v>86</v>
      </c>
      <c r="E67" s="20"/>
      <c r="F67" s="20"/>
      <c r="G67" s="21"/>
      <c r="H67" s="12">
        <v>1539</v>
      </c>
      <c r="I67" s="7" t="s">
        <v>2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  <c r="P67" s="4">
        <f t="shared" si="0"/>
        <v>1539</v>
      </c>
      <c r="Q67" s="1" t="s">
        <v>14</v>
      </c>
      <c r="R67" s="44">
        <v>50</v>
      </c>
      <c r="S67" s="47">
        <v>150</v>
      </c>
    </row>
    <row r="68" spans="1:20" x14ac:dyDescent="0.25">
      <c r="A68" s="7">
        <v>65</v>
      </c>
      <c r="D68" s="22" t="s">
        <v>74</v>
      </c>
      <c r="E68" s="10"/>
      <c r="F68" s="10"/>
      <c r="G68" s="11"/>
      <c r="H68" s="12">
        <v>0</v>
      </c>
      <c r="I68" s="8" t="s">
        <v>75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4">
        <f t="shared" ref="P68:P89" si="1">+H68+J68-K68-L68-M68-N68-O68</f>
        <v>0</v>
      </c>
      <c r="Q68" s="1" t="s">
        <v>91</v>
      </c>
      <c r="R68" s="44">
        <v>65</v>
      </c>
      <c r="S68" s="47">
        <v>150</v>
      </c>
    </row>
    <row r="69" spans="1:20" x14ac:dyDescent="0.25">
      <c r="A69" s="7">
        <v>66</v>
      </c>
      <c r="C69" s="1" t="s">
        <v>14</v>
      </c>
      <c r="D69" s="22" t="s">
        <v>76</v>
      </c>
      <c r="E69" s="10"/>
      <c r="F69" s="10"/>
      <c r="G69" s="11"/>
      <c r="H69" s="12">
        <v>240</v>
      </c>
      <c r="I69" s="8" t="s">
        <v>2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4">
        <f t="shared" si="1"/>
        <v>240</v>
      </c>
      <c r="Q69" s="1" t="s">
        <v>14</v>
      </c>
      <c r="R69" s="44">
        <v>50</v>
      </c>
      <c r="S69" s="47">
        <v>100</v>
      </c>
    </row>
    <row r="70" spans="1:20" x14ac:dyDescent="0.25">
      <c r="A70" s="7">
        <v>67</v>
      </c>
      <c r="D70" s="25" t="s">
        <v>147</v>
      </c>
      <c r="H70" s="12">
        <v>142</v>
      </c>
      <c r="I70" s="30" t="s">
        <v>2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4">
        <f t="shared" si="1"/>
        <v>142</v>
      </c>
      <c r="Q70" s="1" t="s">
        <v>14</v>
      </c>
      <c r="R70" s="44">
        <v>50</v>
      </c>
      <c r="S70" s="47">
        <v>100</v>
      </c>
    </row>
    <row r="71" spans="1:20" x14ac:dyDescent="0.25">
      <c r="A71" s="7">
        <v>68</v>
      </c>
      <c r="D71" s="26" t="s">
        <v>80</v>
      </c>
      <c r="E71" s="27"/>
      <c r="F71" s="27"/>
      <c r="G71" s="28"/>
      <c r="H71" s="12">
        <v>20</v>
      </c>
      <c r="I71" s="8" t="s">
        <v>2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4">
        <f t="shared" si="1"/>
        <v>20</v>
      </c>
      <c r="Q71" s="1" t="s">
        <v>14</v>
      </c>
      <c r="R71" s="44">
        <v>0</v>
      </c>
      <c r="S71" s="46"/>
    </row>
    <row r="72" spans="1:20" x14ac:dyDescent="0.25">
      <c r="A72" s="7">
        <v>69</v>
      </c>
      <c r="D72" s="26" t="s">
        <v>84</v>
      </c>
      <c r="E72" s="27"/>
      <c r="F72" s="27"/>
      <c r="G72" s="28"/>
      <c r="H72" s="12">
        <f>'ARALIK 3 HAFTA '!P77</f>
        <v>50</v>
      </c>
      <c r="I72" s="8" t="s">
        <v>2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  <c r="P72" s="4">
        <f t="shared" si="1"/>
        <v>50</v>
      </c>
      <c r="Q72" s="1" t="s">
        <v>14</v>
      </c>
      <c r="R72" s="44">
        <v>100</v>
      </c>
      <c r="S72" s="47">
        <v>200</v>
      </c>
    </row>
    <row r="73" spans="1:20" x14ac:dyDescent="0.25">
      <c r="A73" s="7">
        <v>70</v>
      </c>
      <c r="D73" s="26" t="s">
        <v>85</v>
      </c>
      <c r="E73" s="27"/>
      <c r="F73" s="27"/>
      <c r="G73" s="28"/>
      <c r="H73" s="12">
        <f>'ARALIK 3 HAFTA '!P78</f>
        <v>0</v>
      </c>
      <c r="I73" s="8" t="s">
        <v>2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4">
        <f t="shared" si="1"/>
        <v>0</v>
      </c>
      <c r="R73" s="44">
        <v>0</v>
      </c>
      <c r="S73" s="46"/>
    </row>
    <row r="74" spans="1:20" x14ac:dyDescent="0.25">
      <c r="A74" s="7">
        <v>71</v>
      </c>
      <c r="D74" s="37" t="s">
        <v>99</v>
      </c>
      <c r="E74" s="17"/>
      <c r="F74" s="33"/>
      <c r="G74" s="33"/>
      <c r="H74" s="12">
        <v>493.7</v>
      </c>
      <c r="I74" s="8" t="s">
        <v>2</v>
      </c>
      <c r="J74" s="3">
        <v>0</v>
      </c>
      <c r="K74" s="3">
        <v>40</v>
      </c>
      <c r="L74" s="3">
        <v>0</v>
      </c>
      <c r="M74" s="3">
        <v>0</v>
      </c>
      <c r="N74" s="3">
        <v>0</v>
      </c>
      <c r="O74" s="3">
        <v>50</v>
      </c>
      <c r="P74" s="4">
        <f t="shared" si="1"/>
        <v>403.7</v>
      </c>
      <c r="Q74" s="1" t="s">
        <v>14</v>
      </c>
      <c r="R74" s="44">
        <v>100</v>
      </c>
      <c r="S74" s="47">
        <v>500</v>
      </c>
    </row>
    <row r="75" spans="1:20" x14ac:dyDescent="0.25">
      <c r="A75" s="7">
        <v>72</v>
      </c>
      <c r="D75" s="22" t="s">
        <v>100</v>
      </c>
      <c r="E75" s="10"/>
      <c r="F75" s="10"/>
      <c r="G75" s="28"/>
      <c r="H75" s="12">
        <v>0</v>
      </c>
      <c r="I75" s="8" t="s">
        <v>2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4">
        <f t="shared" si="1"/>
        <v>0</v>
      </c>
      <c r="R75" s="44">
        <v>0</v>
      </c>
      <c r="S75" s="46"/>
    </row>
    <row r="76" spans="1:20" x14ac:dyDescent="0.25">
      <c r="A76" s="7">
        <v>73</v>
      </c>
      <c r="D76" s="37" t="s">
        <v>113</v>
      </c>
      <c r="E76" s="17"/>
      <c r="F76" s="17"/>
      <c r="G76" s="33"/>
      <c r="H76" s="12">
        <v>424</v>
      </c>
      <c r="I76" s="8" t="s">
        <v>97</v>
      </c>
      <c r="J76" s="3">
        <v>0</v>
      </c>
      <c r="K76" s="3">
        <v>246</v>
      </c>
      <c r="L76" s="3">
        <v>0</v>
      </c>
      <c r="M76" s="3">
        <v>48</v>
      </c>
      <c r="N76" s="3">
        <v>0</v>
      </c>
      <c r="O76" s="3">
        <v>18.399999999999999</v>
      </c>
      <c r="P76" s="4">
        <f t="shared" si="1"/>
        <v>111.6</v>
      </c>
      <c r="Q76" s="65" t="s">
        <v>121</v>
      </c>
      <c r="R76" s="44">
        <v>30</v>
      </c>
      <c r="S76" s="47">
        <v>100</v>
      </c>
    </row>
    <row r="77" spans="1:20" x14ac:dyDescent="0.25">
      <c r="A77" s="7">
        <v>74</v>
      </c>
      <c r="D77" s="22" t="s">
        <v>103</v>
      </c>
      <c r="E77" s="10"/>
      <c r="F77" s="10"/>
      <c r="G77" s="28"/>
      <c r="H77" s="12">
        <v>248</v>
      </c>
      <c r="I77" s="8" t="s">
        <v>2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4">
        <f t="shared" si="1"/>
        <v>248</v>
      </c>
      <c r="R77" s="44">
        <v>60</v>
      </c>
      <c r="S77" s="47">
        <v>100</v>
      </c>
    </row>
    <row r="78" spans="1:20" x14ac:dyDescent="0.25">
      <c r="A78" s="8">
        <v>75</v>
      </c>
      <c r="D78" s="49" t="s">
        <v>108</v>
      </c>
      <c r="E78" s="20"/>
      <c r="F78" s="20"/>
      <c r="G78" s="20"/>
      <c r="H78" s="12">
        <v>0</v>
      </c>
      <c r="I78" s="8" t="s">
        <v>110</v>
      </c>
      <c r="J78" s="3">
        <v>5000</v>
      </c>
      <c r="K78" s="3">
        <v>0</v>
      </c>
      <c r="L78" s="3">
        <v>0</v>
      </c>
      <c r="M78" s="3">
        <v>0</v>
      </c>
      <c r="N78" s="3">
        <v>2500</v>
      </c>
      <c r="O78" s="3">
        <v>500</v>
      </c>
      <c r="P78" s="4">
        <f t="shared" si="1"/>
        <v>2000</v>
      </c>
      <c r="R78" s="43">
        <v>1000</v>
      </c>
      <c r="S78" s="46">
        <v>10000</v>
      </c>
    </row>
    <row r="79" spans="1:20" x14ac:dyDescent="0.25">
      <c r="A79" s="48">
        <v>76</v>
      </c>
      <c r="B79" s="41"/>
      <c r="C79" s="41"/>
      <c r="D79" s="22" t="s">
        <v>115</v>
      </c>
      <c r="E79" s="10"/>
      <c r="F79" s="10"/>
      <c r="G79" s="11"/>
      <c r="H79" s="12">
        <v>260</v>
      </c>
      <c r="I79" s="62" t="s">
        <v>2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  <c r="P79" s="64">
        <f t="shared" si="1"/>
        <v>260</v>
      </c>
      <c r="R79" s="64">
        <v>50</v>
      </c>
      <c r="S79" s="64">
        <v>100</v>
      </c>
      <c r="T79" t="s">
        <v>75</v>
      </c>
    </row>
    <row r="80" spans="1:20" x14ac:dyDescent="0.25">
      <c r="A80" s="73">
        <v>77</v>
      </c>
      <c r="B80" s="41"/>
      <c r="C80" s="41"/>
      <c r="D80" s="49" t="s">
        <v>134</v>
      </c>
      <c r="E80" s="35"/>
      <c r="F80" s="35"/>
      <c r="G80" s="60"/>
      <c r="H80" s="12">
        <v>77</v>
      </c>
      <c r="I80" s="8" t="s">
        <v>2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  <c r="P80" s="4">
        <f t="shared" si="1"/>
        <v>77</v>
      </c>
      <c r="Q80" s="4"/>
      <c r="R80" s="4">
        <v>20</v>
      </c>
      <c r="S80" s="4">
        <v>50</v>
      </c>
    </row>
    <row r="81" spans="1:19" x14ac:dyDescent="0.25">
      <c r="A81" s="8">
        <v>78</v>
      </c>
      <c r="D81" s="22" t="s">
        <v>123</v>
      </c>
      <c r="E81" s="10"/>
      <c r="F81" s="10"/>
      <c r="G81" s="11"/>
      <c r="H81" s="12">
        <v>2500</v>
      </c>
      <c r="I81" s="8" t="s">
        <v>2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  <c r="P81" s="4">
        <f t="shared" si="1"/>
        <v>2500</v>
      </c>
      <c r="Q81" s="4"/>
      <c r="R81" s="4">
        <v>100</v>
      </c>
      <c r="S81" s="4">
        <v>500</v>
      </c>
    </row>
    <row r="82" spans="1:19" x14ac:dyDescent="0.25">
      <c r="A82" s="48">
        <v>79</v>
      </c>
      <c r="B82" s="41"/>
      <c r="C82" s="41"/>
      <c r="D82" s="22" t="s">
        <v>154</v>
      </c>
      <c r="E82" s="10"/>
      <c r="F82" s="10"/>
      <c r="G82" s="11"/>
      <c r="H82" s="4">
        <v>15</v>
      </c>
      <c r="I82" s="8" t="s">
        <v>2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  <c r="P82" s="4">
        <f t="shared" si="1"/>
        <v>15</v>
      </c>
      <c r="Q82" s="4"/>
      <c r="R82" s="4"/>
      <c r="S82" s="4"/>
    </row>
    <row r="83" spans="1:19" x14ac:dyDescent="0.25">
      <c r="A83" s="48">
        <v>80</v>
      </c>
      <c r="B83" s="41"/>
      <c r="C83" s="41"/>
      <c r="D83" s="37" t="s">
        <v>155</v>
      </c>
      <c r="E83" s="17"/>
      <c r="F83" s="17"/>
      <c r="G83" s="18"/>
      <c r="H83" s="64">
        <v>15</v>
      </c>
      <c r="I83" s="62" t="s">
        <v>2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64">
        <f t="shared" si="1"/>
        <v>15</v>
      </c>
      <c r="Q83" s="64"/>
      <c r="R83" s="64"/>
      <c r="S83" s="64"/>
    </row>
    <row r="84" spans="1:19" x14ac:dyDescent="0.25">
      <c r="A84" s="48">
        <v>81</v>
      </c>
      <c r="B84" s="11"/>
      <c r="C84" s="23"/>
      <c r="D84" s="23" t="s">
        <v>149</v>
      </c>
      <c r="E84" s="23"/>
      <c r="F84" s="23"/>
      <c r="G84" s="23"/>
      <c r="H84" s="23">
        <v>20</v>
      </c>
      <c r="I84" s="8" t="s">
        <v>2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4">
        <f t="shared" si="1"/>
        <v>20</v>
      </c>
      <c r="Q84" s="4"/>
      <c r="R84" s="4"/>
      <c r="S84" s="4"/>
    </row>
    <row r="85" spans="1:19" x14ac:dyDescent="0.25">
      <c r="A85" s="8">
        <v>82</v>
      </c>
      <c r="D85" s="68" t="s">
        <v>148</v>
      </c>
      <c r="E85" s="27"/>
      <c r="F85" s="27"/>
      <c r="G85" s="28"/>
      <c r="H85" s="4">
        <v>77</v>
      </c>
      <c r="I85" s="8" t="s">
        <v>2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4">
        <f t="shared" si="1"/>
        <v>77</v>
      </c>
      <c r="Q85" s="4"/>
      <c r="R85" s="4"/>
      <c r="S85" s="4"/>
    </row>
    <row r="86" spans="1:19" ht="15.75" customHeight="1" x14ac:dyDescent="0.25">
      <c r="A86" s="8">
        <v>83</v>
      </c>
      <c r="D86" s="22" t="s">
        <v>150</v>
      </c>
      <c r="E86" s="10"/>
      <c r="F86" s="27"/>
      <c r="G86" s="28"/>
      <c r="H86" s="4">
        <v>13</v>
      </c>
      <c r="I86" s="8" t="s">
        <v>2</v>
      </c>
      <c r="J86" s="3">
        <v>400</v>
      </c>
      <c r="K86" s="3">
        <v>13</v>
      </c>
      <c r="L86" s="3">
        <v>50</v>
      </c>
      <c r="M86" s="3">
        <v>0</v>
      </c>
      <c r="N86" s="3">
        <v>0</v>
      </c>
      <c r="O86" s="3">
        <v>0</v>
      </c>
      <c r="P86" s="4">
        <f t="shared" si="1"/>
        <v>350</v>
      </c>
      <c r="Q86" s="4"/>
      <c r="R86" s="4">
        <v>50</v>
      </c>
      <c r="S86" s="4">
        <v>300</v>
      </c>
    </row>
    <row r="87" spans="1:19" x14ac:dyDescent="0.25">
      <c r="A87" s="8">
        <v>84</v>
      </c>
      <c r="D87" s="22" t="s">
        <v>152</v>
      </c>
      <c r="E87" s="10"/>
      <c r="F87" s="10"/>
      <c r="G87" s="11"/>
      <c r="H87" s="23">
        <v>966</v>
      </c>
      <c r="I87" s="8" t="s">
        <v>2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4">
        <f t="shared" si="1"/>
        <v>966</v>
      </c>
      <c r="Q87" s="4"/>
      <c r="R87" s="4"/>
      <c r="S87" s="4"/>
    </row>
    <row r="88" spans="1:19" x14ac:dyDescent="0.25">
      <c r="A88" s="8">
        <v>85</v>
      </c>
      <c r="D88" s="49" t="s">
        <v>153</v>
      </c>
      <c r="E88" s="20"/>
      <c r="F88" s="20"/>
      <c r="G88" s="21"/>
      <c r="H88" s="23">
        <v>88</v>
      </c>
      <c r="I88" s="8" t="s">
        <v>2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4">
        <f t="shared" si="1"/>
        <v>88</v>
      </c>
      <c r="Q88" s="4"/>
      <c r="R88" s="4"/>
      <c r="S88" s="4"/>
    </row>
    <row r="89" spans="1:19" x14ac:dyDescent="0.25">
      <c r="A89" s="77">
        <v>86</v>
      </c>
      <c r="D89" s="68" t="s">
        <v>157</v>
      </c>
      <c r="E89" s="27"/>
      <c r="F89" s="27"/>
      <c r="G89" s="28"/>
      <c r="H89" s="74">
        <v>0</v>
      </c>
      <c r="I89" s="75" t="s">
        <v>2</v>
      </c>
      <c r="J89" s="3">
        <v>0</v>
      </c>
      <c r="K89" s="3">
        <v>0</v>
      </c>
      <c r="L89" s="3">
        <v>0</v>
      </c>
      <c r="M89" s="3">
        <v>0</v>
      </c>
      <c r="N89" s="3">
        <v>0</v>
      </c>
      <c r="O89" s="3">
        <v>0</v>
      </c>
      <c r="P89" s="4">
        <f t="shared" si="1"/>
        <v>0</v>
      </c>
      <c r="Q89" s="4"/>
      <c r="R89" s="4"/>
      <c r="S89" s="4"/>
    </row>
  </sheetData>
  <pageMargins left="0.75" right="0.75" top="1" bottom="1" header="0.5" footer="0.5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T89"/>
  <sheetViews>
    <sheetView topLeftCell="A16" workbookViewId="0">
      <selection activeCell="L43" sqref="L43"/>
    </sheetView>
  </sheetViews>
  <sheetFormatPr defaultRowHeight="15" x14ac:dyDescent="0.25"/>
  <cols>
    <col min="1" max="1" width="5.5703125" customWidth="1"/>
    <col min="2" max="3" width="9.140625" hidden="1" customWidth="1"/>
    <col min="11" max="15" width="10.140625" bestFit="1" customWidth="1"/>
    <col min="17" max="17" width="4.85546875" customWidth="1"/>
    <col min="18" max="18" width="10" customWidth="1"/>
    <col min="19" max="19" width="11.140625" customWidth="1"/>
  </cols>
  <sheetData>
    <row r="1" spans="1:20" x14ac:dyDescent="0.25">
      <c r="G1" s="1"/>
      <c r="P1">
        <f>+H1+J1-K1-L1-M1-N1-O1</f>
        <v>0</v>
      </c>
    </row>
    <row r="2" spans="1:20" x14ac:dyDescent="0.25">
      <c r="A2" t="s">
        <v>14</v>
      </c>
      <c r="D2" s="78">
        <v>45078</v>
      </c>
      <c r="O2" s="38" t="s">
        <v>14</v>
      </c>
      <c r="S2" s="50">
        <v>44837</v>
      </c>
    </row>
    <row r="3" spans="1:20" x14ac:dyDescent="0.25">
      <c r="A3" s="3" t="s">
        <v>15</v>
      </c>
      <c r="D3" s="9" t="s">
        <v>17</v>
      </c>
      <c r="E3" s="10"/>
      <c r="F3" s="10"/>
      <c r="G3" s="11"/>
      <c r="H3" s="12" t="s">
        <v>18</v>
      </c>
      <c r="I3" s="4" t="s">
        <v>19</v>
      </c>
      <c r="J3" s="3" t="s">
        <v>20</v>
      </c>
      <c r="K3" s="5">
        <v>45083</v>
      </c>
      <c r="L3" s="6">
        <v>45096</v>
      </c>
      <c r="M3" s="5">
        <v>45100</v>
      </c>
      <c r="N3" s="5">
        <v>45114</v>
      </c>
      <c r="O3" s="6">
        <v>45122</v>
      </c>
      <c r="P3" s="3" t="s">
        <v>21</v>
      </c>
      <c r="R3" s="42" t="s">
        <v>105</v>
      </c>
      <c r="S3" s="45" t="s">
        <v>104</v>
      </c>
    </row>
    <row r="4" spans="1:20" x14ac:dyDescent="0.25">
      <c r="A4" s="7">
        <v>1</v>
      </c>
      <c r="D4" s="13" t="s">
        <v>16</v>
      </c>
      <c r="E4" s="14"/>
      <c r="F4" s="14"/>
      <c r="G4" s="15"/>
      <c r="H4" s="12">
        <v>0</v>
      </c>
      <c r="I4" s="7" t="s">
        <v>1</v>
      </c>
      <c r="J4" s="3">
        <v>662</v>
      </c>
      <c r="K4" s="3">
        <v>17</v>
      </c>
      <c r="L4" s="3">
        <v>0</v>
      </c>
      <c r="M4" s="3">
        <v>34</v>
      </c>
      <c r="N4" s="3">
        <v>0</v>
      </c>
      <c r="O4" s="3">
        <v>0</v>
      </c>
      <c r="P4" s="4">
        <f t="shared" ref="P4:P67" si="0">+H4+J4-K4-L4-M4-N4-O4</f>
        <v>611</v>
      </c>
      <c r="Q4" t="s">
        <v>67</v>
      </c>
      <c r="R4" s="43">
        <v>100</v>
      </c>
      <c r="S4" s="46">
        <v>500</v>
      </c>
      <c r="T4" t="s">
        <v>75</v>
      </c>
    </row>
    <row r="5" spans="1:20" x14ac:dyDescent="0.25">
      <c r="A5" s="7">
        <v>2</v>
      </c>
      <c r="D5" s="9" t="s">
        <v>22</v>
      </c>
      <c r="E5" s="10"/>
      <c r="F5" s="10"/>
      <c r="G5" s="11"/>
      <c r="H5" s="12">
        <v>28</v>
      </c>
      <c r="I5" s="7" t="s">
        <v>2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4">
        <f t="shared" si="0"/>
        <v>28</v>
      </c>
      <c r="Q5" s="1" t="s">
        <v>14</v>
      </c>
      <c r="R5" s="44">
        <v>6</v>
      </c>
      <c r="S5" s="47">
        <v>10</v>
      </c>
    </row>
    <row r="6" spans="1:20" x14ac:dyDescent="0.25">
      <c r="A6" s="7">
        <v>3</v>
      </c>
      <c r="D6" s="16" t="s">
        <v>23</v>
      </c>
      <c r="E6" s="17"/>
      <c r="F6" s="17"/>
      <c r="G6" s="18"/>
      <c r="H6" s="12">
        <v>60</v>
      </c>
      <c r="I6" s="7" t="s">
        <v>2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4">
        <f t="shared" si="0"/>
        <v>60</v>
      </c>
      <c r="Q6" s="1" t="s">
        <v>14</v>
      </c>
      <c r="R6" s="44">
        <v>6</v>
      </c>
      <c r="S6" s="47">
        <v>10</v>
      </c>
    </row>
    <row r="7" spans="1:20" x14ac:dyDescent="0.25">
      <c r="A7" s="7">
        <v>4</v>
      </c>
      <c r="D7" s="9" t="s">
        <v>3</v>
      </c>
      <c r="E7" s="10"/>
      <c r="F7" s="10"/>
      <c r="G7" s="11"/>
      <c r="H7" s="12">
        <v>30</v>
      </c>
      <c r="I7" s="7" t="s">
        <v>2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4">
        <f t="shared" si="0"/>
        <v>30</v>
      </c>
      <c r="Q7" s="1" t="s">
        <v>14</v>
      </c>
      <c r="R7" s="44">
        <v>6</v>
      </c>
      <c r="S7" s="47">
        <v>10</v>
      </c>
    </row>
    <row r="8" spans="1:20" x14ac:dyDescent="0.25">
      <c r="A8" s="7">
        <v>5</v>
      </c>
      <c r="D8" s="16" t="s">
        <v>139</v>
      </c>
      <c r="E8" s="17"/>
      <c r="F8" s="17"/>
      <c r="G8" s="18"/>
      <c r="H8" s="12">
        <v>505</v>
      </c>
      <c r="I8" s="7" t="s">
        <v>2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4">
        <f t="shared" si="0"/>
        <v>505</v>
      </c>
      <c r="Q8" s="1" t="s">
        <v>14</v>
      </c>
      <c r="R8" s="44">
        <v>100</v>
      </c>
      <c r="S8" s="47">
        <v>400</v>
      </c>
    </row>
    <row r="9" spans="1:20" x14ac:dyDescent="0.25">
      <c r="A9" s="7">
        <v>6</v>
      </c>
      <c r="D9" s="9" t="s">
        <v>24</v>
      </c>
      <c r="E9" s="10"/>
      <c r="F9" s="10"/>
      <c r="G9" s="11"/>
      <c r="H9" s="12">
        <v>338</v>
      </c>
      <c r="I9" s="7" t="s">
        <v>2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4">
        <f t="shared" si="0"/>
        <v>338</v>
      </c>
      <c r="Q9" s="1" t="s">
        <v>14</v>
      </c>
      <c r="R9" s="44">
        <v>60</v>
      </c>
      <c r="S9" s="47">
        <v>200</v>
      </c>
    </row>
    <row r="10" spans="1:20" x14ac:dyDescent="0.25">
      <c r="A10" s="7">
        <v>7</v>
      </c>
      <c r="D10" s="16" t="s">
        <v>101</v>
      </c>
      <c r="E10" s="17"/>
      <c r="F10" s="17"/>
      <c r="G10" s="18"/>
      <c r="H10" s="12">
        <v>3050</v>
      </c>
      <c r="I10" s="7" t="s">
        <v>2</v>
      </c>
      <c r="J10" s="3">
        <v>0</v>
      </c>
      <c r="K10" s="3">
        <v>0</v>
      </c>
      <c r="L10" s="3">
        <v>12</v>
      </c>
      <c r="M10" s="3">
        <v>48</v>
      </c>
      <c r="N10" s="3">
        <v>0</v>
      </c>
      <c r="O10" s="3">
        <v>12</v>
      </c>
      <c r="P10" s="4">
        <f t="shared" si="0"/>
        <v>2978</v>
      </c>
      <c r="Q10" s="1" t="s">
        <v>14</v>
      </c>
      <c r="R10" s="44">
        <v>200</v>
      </c>
      <c r="S10" s="47">
        <v>500</v>
      </c>
    </row>
    <row r="11" spans="1:20" x14ac:dyDescent="0.25">
      <c r="A11" s="7">
        <v>8</v>
      </c>
      <c r="D11" s="9" t="s">
        <v>25</v>
      </c>
      <c r="E11" s="10"/>
      <c r="F11" s="10"/>
      <c r="G11" s="11"/>
      <c r="H11" s="12">
        <v>430</v>
      </c>
      <c r="I11" s="7" t="s">
        <v>2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4">
        <f t="shared" si="0"/>
        <v>430</v>
      </c>
      <c r="Q11" s="1" t="s">
        <v>14</v>
      </c>
      <c r="R11" s="44">
        <v>0</v>
      </c>
      <c r="S11" s="47">
        <v>0</v>
      </c>
    </row>
    <row r="12" spans="1:20" x14ac:dyDescent="0.25">
      <c r="A12" s="7">
        <v>9</v>
      </c>
      <c r="D12" s="16" t="s">
        <v>26</v>
      </c>
      <c r="E12" s="17"/>
      <c r="F12" s="17"/>
      <c r="G12" s="18"/>
      <c r="H12" s="12">
        <v>0</v>
      </c>
      <c r="I12" s="7" t="s">
        <v>2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4">
        <f t="shared" si="0"/>
        <v>0</v>
      </c>
      <c r="Q12" s="1" t="s">
        <v>14</v>
      </c>
      <c r="R12" s="44">
        <v>200</v>
      </c>
      <c r="S12" s="47">
        <v>400</v>
      </c>
    </row>
    <row r="13" spans="1:20" x14ac:dyDescent="0.25">
      <c r="A13" s="7">
        <v>10</v>
      </c>
      <c r="D13" s="9" t="s">
        <v>6</v>
      </c>
      <c r="E13" s="10"/>
      <c r="F13" s="10"/>
      <c r="G13" s="11"/>
      <c r="H13" s="12">
        <v>60</v>
      </c>
      <c r="I13" s="7" t="s">
        <v>2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4">
        <f t="shared" si="0"/>
        <v>60</v>
      </c>
      <c r="Q13" s="1" t="s">
        <v>14</v>
      </c>
      <c r="R13" s="44">
        <v>0</v>
      </c>
      <c r="S13" s="46"/>
    </row>
    <row r="14" spans="1:20" x14ac:dyDescent="0.25">
      <c r="A14" s="7">
        <v>11</v>
      </c>
      <c r="D14" s="16" t="s">
        <v>7</v>
      </c>
      <c r="E14" s="17"/>
      <c r="F14" s="17"/>
      <c r="G14" s="18"/>
      <c r="H14" s="12">
        <v>0</v>
      </c>
      <c r="I14" s="7" t="s">
        <v>2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4">
        <f t="shared" si="0"/>
        <v>0</v>
      </c>
      <c r="Q14" s="1" t="s">
        <v>14</v>
      </c>
      <c r="R14" s="44">
        <v>20</v>
      </c>
      <c r="S14" s="47">
        <v>50</v>
      </c>
    </row>
    <row r="15" spans="1:20" x14ac:dyDescent="0.25">
      <c r="A15" s="7">
        <v>12</v>
      </c>
      <c r="D15" s="9" t="s">
        <v>69</v>
      </c>
      <c r="E15" s="10"/>
      <c r="F15" s="10"/>
      <c r="G15" s="11"/>
      <c r="H15" s="12">
        <v>4</v>
      </c>
      <c r="I15" s="7" t="s">
        <v>2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4">
        <f t="shared" si="0"/>
        <v>4</v>
      </c>
      <c r="Q15" s="1" t="s">
        <v>14</v>
      </c>
      <c r="R15" s="44">
        <v>100</v>
      </c>
      <c r="S15" s="47">
        <v>200</v>
      </c>
    </row>
    <row r="16" spans="1:20" x14ac:dyDescent="0.25">
      <c r="A16" s="7">
        <v>13</v>
      </c>
      <c r="D16" s="16" t="s">
        <v>27</v>
      </c>
      <c r="E16" s="17"/>
      <c r="F16" s="17"/>
      <c r="G16" s="18"/>
      <c r="H16" s="12">
        <v>0</v>
      </c>
      <c r="I16" s="7" t="s">
        <v>2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4">
        <f t="shared" si="0"/>
        <v>0</v>
      </c>
      <c r="Q16" s="1" t="s">
        <v>14</v>
      </c>
      <c r="R16" s="44">
        <v>0</v>
      </c>
      <c r="S16" s="46"/>
    </row>
    <row r="17" spans="1:19" x14ac:dyDescent="0.25">
      <c r="A17" s="7">
        <v>14</v>
      </c>
      <c r="D17" s="9" t="s">
        <v>73</v>
      </c>
      <c r="E17" s="10"/>
      <c r="F17" s="10"/>
      <c r="G17" s="11"/>
      <c r="H17" s="12">
        <v>794</v>
      </c>
      <c r="I17" s="7" t="s">
        <v>2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4">
        <f t="shared" si="0"/>
        <v>794</v>
      </c>
      <c r="Q17" s="1" t="s">
        <v>14</v>
      </c>
      <c r="R17" s="44">
        <v>0</v>
      </c>
      <c r="S17" s="46"/>
    </row>
    <row r="18" spans="1:19" x14ac:dyDescent="0.25">
      <c r="A18" s="7">
        <v>15</v>
      </c>
      <c r="D18" s="16" t="s">
        <v>28</v>
      </c>
      <c r="E18" s="17"/>
      <c r="F18" s="17"/>
      <c r="G18" s="18"/>
      <c r="H18" s="12">
        <v>13</v>
      </c>
      <c r="I18" s="7" t="s">
        <v>2</v>
      </c>
      <c r="J18" s="3">
        <v>30</v>
      </c>
      <c r="K18" s="3">
        <v>3</v>
      </c>
      <c r="L18" s="3">
        <v>0</v>
      </c>
      <c r="M18" s="3">
        <v>0</v>
      </c>
      <c r="N18" s="3">
        <v>17</v>
      </c>
      <c r="O18" s="3">
        <v>2</v>
      </c>
      <c r="P18" s="4">
        <f t="shared" si="0"/>
        <v>21</v>
      </c>
      <c r="Q18" s="1" t="s">
        <v>14</v>
      </c>
      <c r="R18" s="44">
        <v>20</v>
      </c>
      <c r="S18" s="47">
        <v>50</v>
      </c>
    </row>
    <row r="19" spans="1:19" x14ac:dyDescent="0.25">
      <c r="A19" s="7">
        <v>16</v>
      </c>
      <c r="D19" s="9" t="s">
        <v>29</v>
      </c>
      <c r="E19" s="10"/>
      <c r="F19" s="10"/>
      <c r="G19" s="11"/>
      <c r="H19" s="12">
        <v>8</v>
      </c>
      <c r="I19" s="7" t="s">
        <v>2</v>
      </c>
      <c r="J19" s="3">
        <v>30</v>
      </c>
      <c r="K19" s="3">
        <v>3</v>
      </c>
      <c r="L19" s="3">
        <v>0</v>
      </c>
      <c r="M19" s="3">
        <v>0</v>
      </c>
      <c r="N19" s="3">
        <v>17</v>
      </c>
      <c r="O19" s="3">
        <v>2</v>
      </c>
      <c r="P19" s="4">
        <f t="shared" si="0"/>
        <v>16</v>
      </c>
      <c r="Q19" s="1" t="s">
        <v>14</v>
      </c>
      <c r="R19" s="44">
        <v>20</v>
      </c>
      <c r="S19" s="47">
        <v>50</v>
      </c>
    </row>
    <row r="20" spans="1:19" x14ac:dyDescent="0.25">
      <c r="A20" s="7">
        <v>17</v>
      </c>
      <c r="D20" s="16" t="s">
        <v>30</v>
      </c>
      <c r="E20" s="17"/>
      <c r="F20" s="17"/>
      <c r="G20" s="18"/>
      <c r="H20" s="12">
        <v>30</v>
      </c>
      <c r="I20" s="7" t="s">
        <v>2</v>
      </c>
      <c r="J20" s="3">
        <v>30</v>
      </c>
      <c r="K20" s="3">
        <v>3</v>
      </c>
      <c r="L20" s="3">
        <v>0</v>
      </c>
      <c r="M20" s="3">
        <v>0</v>
      </c>
      <c r="N20" s="3">
        <v>17</v>
      </c>
      <c r="O20" s="3">
        <v>2</v>
      </c>
      <c r="P20" s="4">
        <f t="shared" si="0"/>
        <v>38</v>
      </c>
      <c r="Q20" s="1" t="s">
        <v>14</v>
      </c>
      <c r="R20" s="44">
        <v>20</v>
      </c>
      <c r="S20" s="47">
        <v>50</v>
      </c>
    </row>
    <row r="21" spans="1:19" x14ac:dyDescent="0.25">
      <c r="A21" s="7">
        <v>18</v>
      </c>
      <c r="D21" s="9" t="s">
        <v>129</v>
      </c>
      <c r="E21" s="10"/>
      <c r="F21" s="10"/>
      <c r="G21" s="11"/>
      <c r="H21" s="12">
        <v>10</v>
      </c>
      <c r="I21" s="7" t="s">
        <v>2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4">
        <f t="shared" si="0"/>
        <v>10</v>
      </c>
      <c r="Q21" s="1" t="s">
        <v>14</v>
      </c>
      <c r="R21" s="44">
        <v>0</v>
      </c>
      <c r="S21" s="46"/>
    </row>
    <row r="22" spans="1:19" x14ac:dyDescent="0.25">
      <c r="A22" s="7">
        <v>19</v>
      </c>
      <c r="D22" s="55" t="s">
        <v>8</v>
      </c>
      <c r="E22" s="56"/>
      <c r="F22" s="56"/>
      <c r="G22" s="57"/>
      <c r="H22" s="12">
        <v>0</v>
      </c>
      <c r="I22" s="59" t="s">
        <v>1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46">
        <f t="shared" si="0"/>
        <v>0</v>
      </c>
      <c r="Q22" s="1" t="s">
        <v>14</v>
      </c>
      <c r="R22" s="44">
        <v>50</v>
      </c>
      <c r="S22" s="47">
        <v>200</v>
      </c>
    </row>
    <row r="23" spans="1:19" x14ac:dyDescent="0.25">
      <c r="A23" s="7">
        <v>20</v>
      </c>
      <c r="D23" s="9" t="s">
        <v>32</v>
      </c>
      <c r="E23" s="10"/>
      <c r="F23" s="10"/>
      <c r="G23" s="11"/>
      <c r="H23" s="12">
        <f>'ARALIK 3 HAFTA '!P23</f>
        <v>2000</v>
      </c>
      <c r="I23" s="7" t="s">
        <v>2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4">
        <f t="shared" si="0"/>
        <v>2000</v>
      </c>
      <c r="Q23" s="1" t="s">
        <v>14</v>
      </c>
      <c r="R23" s="44">
        <v>0</v>
      </c>
      <c r="S23" s="46"/>
    </row>
    <row r="24" spans="1:19" x14ac:dyDescent="0.25">
      <c r="A24" s="7">
        <v>21</v>
      </c>
      <c r="D24" s="16" t="s">
        <v>140</v>
      </c>
      <c r="E24" s="17"/>
      <c r="F24" s="17"/>
      <c r="G24" s="18"/>
      <c r="H24" s="12">
        <v>200</v>
      </c>
      <c r="I24" s="7" t="s">
        <v>2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4">
        <f t="shared" si="0"/>
        <v>200</v>
      </c>
      <c r="Q24" s="1" t="s">
        <v>14</v>
      </c>
      <c r="R24" s="44">
        <v>0</v>
      </c>
      <c r="S24" s="46"/>
    </row>
    <row r="25" spans="1:19" x14ac:dyDescent="0.25">
      <c r="A25" s="7">
        <v>22</v>
      </c>
      <c r="D25" s="9" t="s">
        <v>34</v>
      </c>
      <c r="E25" s="10"/>
      <c r="F25" s="10"/>
      <c r="G25" s="11"/>
      <c r="H25" s="12">
        <v>50</v>
      </c>
      <c r="I25" s="7" t="s">
        <v>2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4">
        <f t="shared" si="0"/>
        <v>50</v>
      </c>
      <c r="Q25" s="1" t="s">
        <v>14</v>
      </c>
      <c r="R25" s="44">
        <v>0</v>
      </c>
      <c r="S25" s="46"/>
    </row>
    <row r="26" spans="1:19" x14ac:dyDescent="0.25">
      <c r="A26" s="7">
        <v>23</v>
      </c>
      <c r="D26" s="16" t="s">
        <v>142</v>
      </c>
      <c r="E26" s="17"/>
      <c r="F26" s="17"/>
      <c r="G26" s="18"/>
      <c r="H26" s="12">
        <v>49</v>
      </c>
      <c r="I26" s="7" t="s">
        <v>2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12</v>
      </c>
      <c r="P26" s="4">
        <f t="shared" si="0"/>
        <v>37</v>
      </c>
      <c r="Q26" s="1" t="s">
        <v>14</v>
      </c>
      <c r="R26" s="44">
        <v>20</v>
      </c>
      <c r="S26" s="47">
        <v>50</v>
      </c>
    </row>
    <row r="27" spans="1:19" x14ac:dyDescent="0.25">
      <c r="A27" s="7">
        <v>24</v>
      </c>
      <c r="D27" s="9" t="s">
        <v>141</v>
      </c>
      <c r="E27" s="10"/>
      <c r="F27" s="10"/>
      <c r="G27" s="11"/>
      <c r="H27" s="12">
        <v>0</v>
      </c>
      <c r="I27" s="7" t="s">
        <v>2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  <c r="P27" s="4">
        <f t="shared" si="0"/>
        <v>0</v>
      </c>
      <c r="Q27" s="1"/>
      <c r="R27" s="44">
        <v>20</v>
      </c>
      <c r="S27" s="47">
        <v>50</v>
      </c>
    </row>
    <row r="28" spans="1:19" x14ac:dyDescent="0.25">
      <c r="A28" s="7">
        <v>25</v>
      </c>
      <c r="D28" s="9" t="s">
        <v>137</v>
      </c>
      <c r="E28" s="10"/>
      <c r="F28" s="10"/>
      <c r="G28" s="11"/>
      <c r="H28" s="12">
        <v>112</v>
      </c>
      <c r="I28" s="7" t="s">
        <v>2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4">
        <f t="shared" si="0"/>
        <v>112</v>
      </c>
      <c r="Q28" s="1" t="s">
        <v>14</v>
      </c>
      <c r="R28" s="44">
        <v>20</v>
      </c>
      <c r="S28" s="47">
        <v>50</v>
      </c>
    </row>
    <row r="29" spans="1:19" x14ac:dyDescent="0.25">
      <c r="A29" s="7">
        <v>26</v>
      </c>
      <c r="D29" s="9" t="s">
        <v>138</v>
      </c>
      <c r="E29" s="10"/>
      <c r="F29" s="10"/>
      <c r="G29" s="11"/>
      <c r="H29" s="12">
        <v>32</v>
      </c>
      <c r="I29" s="7" t="s">
        <v>2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4">
        <f t="shared" si="0"/>
        <v>32</v>
      </c>
      <c r="Q29" s="1"/>
      <c r="R29" s="44"/>
      <c r="S29" s="47"/>
    </row>
    <row r="30" spans="1:19" x14ac:dyDescent="0.25">
      <c r="A30" s="7">
        <v>27</v>
      </c>
      <c r="D30" s="16" t="s">
        <v>35</v>
      </c>
      <c r="E30" s="17"/>
      <c r="F30" s="17"/>
      <c r="G30" s="18"/>
      <c r="H30" s="12">
        <v>500</v>
      </c>
      <c r="I30" s="7" t="s">
        <v>2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4">
        <f t="shared" si="0"/>
        <v>500</v>
      </c>
      <c r="Q30" s="1" t="s">
        <v>14</v>
      </c>
      <c r="R30" s="44">
        <v>50</v>
      </c>
      <c r="S30" s="47">
        <v>100</v>
      </c>
    </row>
    <row r="31" spans="1:19" x14ac:dyDescent="0.25">
      <c r="A31" s="7">
        <v>28</v>
      </c>
      <c r="D31" s="9" t="s">
        <v>36</v>
      </c>
      <c r="E31" s="10"/>
      <c r="F31" s="10"/>
      <c r="G31" s="11"/>
      <c r="H31" s="12">
        <v>46</v>
      </c>
      <c r="I31" s="7" t="s">
        <v>2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4">
        <f t="shared" si="0"/>
        <v>46</v>
      </c>
      <c r="Q31" s="1" t="s">
        <v>14</v>
      </c>
      <c r="R31" s="44">
        <v>50</v>
      </c>
      <c r="S31" s="47">
        <v>100</v>
      </c>
    </row>
    <row r="32" spans="1:19" x14ac:dyDescent="0.25">
      <c r="A32" s="7">
        <v>29</v>
      </c>
      <c r="D32" s="16" t="s">
        <v>37</v>
      </c>
      <c r="E32" s="17"/>
      <c r="F32" s="17"/>
      <c r="G32" s="18"/>
      <c r="H32" s="12">
        <v>579</v>
      </c>
      <c r="I32" s="7" t="s">
        <v>2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4">
        <f t="shared" si="0"/>
        <v>579</v>
      </c>
      <c r="Q32" s="1" t="s">
        <v>14</v>
      </c>
      <c r="R32" s="44">
        <v>20</v>
      </c>
      <c r="S32" s="47">
        <v>50</v>
      </c>
    </row>
    <row r="33" spans="1:19" x14ac:dyDescent="0.25">
      <c r="A33" s="7">
        <v>30</v>
      </c>
      <c r="D33" s="9" t="s">
        <v>38</v>
      </c>
      <c r="E33" s="10"/>
      <c r="F33" s="10"/>
      <c r="G33" s="11"/>
      <c r="H33" s="12">
        <v>590</v>
      </c>
      <c r="I33" s="7" t="s">
        <v>2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12</v>
      </c>
      <c r="P33" s="4">
        <f t="shared" si="0"/>
        <v>578</v>
      </c>
      <c r="Q33" s="1" t="s">
        <v>14</v>
      </c>
      <c r="R33" s="44">
        <v>50</v>
      </c>
      <c r="S33" s="47">
        <v>100</v>
      </c>
    </row>
    <row r="34" spans="1:19" x14ac:dyDescent="0.25">
      <c r="A34" s="7">
        <v>31</v>
      </c>
      <c r="D34" s="16" t="s">
        <v>39</v>
      </c>
      <c r="E34" s="17"/>
      <c r="F34" s="17"/>
      <c r="G34" s="18"/>
      <c r="H34" s="12">
        <v>44</v>
      </c>
      <c r="I34" s="7" t="s">
        <v>2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12</v>
      </c>
      <c r="P34" s="4">
        <f t="shared" si="0"/>
        <v>32</v>
      </c>
      <c r="Q34" s="1" t="s">
        <v>14</v>
      </c>
      <c r="R34" s="44">
        <v>20</v>
      </c>
      <c r="S34" s="47">
        <v>50</v>
      </c>
    </row>
    <row r="35" spans="1:19" x14ac:dyDescent="0.25">
      <c r="A35" s="7">
        <v>32</v>
      </c>
      <c r="D35" s="9" t="s">
        <v>40</v>
      </c>
      <c r="E35" s="10"/>
      <c r="F35" s="10"/>
      <c r="G35" s="11"/>
      <c r="H35" s="12">
        <f>'ARALIK 3 HAFTA '!P33</f>
        <v>1075</v>
      </c>
      <c r="I35" s="7" t="s">
        <v>2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4">
        <f t="shared" si="0"/>
        <v>1075</v>
      </c>
      <c r="Q35" s="1" t="s">
        <v>14</v>
      </c>
      <c r="R35" s="44">
        <v>0</v>
      </c>
      <c r="S35" s="46"/>
    </row>
    <row r="36" spans="1:19" x14ac:dyDescent="0.25">
      <c r="A36" s="7">
        <v>33</v>
      </c>
      <c r="D36" s="9" t="s">
        <v>9</v>
      </c>
      <c r="E36" s="10"/>
      <c r="F36" s="10"/>
      <c r="G36" s="11"/>
      <c r="H36" s="12">
        <v>222</v>
      </c>
      <c r="I36" s="7" t="s">
        <v>2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4">
        <f t="shared" si="0"/>
        <v>222</v>
      </c>
      <c r="Q36" s="1" t="s">
        <v>14</v>
      </c>
      <c r="R36" s="44">
        <v>50</v>
      </c>
      <c r="S36" s="47">
        <v>100</v>
      </c>
    </row>
    <row r="37" spans="1:19" x14ac:dyDescent="0.25">
      <c r="A37" s="7">
        <v>34</v>
      </c>
      <c r="D37" s="19" t="s">
        <v>70</v>
      </c>
      <c r="E37" s="20"/>
      <c r="F37" s="20"/>
      <c r="G37" s="21"/>
      <c r="H37" s="69">
        <v>53</v>
      </c>
      <c r="I37" s="7" t="s">
        <v>2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4">
        <f t="shared" si="0"/>
        <v>53</v>
      </c>
      <c r="Q37" s="1" t="s">
        <v>14</v>
      </c>
      <c r="R37" s="44">
        <v>0</v>
      </c>
      <c r="S37" s="46"/>
    </row>
    <row r="38" spans="1:19" x14ac:dyDescent="0.25">
      <c r="A38" s="7">
        <v>35</v>
      </c>
      <c r="D38" s="16" t="s">
        <v>143</v>
      </c>
      <c r="E38" s="17"/>
      <c r="F38" s="17"/>
      <c r="G38" s="18"/>
      <c r="H38" s="12">
        <v>14</v>
      </c>
      <c r="I38" s="7" t="s">
        <v>2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4">
        <f t="shared" si="0"/>
        <v>14</v>
      </c>
      <c r="Q38" s="1" t="s">
        <v>14</v>
      </c>
      <c r="R38" s="44">
        <v>50</v>
      </c>
      <c r="S38" s="46">
        <v>100</v>
      </c>
    </row>
    <row r="39" spans="1:19" x14ac:dyDescent="0.25">
      <c r="A39" s="7">
        <v>36</v>
      </c>
      <c r="D39" s="9" t="s">
        <v>144</v>
      </c>
      <c r="E39" s="10"/>
      <c r="F39" s="10"/>
      <c r="G39" s="11"/>
      <c r="H39" s="12">
        <v>146</v>
      </c>
      <c r="I39" s="7" t="s">
        <v>2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4">
        <f t="shared" si="0"/>
        <v>146</v>
      </c>
      <c r="Q39" s="1" t="s">
        <v>14</v>
      </c>
      <c r="R39" s="44">
        <v>50</v>
      </c>
      <c r="S39" s="47">
        <v>100</v>
      </c>
    </row>
    <row r="40" spans="1:19" x14ac:dyDescent="0.25">
      <c r="A40" s="7">
        <v>37</v>
      </c>
      <c r="D40" s="16" t="s">
        <v>42</v>
      </c>
      <c r="E40" s="17"/>
      <c r="F40" s="17"/>
      <c r="G40" s="18"/>
      <c r="H40" s="12">
        <v>104</v>
      </c>
      <c r="I40" s="7" t="s">
        <v>2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4">
        <f t="shared" si="0"/>
        <v>104</v>
      </c>
      <c r="Q40" s="1" t="s">
        <v>14</v>
      </c>
      <c r="R40" s="44">
        <v>50</v>
      </c>
      <c r="S40" s="47">
        <v>100</v>
      </c>
    </row>
    <row r="41" spans="1:19" x14ac:dyDescent="0.25">
      <c r="A41" s="7">
        <v>38</v>
      </c>
      <c r="D41" s="9" t="s">
        <v>133</v>
      </c>
      <c r="E41" s="10"/>
      <c r="F41" s="10"/>
      <c r="G41" s="11"/>
      <c r="H41" s="12">
        <v>32</v>
      </c>
      <c r="I41" s="7" t="s">
        <v>2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4">
        <f t="shared" si="0"/>
        <v>32</v>
      </c>
      <c r="Q41" s="1" t="s">
        <v>14</v>
      </c>
      <c r="R41" s="44">
        <v>20</v>
      </c>
      <c r="S41" s="47">
        <v>50</v>
      </c>
    </row>
    <row r="42" spans="1:19" x14ac:dyDescent="0.25">
      <c r="A42" s="7">
        <v>39</v>
      </c>
      <c r="D42" s="16" t="s">
        <v>145</v>
      </c>
      <c r="E42" s="17"/>
      <c r="F42" s="17"/>
      <c r="G42" s="18"/>
      <c r="H42" s="12">
        <v>22</v>
      </c>
      <c r="I42" s="7" t="s">
        <v>2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4">
        <f t="shared" si="0"/>
        <v>22</v>
      </c>
      <c r="Q42" s="1" t="s">
        <v>14</v>
      </c>
      <c r="R42" s="44">
        <v>20</v>
      </c>
      <c r="S42" s="46">
        <v>50</v>
      </c>
    </row>
    <row r="43" spans="1:19" x14ac:dyDescent="0.25">
      <c r="A43" s="7">
        <v>40</v>
      </c>
      <c r="D43" s="9" t="s">
        <v>71</v>
      </c>
      <c r="E43" s="10"/>
      <c r="F43" s="10"/>
      <c r="G43" s="11"/>
      <c r="H43" s="12">
        <v>25</v>
      </c>
      <c r="I43" s="7" t="s">
        <v>2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4">
        <f t="shared" si="0"/>
        <v>25</v>
      </c>
      <c r="Q43" s="1" t="s">
        <v>14</v>
      </c>
      <c r="R43" s="44">
        <v>5</v>
      </c>
      <c r="S43" s="47">
        <v>10</v>
      </c>
    </row>
    <row r="44" spans="1:19" x14ac:dyDescent="0.25">
      <c r="A44" s="7">
        <v>41</v>
      </c>
      <c r="D44" s="16" t="s">
        <v>10</v>
      </c>
      <c r="E44" s="17"/>
      <c r="F44" s="17"/>
      <c r="G44" s="18"/>
      <c r="H44" s="12">
        <v>450</v>
      </c>
      <c r="I44" s="7" t="s">
        <v>2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4">
        <f t="shared" si="0"/>
        <v>450</v>
      </c>
      <c r="Q44" s="1" t="s">
        <v>14</v>
      </c>
      <c r="R44" s="44">
        <v>40</v>
      </c>
      <c r="S44" s="47">
        <v>100</v>
      </c>
    </row>
    <row r="45" spans="1:19" x14ac:dyDescent="0.25">
      <c r="A45" s="7">
        <v>42</v>
      </c>
      <c r="D45" s="9" t="s">
        <v>45</v>
      </c>
      <c r="E45" s="10"/>
      <c r="F45" s="10"/>
      <c r="G45" s="11"/>
      <c r="H45" s="12">
        <v>250</v>
      </c>
      <c r="I45" s="7" t="s">
        <v>2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4">
        <f t="shared" si="0"/>
        <v>250</v>
      </c>
      <c r="Q45" s="1" t="s">
        <v>14</v>
      </c>
      <c r="R45" s="44">
        <v>20</v>
      </c>
      <c r="S45" s="47">
        <v>50</v>
      </c>
    </row>
    <row r="46" spans="1:19" x14ac:dyDescent="0.25">
      <c r="A46" s="7">
        <v>43</v>
      </c>
      <c r="D46" s="16" t="s">
        <v>46</v>
      </c>
      <c r="E46" s="17"/>
      <c r="F46" s="17"/>
      <c r="G46" s="18"/>
      <c r="H46" s="12">
        <v>250</v>
      </c>
      <c r="I46" s="7" t="s">
        <v>2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4">
        <f t="shared" si="0"/>
        <v>250</v>
      </c>
      <c r="Q46" s="1" t="s">
        <v>14</v>
      </c>
      <c r="R46" s="44">
        <v>20</v>
      </c>
      <c r="S46" s="47">
        <v>50</v>
      </c>
    </row>
    <row r="47" spans="1:19" x14ac:dyDescent="0.25">
      <c r="A47" s="7">
        <v>44</v>
      </c>
      <c r="D47" s="9" t="s">
        <v>47</v>
      </c>
      <c r="E47" s="10"/>
      <c r="F47" s="10"/>
      <c r="G47" s="11"/>
      <c r="H47" s="12">
        <v>265</v>
      </c>
      <c r="I47" s="7" t="s">
        <v>2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4">
        <f t="shared" si="0"/>
        <v>265</v>
      </c>
      <c r="Q47" s="1" t="s">
        <v>14</v>
      </c>
      <c r="R47" s="44">
        <v>20</v>
      </c>
      <c r="S47" s="47">
        <v>50</v>
      </c>
    </row>
    <row r="48" spans="1:19" x14ac:dyDescent="0.25">
      <c r="A48" s="7">
        <v>45</v>
      </c>
      <c r="D48" s="16" t="s">
        <v>79</v>
      </c>
      <c r="E48" s="17"/>
      <c r="F48" s="17"/>
      <c r="G48" s="18"/>
      <c r="H48" s="12">
        <v>17</v>
      </c>
      <c r="I48" s="7" t="s">
        <v>2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4">
        <f t="shared" si="0"/>
        <v>17</v>
      </c>
      <c r="Q48" s="1" t="s">
        <v>14</v>
      </c>
      <c r="R48" s="44">
        <v>10</v>
      </c>
      <c r="S48" s="47">
        <v>20</v>
      </c>
    </row>
    <row r="49" spans="1:20" x14ac:dyDescent="0.25">
      <c r="A49" s="7">
        <v>46</v>
      </c>
      <c r="D49" s="9" t="s">
        <v>48</v>
      </c>
      <c r="E49" s="10"/>
      <c r="F49" s="10"/>
      <c r="G49" s="11"/>
      <c r="H49" s="12">
        <v>18</v>
      </c>
      <c r="I49" s="7" t="s">
        <v>2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4">
        <f t="shared" si="0"/>
        <v>18</v>
      </c>
      <c r="Q49" s="1" t="s">
        <v>14</v>
      </c>
      <c r="R49" s="44">
        <v>10</v>
      </c>
      <c r="S49" s="47">
        <v>20</v>
      </c>
      <c r="T49" t="s">
        <v>75</v>
      </c>
    </row>
    <row r="50" spans="1:20" x14ac:dyDescent="0.25">
      <c r="A50" s="7">
        <v>47</v>
      </c>
      <c r="D50" s="16" t="s">
        <v>49</v>
      </c>
      <c r="E50" s="17"/>
      <c r="F50" s="17"/>
      <c r="G50" s="18"/>
      <c r="H50" s="12">
        <v>17</v>
      </c>
      <c r="I50" s="7" t="s">
        <v>2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4">
        <f t="shared" si="0"/>
        <v>17</v>
      </c>
      <c r="Q50" s="1" t="s">
        <v>14</v>
      </c>
      <c r="R50" s="44">
        <v>10</v>
      </c>
      <c r="S50" s="47">
        <v>20</v>
      </c>
    </row>
    <row r="51" spans="1:20" x14ac:dyDescent="0.25">
      <c r="A51" s="7">
        <v>48</v>
      </c>
      <c r="D51" s="9" t="s">
        <v>159</v>
      </c>
      <c r="E51" s="10"/>
      <c r="F51" s="10"/>
      <c r="G51" s="11"/>
      <c r="H51" s="12">
        <v>44.5</v>
      </c>
      <c r="I51" s="7" t="s">
        <v>1</v>
      </c>
      <c r="J51" s="3">
        <v>50</v>
      </c>
      <c r="K51" s="3">
        <v>0</v>
      </c>
      <c r="L51" s="3">
        <v>0</v>
      </c>
      <c r="M51" s="3">
        <v>0</v>
      </c>
      <c r="N51" s="3">
        <v>44.5</v>
      </c>
      <c r="O51" s="3">
        <v>0</v>
      </c>
      <c r="P51" s="4">
        <f t="shared" si="0"/>
        <v>50</v>
      </c>
      <c r="Q51" s="1" t="s">
        <v>14</v>
      </c>
      <c r="R51" s="44">
        <v>20</v>
      </c>
      <c r="S51" s="47">
        <v>100</v>
      </c>
    </row>
    <row r="52" spans="1:20" x14ac:dyDescent="0.25">
      <c r="A52" s="7">
        <v>49</v>
      </c>
      <c r="D52" s="16" t="s">
        <v>111</v>
      </c>
      <c r="E52" s="17"/>
      <c r="F52" s="17"/>
      <c r="G52" s="18"/>
      <c r="H52" s="12">
        <v>55</v>
      </c>
      <c r="I52" s="7" t="s">
        <v>2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4">
        <f t="shared" si="0"/>
        <v>55</v>
      </c>
      <c r="Q52" s="1" t="s">
        <v>14</v>
      </c>
      <c r="R52" s="44">
        <v>30</v>
      </c>
      <c r="S52" s="47">
        <v>100</v>
      </c>
    </row>
    <row r="53" spans="1:20" x14ac:dyDescent="0.25">
      <c r="A53" s="7">
        <v>50</v>
      </c>
      <c r="D53" s="9" t="s">
        <v>51</v>
      </c>
      <c r="E53" s="10"/>
      <c r="F53" s="10"/>
      <c r="G53" s="11"/>
      <c r="H53" s="12">
        <v>92</v>
      </c>
      <c r="I53" s="7" t="s">
        <v>2</v>
      </c>
      <c r="J53" s="3">
        <v>30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4">
        <f t="shared" si="0"/>
        <v>122</v>
      </c>
      <c r="Q53" s="1" t="s">
        <v>14</v>
      </c>
      <c r="R53" s="44">
        <v>20</v>
      </c>
      <c r="S53" s="47">
        <v>50</v>
      </c>
    </row>
    <row r="54" spans="1:20" x14ac:dyDescent="0.25">
      <c r="A54" s="7">
        <v>51</v>
      </c>
      <c r="D54" s="16" t="s">
        <v>52</v>
      </c>
      <c r="E54" s="17"/>
      <c r="F54" s="17"/>
      <c r="G54" s="18"/>
      <c r="H54" s="12">
        <v>133</v>
      </c>
      <c r="I54" s="7" t="s">
        <v>2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  <c r="P54" s="4">
        <f t="shared" si="0"/>
        <v>133</v>
      </c>
      <c r="Q54" s="1" t="s">
        <v>14</v>
      </c>
      <c r="R54" s="44">
        <v>20</v>
      </c>
      <c r="S54" s="47">
        <v>50</v>
      </c>
      <c r="T54" t="s">
        <v>75</v>
      </c>
    </row>
    <row r="55" spans="1:20" x14ac:dyDescent="0.25">
      <c r="A55" s="7">
        <v>52</v>
      </c>
      <c r="D55" s="9" t="s">
        <v>53</v>
      </c>
      <c r="E55" s="10"/>
      <c r="F55" s="10"/>
      <c r="G55" s="11"/>
      <c r="H55" s="12">
        <v>124</v>
      </c>
      <c r="I55" s="7" t="s">
        <v>2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  <c r="P55" s="4">
        <f t="shared" si="0"/>
        <v>124</v>
      </c>
      <c r="Q55" s="1" t="s">
        <v>14</v>
      </c>
      <c r="R55" s="44">
        <v>20</v>
      </c>
      <c r="S55" s="47">
        <v>50</v>
      </c>
    </row>
    <row r="56" spans="1:20" x14ac:dyDescent="0.25">
      <c r="A56" s="7">
        <v>53</v>
      </c>
      <c r="D56" s="70" t="s">
        <v>54</v>
      </c>
      <c r="E56" s="71"/>
      <c r="F56" s="71"/>
      <c r="G56" s="72"/>
      <c r="H56" s="12">
        <v>335</v>
      </c>
      <c r="I56" s="7" t="s">
        <v>1</v>
      </c>
      <c r="J56" s="3">
        <v>720</v>
      </c>
      <c r="K56" s="3">
        <v>0</v>
      </c>
      <c r="L56" s="3">
        <v>120</v>
      </c>
      <c r="M56" s="3">
        <v>45</v>
      </c>
      <c r="N56" s="3">
        <v>170</v>
      </c>
      <c r="O56" s="3">
        <v>60</v>
      </c>
      <c r="P56" s="4">
        <f t="shared" si="0"/>
        <v>660</v>
      </c>
      <c r="Q56" s="1" t="s">
        <v>120</v>
      </c>
      <c r="R56" s="44">
        <v>250</v>
      </c>
      <c r="S56" s="47">
        <v>750</v>
      </c>
    </row>
    <row r="57" spans="1:20" x14ac:dyDescent="0.25">
      <c r="A57" s="7">
        <v>54</v>
      </c>
      <c r="D57" s="16" t="s">
        <v>61</v>
      </c>
      <c r="E57" s="17"/>
      <c r="F57" s="17"/>
      <c r="G57" s="18"/>
      <c r="H57" s="12">
        <v>246</v>
      </c>
      <c r="I57" s="7" t="s">
        <v>2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  <c r="P57" s="4">
        <f t="shared" si="0"/>
        <v>246</v>
      </c>
      <c r="Q57" s="1" t="s">
        <v>14</v>
      </c>
      <c r="R57" s="44">
        <v>0</v>
      </c>
      <c r="S57" s="46"/>
    </row>
    <row r="58" spans="1:20" x14ac:dyDescent="0.25">
      <c r="A58" s="7">
        <v>55</v>
      </c>
      <c r="D58" s="9" t="s">
        <v>62</v>
      </c>
      <c r="E58" s="10"/>
      <c r="F58" s="10"/>
      <c r="G58" s="11"/>
      <c r="H58" s="12">
        <v>521</v>
      </c>
      <c r="I58" s="7" t="s">
        <v>2</v>
      </c>
      <c r="J58" s="3">
        <v>0</v>
      </c>
      <c r="K58" s="3">
        <v>97</v>
      </c>
      <c r="L58" s="3">
        <v>0</v>
      </c>
      <c r="M58" s="3">
        <v>150</v>
      </c>
      <c r="N58" s="3">
        <v>0</v>
      </c>
      <c r="O58" s="3">
        <v>205</v>
      </c>
      <c r="P58" s="4">
        <f t="shared" si="0"/>
        <v>69</v>
      </c>
      <c r="Q58" s="1" t="s">
        <v>14</v>
      </c>
      <c r="R58" s="44">
        <v>200</v>
      </c>
      <c r="S58" s="47">
        <v>1000</v>
      </c>
    </row>
    <row r="59" spans="1:20" x14ac:dyDescent="0.25">
      <c r="A59" s="7">
        <v>56</v>
      </c>
      <c r="D59" s="16" t="s">
        <v>13</v>
      </c>
      <c r="E59" s="17"/>
      <c r="F59" s="17"/>
      <c r="G59" s="18"/>
      <c r="H59" s="12">
        <v>280</v>
      </c>
      <c r="I59" s="7" t="s">
        <v>2</v>
      </c>
      <c r="J59" s="3">
        <v>0</v>
      </c>
      <c r="K59" s="3">
        <v>0</v>
      </c>
      <c r="L59" s="3">
        <v>70</v>
      </c>
      <c r="M59" s="3">
        <v>100</v>
      </c>
      <c r="N59" s="3">
        <v>0</v>
      </c>
      <c r="O59" s="3">
        <v>0</v>
      </c>
      <c r="P59" s="4">
        <f t="shared" si="0"/>
        <v>110</v>
      </c>
      <c r="Q59" s="1" t="s">
        <v>14</v>
      </c>
      <c r="R59" s="44">
        <v>100</v>
      </c>
      <c r="S59" s="47">
        <v>300</v>
      </c>
    </row>
    <row r="60" spans="1:20" x14ac:dyDescent="0.25">
      <c r="A60" s="7">
        <v>57</v>
      </c>
      <c r="D60" s="9" t="s">
        <v>72</v>
      </c>
      <c r="E60" s="10"/>
      <c r="F60" s="10"/>
      <c r="G60" s="11"/>
      <c r="H60" s="12">
        <v>350</v>
      </c>
      <c r="I60" s="7" t="s">
        <v>2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4">
        <f t="shared" si="0"/>
        <v>350</v>
      </c>
      <c r="Q60" s="1" t="s">
        <v>14</v>
      </c>
      <c r="R60" s="44">
        <v>100</v>
      </c>
      <c r="S60" s="47">
        <v>300</v>
      </c>
    </row>
    <row r="61" spans="1:20" x14ac:dyDescent="0.25">
      <c r="A61" s="7">
        <v>58</v>
      </c>
      <c r="D61" s="16" t="s">
        <v>63</v>
      </c>
      <c r="E61" s="17"/>
      <c r="F61" s="17"/>
      <c r="G61" s="18"/>
      <c r="H61" s="12">
        <v>0</v>
      </c>
      <c r="I61" s="7" t="s">
        <v>2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4">
        <f t="shared" si="0"/>
        <v>0</v>
      </c>
      <c r="Q61" s="1" t="s">
        <v>14</v>
      </c>
      <c r="R61" s="44">
        <v>100</v>
      </c>
      <c r="S61" s="47">
        <v>300</v>
      </c>
    </row>
    <row r="62" spans="1:20" x14ac:dyDescent="0.25">
      <c r="A62" s="7">
        <v>59</v>
      </c>
      <c r="D62" s="9" t="s">
        <v>77</v>
      </c>
      <c r="E62" s="10"/>
      <c r="F62" s="10"/>
      <c r="G62" s="11"/>
      <c r="H62" s="12">
        <v>1100</v>
      </c>
      <c r="I62" s="7" t="s">
        <v>2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4">
        <f t="shared" si="0"/>
        <v>1100</v>
      </c>
      <c r="Q62" s="1" t="s">
        <v>14</v>
      </c>
      <c r="R62" s="44">
        <v>100</v>
      </c>
      <c r="S62" s="47">
        <v>300</v>
      </c>
    </row>
    <row r="63" spans="1:20" x14ac:dyDescent="0.25">
      <c r="A63" s="7">
        <v>60</v>
      </c>
      <c r="D63" s="16" t="s">
        <v>130</v>
      </c>
      <c r="E63" s="17"/>
      <c r="F63" s="17"/>
      <c r="G63" s="18"/>
      <c r="H63" s="12">
        <v>0</v>
      </c>
      <c r="I63" s="7" t="s">
        <v>2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4">
        <f t="shared" si="0"/>
        <v>0</v>
      </c>
      <c r="Q63" s="1" t="s">
        <v>14</v>
      </c>
      <c r="R63" s="44">
        <v>0</v>
      </c>
      <c r="S63" s="46"/>
    </row>
    <row r="64" spans="1:20" x14ac:dyDescent="0.25">
      <c r="A64" s="7">
        <v>61</v>
      </c>
      <c r="D64" s="26" t="s">
        <v>146</v>
      </c>
      <c r="E64" s="27"/>
      <c r="F64" s="27"/>
      <c r="G64" s="28"/>
      <c r="H64" s="12">
        <v>52</v>
      </c>
      <c r="I64" s="30" t="s">
        <v>2</v>
      </c>
      <c r="J64" s="3">
        <v>0</v>
      </c>
      <c r="K64" s="3">
        <v>1</v>
      </c>
      <c r="L64" s="3">
        <v>0</v>
      </c>
      <c r="M64" s="3">
        <v>0</v>
      </c>
      <c r="N64" s="3">
        <v>0</v>
      </c>
      <c r="O64" s="3">
        <v>0</v>
      </c>
      <c r="P64" s="4">
        <f t="shared" si="0"/>
        <v>51</v>
      </c>
      <c r="Q64" s="1" t="s">
        <v>14</v>
      </c>
      <c r="R64" s="44">
        <v>50</v>
      </c>
      <c r="S64" s="47">
        <v>100</v>
      </c>
    </row>
    <row r="65" spans="1:20" x14ac:dyDescent="0.25">
      <c r="A65" s="7">
        <v>62</v>
      </c>
      <c r="D65" s="16" t="s">
        <v>65</v>
      </c>
      <c r="E65" s="17"/>
      <c r="F65" s="17"/>
      <c r="G65" s="18"/>
      <c r="H65" s="12">
        <v>59</v>
      </c>
      <c r="I65" s="7" t="s">
        <v>2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4">
        <f t="shared" si="0"/>
        <v>59</v>
      </c>
      <c r="Q65" s="1" t="s">
        <v>14</v>
      </c>
      <c r="R65" s="44">
        <v>0</v>
      </c>
      <c r="S65" s="46"/>
    </row>
    <row r="66" spans="1:20" x14ac:dyDescent="0.25">
      <c r="A66" s="7">
        <v>63</v>
      </c>
      <c r="D66" s="9" t="s">
        <v>66</v>
      </c>
      <c r="E66" s="10"/>
      <c r="F66" s="10"/>
      <c r="G66" s="11"/>
      <c r="H66" s="12">
        <v>150</v>
      </c>
      <c r="I66" s="7" t="s">
        <v>2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  <c r="P66" s="4">
        <f t="shared" si="0"/>
        <v>150</v>
      </c>
      <c r="Q66" s="1" t="s">
        <v>14</v>
      </c>
      <c r="R66" s="44">
        <v>300</v>
      </c>
      <c r="S66" s="47">
        <v>1000</v>
      </c>
    </row>
    <row r="67" spans="1:20" x14ac:dyDescent="0.25">
      <c r="A67" s="7">
        <v>64</v>
      </c>
      <c r="D67" s="19" t="s">
        <v>86</v>
      </c>
      <c r="E67" s="20"/>
      <c r="F67" s="20"/>
      <c r="G67" s="21"/>
      <c r="H67" s="12">
        <v>1539</v>
      </c>
      <c r="I67" s="7" t="s">
        <v>2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  <c r="P67" s="4">
        <f t="shared" si="0"/>
        <v>1539</v>
      </c>
      <c r="Q67" s="1" t="s">
        <v>14</v>
      </c>
      <c r="R67" s="44">
        <v>50</v>
      </c>
      <c r="S67" s="47">
        <v>150</v>
      </c>
    </row>
    <row r="68" spans="1:20" x14ac:dyDescent="0.25">
      <c r="A68" s="7">
        <v>65</v>
      </c>
      <c r="D68" s="22" t="s">
        <v>74</v>
      </c>
      <c r="E68" s="10"/>
      <c r="F68" s="10"/>
      <c r="G68" s="11"/>
      <c r="H68" s="12">
        <v>0</v>
      </c>
      <c r="I68" s="8" t="s">
        <v>75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4">
        <f t="shared" ref="P68:P89" si="1">+H68+J68-K68-L68-M68-N68-O68</f>
        <v>0</v>
      </c>
      <c r="Q68" s="1" t="s">
        <v>91</v>
      </c>
      <c r="R68" s="44">
        <v>65</v>
      </c>
      <c r="S68" s="47">
        <v>150</v>
      </c>
    </row>
    <row r="69" spans="1:20" x14ac:dyDescent="0.25">
      <c r="A69" s="7">
        <v>66</v>
      </c>
      <c r="C69" s="1" t="s">
        <v>14</v>
      </c>
      <c r="D69" s="22" t="s">
        <v>76</v>
      </c>
      <c r="E69" s="10"/>
      <c r="F69" s="10"/>
      <c r="G69" s="11"/>
      <c r="H69" s="12">
        <v>240</v>
      </c>
      <c r="I69" s="8" t="s">
        <v>2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4">
        <f t="shared" si="1"/>
        <v>240</v>
      </c>
      <c r="Q69" s="1" t="s">
        <v>14</v>
      </c>
      <c r="R69" s="44">
        <v>50</v>
      </c>
      <c r="S69" s="47">
        <v>100</v>
      </c>
    </row>
    <row r="70" spans="1:20" x14ac:dyDescent="0.25">
      <c r="A70" s="7">
        <v>67</v>
      </c>
      <c r="D70" s="25" t="s">
        <v>147</v>
      </c>
      <c r="H70" s="12">
        <v>142</v>
      </c>
      <c r="I70" s="30" t="s">
        <v>2</v>
      </c>
      <c r="J70" s="3">
        <v>0</v>
      </c>
      <c r="K70" s="3">
        <v>1</v>
      </c>
      <c r="L70" s="3">
        <v>0</v>
      </c>
      <c r="M70" s="3">
        <v>0</v>
      </c>
      <c r="N70" s="3">
        <v>0</v>
      </c>
      <c r="O70" s="3">
        <v>0</v>
      </c>
      <c r="P70" s="4">
        <f t="shared" si="1"/>
        <v>141</v>
      </c>
      <c r="Q70" s="1" t="s">
        <v>14</v>
      </c>
      <c r="R70" s="44">
        <v>50</v>
      </c>
      <c r="S70" s="47">
        <v>100</v>
      </c>
    </row>
    <row r="71" spans="1:20" x14ac:dyDescent="0.25">
      <c r="A71" s="7">
        <v>68</v>
      </c>
      <c r="D71" s="26" t="s">
        <v>80</v>
      </c>
      <c r="E71" s="27"/>
      <c r="F71" s="27"/>
      <c r="G71" s="28"/>
      <c r="H71" s="12">
        <v>12</v>
      </c>
      <c r="I71" s="8" t="s">
        <v>2</v>
      </c>
      <c r="J71" s="3">
        <v>20</v>
      </c>
      <c r="K71" s="3">
        <v>0</v>
      </c>
      <c r="L71" s="3">
        <v>6</v>
      </c>
      <c r="M71" s="3">
        <v>0</v>
      </c>
      <c r="N71" s="3">
        <v>0</v>
      </c>
      <c r="O71" s="3">
        <v>14</v>
      </c>
      <c r="P71" s="4">
        <f t="shared" si="1"/>
        <v>12</v>
      </c>
      <c r="Q71" s="1" t="s">
        <v>14</v>
      </c>
      <c r="R71" s="44">
        <v>0</v>
      </c>
      <c r="S71" s="46"/>
    </row>
    <row r="72" spans="1:20" x14ac:dyDescent="0.25">
      <c r="A72" s="7">
        <v>69</v>
      </c>
      <c r="D72" s="26" t="s">
        <v>84</v>
      </c>
      <c r="E72" s="27"/>
      <c r="F72" s="27"/>
      <c r="G72" s="28"/>
      <c r="H72" s="12">
        <f>'ARALIK 3 HAFTA '!P77</f>
        <v>50</v>
      </c>
      <c r="I72" s="8" t="s">
        <v>2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  <c r="P72" s="4">
        <f t="shared" si="1"/>
        <v>50</v>
      </c>
      <c r="Q72" s="1" t="s">
        <v>14</v>
      </c>
      <c r="R72" s="44">
        <v>100</v>
      </c>
      <c r="S72" s="47">
        <v>200</v>
      </c>
    </row>
    <row r="73" spans="1:20" x14ac:dyDescent="0.25">
      <c r="A73" s="7">
        <v>70</v>
      </c>
      <c r="D73" s="26" t="s">
        <v>85</v>
      </c>
      <c r="E73" s="27"/>
      <c r="F73" s="27"/>
      <c r="G73" s="28"/>
      <c r="H73" s="12">
        <f>'ARALIK 3 HAFTA '!P78</f>
        <v>0</v>
      </c>
      <c r="I73" s="8" t="s">
        <v>2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4">
        <f t="shared" si="1"/>
        <v>0</v>
      </c>
      <c r="R73" s="44">
        <v>0</v>
      </c>
      <c r="S73" s="46"/>
    </row>
    <row r="74" spans="1:20" x14ac:dyDescent="0.25">
      <c r="A74" s="7">
        <v>71</v>
      </c>
      <c r="D74" s="37" t="s">
        <v>99</v>
      </c>
      <c r="E74" s="17"/>
      <c r="F74" s="33"/>
      <c r="G74" s="33"/>
      <c r="H74" s="12">
        <v>403.7</v>
      </c>
      <c r="I74" s="8" t="s">
        <v>2</v>
      </c>
      <c r="J74" s="3">
        <v>0</v>
      </c>
      <c r="K74" s="3">
        <v>30</v>
      </c>
      <c r="L74" s="3">
        <v>30</v>
      </c>
      <c r="M74" s="3">
        <v>0</v>
      </c>
      <c r="N74" s="3">
        <v>50</v>
      </c>
      <c r="O74" s="3">
        <v>0</v>
      </c>
      <c r="P74" s="4">
        <f t="shared" si="1"/>
        <v>293.7</v>
      </c>
      <c r="Q74" s="1" t="s">
        <v>14</v>
      </c>
      <c r="R74" s="44">
        <v>100</v>
      </c>
      <c r="S74" s="47">
        <v>500</v>
      </c>
    </row>
    <row r="75" spans="1:20" x14ac:dyDescent="0.25">
      <c r="A75" s="7">
        <v>72</v>
      </c>
      <c r="D75" s="22" t="s">
        <v>100</v>
      </c>
      <c r="E75" s="10"/>
      <c r="F75" s="10"/>
      <c r="G75" s="28"/>
      <c r="H75" s="12">
        <v>0</v>
      </c>
      <c r="I75" s="8" t="s">
        <v>2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4">
        <f t="shared" si="1"/>
        <v>0</v>
      </c>
      <c r="R75" s="44">
        <v>0</v>
      </c>
      <c r="S75" s="46"/>
    </row>
    <row r="76" spans="1:20" x14ac:dyDescent="0.25">
      <c r="A76" s="7">
        <v>73</v>
      </c>
      <c r="D76" s="37" t="s">
        <v>113</v>
      </c>
      <c r="E76" s="17"/>
      <c r="F76" s="17"/>
      <c r="G76" s="33"/>
      <c r="H76" s="12">
        <v>111.6</v>
      </c>
      <c r="I76" s="8" t="s">
        <v>97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  <c r="P76" s="4">
        <f t="shared" si="1"/>
        <v>111.6</v>
      </c>
      <c r="Q76" s="65" t="s">
        <v>121</v>
      </c>
      <c r="R76" s="44">
        <v>30</v>
      </c>
      <c r="S76" s="47">
        <v>100</v>
      </c>
    </row>
    <row r="77" spans="1:20" x14ac:dyDescent="0.25">
      <c r="A77" s="7">
        <v>74</v>
      </c>
      <c r="D77" s="22" t="s">
        <v>103</v>
      </c>
      <c r="E77" s="10"/>
      <c r="F77" s="10"/>
      <c r="G77" s="28"/>
      <c r="H77" s="12">
        <v>248</v>
      </c>
      <c r="I77" s="8" t="s">
        <v>2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4">
        <f t="shared" si="1"/>
        <v>248</v>
      </c>
      <c r="R77" s="44">
        <v>60</v>
      </c>
      <c r="S77" s="47">
        <v>100</v>
      </c>
    </row>
    <row r="78" spans="1:20" x14ac:dyDescent="0.25">
      <c r="A78" s="8">
        <v>75</v>
      </c>
      <c r="D78" s="49" t="s">
        <v>108</v>
      </c>
      <c r="E78" s="20"/>
      <c r="F78" s="20"/>
      <c r="G78" s="20"/>
      <c r="H78" s="12">
        <v>2000</v>
      </c>
      <c r="I78" s="8" t="s">
        <v>110</v>
      </c>
      <c r="J78" s="3">
        <v>0</v>
      </c>
      <c r="K78" s="3">
        <v>1500</v>
      </c>
      <c r="L78" s="3">
        <v>0</v>
      </c>
      <c r="M78" s="3">
        <v>0</v>
      </c>
      <c r="N78" s="3">
        <v>500</v>
      </c>
      <c r="O78" s="3">
        <v>0</v>
      </c>
      <c r="P78" s="4">
        <f t="shared" si="1"/>
        <v>0</v>
      </c>
      <c r="R78" s="43">
        <v>1000</v>
      </c>
      <c r="S78" s="46">
        <v>10000</v>
      </c>
    </row>
    <row r="79" spans="1:20" x14ac:dyDescent="0.25">
      <c r="A79" s="48">
        <v>76</v>
      </c>
      <c r="B79" s="41"/>
      <c r="C79" s="41"/>
      <c r="D79" s="22" t="s">
        <v>115</v>
      </c>
      <c r="E79" s="10"/>
      <c r="F79" s="10"/>
      <c r="G79" s="11"/>
      <c r="H79" s="12">
        <v>260</v>
      </c>
      <c r="I79" s="62" t="s">
        <v>2</v>
      </c>
      <c r="J79" s="3">
        <v>0</v>
      </c>
      <c r="K79" s="3">
        <v>1</v>
      </c>
      <c r="L79" s="3">
        <v>0</v>
      </c>
      <c r="M79" s="3">
        <v>0</v>
      </c>
      <c r="N79" s="3">
        <v>0</v>
      </c>
      <c r="O79" s="3">
        <v>0</v>
      </c>
      <c r="P79" s="64">
        <f t="shared" si="1"/>
        <v>259</v>
      </c>
      <c r="R79" s="64">
        <v>50</v>
      </c>
      <c r="S79" s="64">
        <v>100</v>
      </c>
      <c r="T79" t="s">
        <v>75</v>
      </c>
    </row>
    <row r="80" spans="1:20" x14ac:dyDescent="0.25">
      <c r="A80" s="73">
        <v>77</v>
      </c>
      <c r="B80" s="41"/>
      <c r="C80" s="41"/>
      <c r="D80" s="49" t="s">
        <v>134</v>
      </c>
      <c r="E80" s="35"/>
      <c r="F80" s="35"/>
      <c r="G80" s="60"/>
      <c r="H80" s="12">
        <v>77</v>
      </c>
      <c r="I80" s="8" t="s">
        <v>2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  <c r="P80" s="4">
        <f t="shared" si="1"/>
        <v>77</v>
      </c>
      <c r="Q80" s="4"/>
      <c r="R80" s="4">
        <v>20</v>
      </c>
      <c r="S80" s="4">
        <v>50</v>
      </c>
    </row>
    <row r="81" spans="1:19" x14ac:dyDescent="0.25">
      <c r="A81" s="8">
        <v>78</v>
      </c>
      <c r="D81" s="22" t="s">
        <v>123</v>
      </c>
      <c r="E81" s="10"/>
      <c r="F81" s="10"/>
      <c r="G81" s="11"/>
      <c r="H81" s="12">
        <v>2500</v>
      </c>
      <c r="I81" s="8" t="s">
        <v>2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  <c r="P81" s="4">
        <f t="shared" si="1"/>
        <v>2500</v>
      </c>
      <c r="Q81" s="4"/>
      <c r="R81" s="4">
        <v>100</v>
      </c>
      <c r="S81" s="4">
        <v>500</v>
      </c>
    </row>
    <row r="82" spans="1:19" x14ac:dyDescent="0.25">
      <c r="A82" s="48">
        <v>79</v>
      </c>
      <c r="B82" s="41"/>
      <c r="C82" s="41"/>
      <c r="D82" s="22" t="s">
        <v>154</v>
      </c>
      <c r="E82" s="10"/>
      <c r="F82" s="10"/>
      <c r="G82" s="11"/>
      <c r="H82" s="4">
        <v>15</v>
      </c>
      <c r="I82" s="8" t="s">
        <v>2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  <c r="P82" s="4">
        <f t="shared" si="1"/>
        <v>15</v>
      </c>
      <c r="Q82" s="4"/>
      <c r="R82" s="4"/>
      <c r="S82" s="4"/>
    </row>
    <row r="83" spans="1:19" x14ac:dyDescent="0.25">
      <c r="A83" s="48">
        <v>80</v>
      </c>
      <c r="B83" s="41"/>
      <c r="C83" s="41"/>
      <c r="D83" s="37" t="s">
        <v>155</v>
      </c>
      <c r="E83" s="17"/>
      <c r="F83" s="17"/>
      <c r="G83" s="18"/>
      <c r="H83" s="64">
        <v>15</v>
      </c>
      <c r="I83" s="62" t="s">
        <v>2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64">
        <f t="shared" si="1"/>
        <v>15</v>
      </c>
      <c r="Q83" s="64"/>
      <c r="R83" s="64"/>
      <c r="S83" s="64"/>
    </row>
    <row r="84" spans="1:19" x14ac:dyDescent="0.25">
      <c r="A84" s="48">
        <v>81</v>
      </c>
      <c r="B84" s="11"/>
      <c r="C84" s="23"/>
      <c r="D84" s="23" t="s">
        <v>149</v>
      </c>
      <c r="E84" s="23"/>
      <c r="F84" s="23"/>
      <c r="G84" s="23"/>
      <c r="H84" s="23">
        <v>20</v>
      </c>
      <c r="I84" s="8" t="s">
        <v>2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4">
        <f t="shared" si="1"/>
        <v>20</v>
      </c>
      <c r="Q84" s="4"/>
      <c r="R84" s="4"/>
      <c r="S84" s="4"/>
    </row>
    <row r="85" spans="1:19" x14ac:dyDescent="0.25">
      <c r="A85" s="8">
        <v>82</v>
      </c>
      <c r="D85" s="68" t="s">
        <v>148</v>
      </c>
      <c r="E85" s="27"/>
      <c r="F85" s="27"/>
      <c r="G85" s="28"/>
      <c r="H85" s="4">
        <v>77</v>
      </c>
      <c r="I85" s="8" t="s">
        <v>2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4">
        <f t="shared" si="1"/>
        <v>77</v>
      </c>
      <c r="Q85" s="4"/>
      <c r="R85" s="4"/>
      <c r="S85" s="4"/>
    </row>
    <row r="86" spans="1:19" ht="15.75" customHeight="1" x14ac:dyDescent="0.25">
      <c r="A86" s="8">
        <v>83</v>
      </c>
      <c r="D86" s="22" t="s">
        <v>150</v>
      </c>
      <c r="E86" s="10"/>
      <c r="F86" s="27"/>
      <c r="G86" s="28"/>
      <c r="H86" s="4">
        <v>350</v>
      </c>
      <c r="I86" s="8" t="s">
        <v>2</v>
      </c>
      <c r="J86" s="3">
        <v>0</v>
      </c>
      <c r="K86" s="3">
        <v>30</v>
      </c>
      <c r="L86" s="3">
        <v>50</v>
      </c>
      <c r="M86" s="3">
        <v>0</v>
      </c>
      <c r="N86" s="3">
        <v>200</v>
      </c>
      <c r="O86" s="3">
        <v>0</v>
      </c>
      <c r="P86" s="4">
        <f t="shared" si="1"/>
        <v>70</v>
      </c>
      <c r="Q86" s="4"/>
      <c r="R86" s="4">
        <v>50</v>
      </c>
      <c r="S86" s="4">
        <v>300</v>
      </c>
    </row>
    <row r="87" spans="1:19" x14ac:dyDescent="0.25">
      <c r="A87" s="8">
        <v>84</v>
      </c>
      <c r="D87" s="22" t="s">
        <v>152</v>
      </c>
      <c r="E87" s="10"/>
      <c r="F87" s="10"/>
      <c r="G87" s="11"/>
      <c r="H87" s="23">
        <v>966</v>
      </c>
      <c r="I87" s="8" t="s">
        <v>2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4">
        <f t="shared" si="1"/>
        <v>966</v>
      </c>
      <c r="Q87" s="4"/>
      <c r="R87" s="4"/>
      <c r="S87" s="4"/>
    </row>
    <row r="88" spans="1:19" x14ac:dyDescent="0.25">
      <c r="A88" s="8">
        <v>85</v>
      </c>
      <c r="D88" s="49" t="s">
        <v>153</v>
      </c>
      <c r="E88" s="20"/>
      <c r="F88" s="20"/>
      <c r="G88" s="21"/>
      <c r="H88" s="23">
        <v>88</v>
      </c>
      <c r="I88" s="8" t="s">
        <v>2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4">
        <f t="shared" si="1"/>
        <v>88</v>
      </c>
      <c r="Q88" s="4"/>
      <c r="R88" s="4"/>
      <c r="S88" s="4"/>
    </row>
    <row r="89" spans="1:19" x14ac:dyDescent="0.25">
      <c r="A89" s="77">
        <v>86</v>
      </c>
      <c r="D89" s="68" t="s">
        <v>157</v>
      </c>
      <c r="E89" s="27"/>
      <c r="F89" s="27"/>
      <c r="G89" s="28"/>
      <c r="H89" s="74">
        <v>0</v>
      </c>
      <c r="I89" s="75" t="s">
        <v>2</v>
      </c>
      <c r="J89" s="3">
        <v>0</v>
      </c>
      <c r="K89" s="3">
        <v>0</v>
      </c>
      <c r="L89" s="3">
        <v>0</v>
      </c>
      <c r="M89" s="3">
        <v>0</v>
      </c>
      <c r="N89" s="3">
        <v>0</v>
      </c>
      <c r="O89" s="3">
        <v>0</v>
      </c>
      <c r="P89" s="4">
        <f t="shared" si="1"/>
        <v>0</v>
      </c>
      <c r="Q89" s="4"/>
      <c r="R89" s="4"/>
      <c r="S89" s="4"/>
    </row>
  </sheetData>
  <pageMargins left="0.75" right="0.75" top="1" bottom="1" header="0.5" footer="0.5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T89"/>
  <sheetViews>
    <sheetView topLeftCell="A52" workbookViewId="0">
      <selection activeCell="J70" sqref="J70"/>
    </sheetView>
  </sheetViews>
  <sheetFormatPr defaultRowHeight="15" x14ac:dyDescent="0.25"/>
  <cols>
    <col min="1" max="1" width="5.5703125" customWidth="1"/>
    <col min="2" max="3" width="9.140625" hidden="1" customWidth="1"/>
    <col min="11" max="15" width="10.140625" bestFit="1" customWidth="1"/>
    <col min="17" max="17" width="4.85546875" customWidth="1"/>
    <col min="18" max="18" width="10" customWidth="1"/>
    <col min="19" max="19" width="11.140625" customWidth="1"/>
  </cols>
  <sheetData>
    <row r="1" spans="1:20" x14ac:dyDescent="0.25">
      <c r="G1" s="1"/>
      <c r="P1">
        <f>+H1+J1-K1-L1-M1-N1-O1</f>
        <v>0</v>
      </c>
    </row>
    <row r="2" spans="1:20" x14ac:dyDescent="0.25">
      <c r="A2" t="s">
        <v>14</v>
      </c>
      <c r="D2" s="78">
        <v>45108</v>
      </c>
      <c r="O2" s="38" t="s">
        <v>14</v>
      </c>
      <c r="S2" s="50">
        <v>44837</v>
      </c>
    </row>
    <row r="3" spans="1:20" x14ac:dyDescent="0.25">
      <c r="A3" s="3" t="s">
        <v>15</v>
      </c>
      <c r="D3" s="9" t="s">
        <v>17</v>
      </c>
      <c r="E3" s="10"/>
      <c r="F3" s="10"/>
      <c r="G3" s="11"/>
      <c r="H3" s="12" t="s">
        <v>18</v>
      </c>
      <c r="I3" s="4" t="s">
        <v>19</v>
      </c>
      <c r="J3" s="3" t="s">
        <v>20</v>
      </c>
      <c r="K3" s="5">
        <v>45128</v>
      </c>
      <c r="L3" s="6">
        <v>45133</v>
      </c>
      <c r="M3" s="5">
        <v>45133</v>
      </c>
      <c r="N3" s="5">
        <v>45136</v>
      </c>
      <c r="O3" s="6">
        <v>45138</v>
      </c>
      <c r="P3" s="3" t="s">
        <v>21</v>
      </c>
      <c r="R3" s="42" t="s">
        <v>105</v>
      </c>
      <c r="S3" s="45" t="s">
        <v>104</v>
      </c>
    </row>
    <row r="4" spans="1:20" x14ac:dyDescent="0.25">
      <c r="A4" s="7">
        <v>1</v>
      </c>
      <c r="D4" s="13" t="s">
        <v>16</v>
      </c>
      <c r="E4" s="14"/>
      <c r="F4" s="14"/>
      <c r="G4" s="15"/>
      <c r="H4" s="12">
        <v>611</v>
      </c>
      <c r="I4" s="7" t="s">
        <v>1</v>
      </c>
      <c r="J4" s="3">
        <v>0</v>
      </c>
      <c r="K4" s="3">
        <v>0</v>
      </c>
      <c r="L4" s="3">
        <v>17</v>
      </c>
      <c r="M4" s="3">
        <v>0</v>
      </c>
      <c r="N4" s="3">
        <v>0</v>
      </c>
      <c r="O4" s="3">
        <v>0</v>
      </c>
      <c r="P4" s="4">
        <f t="shared" ref="P4:P67" si="0">+H4+J4-K4-L4-M4-N4-O4</f>
        <v>594</v>
      </c>
      <c r="Q4" t="s">
        <v>67</v>
      </c>
      <c r="R4" s="43">
        <v>100</v>
      </c>
      <c r="S4" s="46">
        <v>500</v>
      </c>
      <c r="T4" t="s">
        <v>75</v>
      </c>
    </row>
    <row r="5" spans="1:20" x14ac:dyDescent="0.25">
      <c r="A5" s="7">
        <v>2</v>
      </c>
      <c r="D5" s="9" t="s">
        <v>22</v>
      </c>
      <c r="E5" s="10"/>
      <c r="F5" s="10"/>
      <c r="G5" s="11"/>
      <c r="H5" s="12">
        <v>28</v>
      </c>
      <c r="I5" s="7" t="s">
        <v>2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4">
        <f t="shared" si="0"/>
        <v>28</v>
      </c>
      <c r="Q5" s="1" t="s">
        <v>14</v>
      </c>
      <c r="R5" s="44">
        <v>6</v>
      </c>
      <c r="S5" s="47">
        <v>10</v>
      </c>
    </row>
    <row r="6" spans="1:20" x14ac:dyDescent="0.25">
      <c r="A6" s="7">
        <v>3</v>
      </c>
      <c r="D6" s="16" t="s">
        <v>23</v>
      </c>
      <c r="E6" s="17"/>
      <c r="F6" s="17"/>
      <c r="G6" s="18"/>
      <c r="H6" s="12">
        <v>60</v>
      </c>
      <c r="I6" s="7" t="s">
        <v>2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4">
        <f t="shared" si="0"/>
        <v>60</v>
      </c>
      <c r="Q6" s="1" t="s">
        <v>14</v>
      </c>
      <c r="R6" s="44">
        <v>6</v>
      </c>
      <c r="S6" s="47">
        <v>10</v>
      </c>
    </row>
    <row r="7" spans="1:20" x14ac:dyDescent="0.25">
      <c r="A7" s="7">
        <v>4</v>
      </c>
      <c r="D7" s="9" t="s">
        <v>3</v>
      </c>
      <c r="E7" s="10"/>
      <c r="F7" s="10"/>
      <c r="G7" s="11"/>
      <c r="H7" s="12">
        <v>30</v>
      </c>
      <c r="I7" s="7" t="s">
        <v>2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4">
        <f t="shared" si="0"/>
        <v>30</v>
      </c>
      <c r="Q7" s="1" t="s">
        <v>14</v>
      </c>
      <c r="R7" s="44">
        <v>6</v>
      </c>
      <c r="S7" s="47">
        <v>10</v>
      </c>
    </row>
    <row r="8" spans="1:20" x14ac:dyDescent="0.25">
      <c r="A8" s="7">
        <v>5</v>
      </c>
      <c r="D8" s="16" t="s">
        <v>139</v>
      </c>
      <c r="E8" s="17"/>
      <c r="F8" s="17"/>
      <c r="G8" s="18"/>
      <c r="H8" s="12">
        <v>505</v>
      </c>
      <c r="I8" s="7" t="s">
        <v>2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4">
        <f t="shared" si="0"/>
        <v>505</v>
      </c>
      <c r="Q8" s="1" t="s">
        <v>14</v>
      </c>
      <c r="R8" s="44">
        <v>100</v>
      </c>
      <c r="S8" s="47">
        <v>400</v>
      </c>
    </row>
    <row r="9" spans="1:20" x14ac:dyDescent="0.25">
      <c r="A9" s="7">
        <v>6</v>
      </c>
      <c r="D9" s="9" t="s">
        <v>24</v>
      </c>
      <c r="E9" s="10"/>
      <c r="F9" s="10"/>
      <c r="G9" s="11"/>
      <c r="H9" s="12">
        <v>338</v>
      </c>
      <c r="I9" s="7" t="s">
        <v>2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4">
        <f t="shared" si="0"/>
        <v>338</v>
      </c>
      <c r="Q9" s="1" t="s">
        <v>14</v>
      </c>
      <c r="R9" s="44">
        <v>60</v>
      </c>
      <c r="S9" s="47">
        <v>200</v>
      </c>
    </row>
    <row r="10" spans="1:20" x14ac:dyDescent="0.25">
      <c r="A10" s="7">
        <v>7</v>
      </c>
      <c r="D10" s="16" t="s">
        <v>101</v>
      </c>
      <c r="E10" s="17"/>
      <c r="F10" s="17"/>
      <c r="G10" s="18"/>
      <c r="H10" s="12">
        <v>2978</v>
      </c>
      <c r="I10" s="7" t="s">
        <v>2</v>
      </c>
      <c r="J10" s="3">
        <v>0</v>
      </c>
      <c r="K10" s="3">
        <v>40</v>
      </c>
      <c r="L10" s="3">
        <v>20</v>
      </c>
      <c r="M10" s="3">
        <v>0</v>
      </c>
      <c r="N10" s="3">
        <v>0</v>
      </c>
      <c r="O10" s="3">
        <v>0</v>
      </c>
      <c r="P10" s="4">
        <f t="shared" si="0"/>
        <v>2918</v>
      </c>
      <c r="Q10" s="1" t="s">
        <v>14</v>
      </c>
      <c r="R10" s="44">
        <v>200</v>
      </c>
      <c r="S10" s="47">
        <v>500</v>
      </c>
    </row>
    <row r="11" spans="1:20" x14ac:dyDescent="0.25">
      <c r="A11" s="7">
        <v>8</v>
      </c>
      <c r="D11" s="9" t="s">
        <v>25</v>
      </c>
      <c r="E11" s="10"/>
      <c r="F11" s="10"/>
      <c r="G11" s="11"/>
      <c r="H11" s="12">
        <v>430</v>
      </c>
      <c r="I11" s="7" t="s">
        <v>2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4">
        <f t="shared" si="0"/>
        <v>430</v>
      </c>
      <c r="Q11" s="1" t="s">
        <v>14</v>
      </c>
      <c r="R11" s="44">
        <v>0</v>
      </c>
      <c r="S11" s="47">
        <v>0</v>
      </c>
    </row>
    <row r="12" spans="1:20" x14ac:dyDescent="0.25">
      <c r="A12" s="7">
        <v>9</v>
      </c>
      <c r="D12" s="16" t="s">
        <v>26</v>
      </c>
      <c r="E12" s="17"/>
      <c r="F12" s="17"/>
      <c r="G12" s="18"/>
      <c r="H12" s="12">
        <v>0</v>
      </c>
      <c r="I12" s="7" t="s">
        <v>2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4">
        <f t="shared" si="0"/>
        <v>0</v>
      </c>
      <c r="Q12" s="1" t="s">
        <v>14</v>
      </c>
      <c r="R12" s="44">
        <v>200</v>
      </c>
      <c r="S12" s="47">
        <v>400</v>
      </c>
    </row>
    <row r="13" spans="1:20" x14ac:dyDescent="0.25">
      <c r="A13" s="7">
        <v>10</v>
      </c>
      <c r="D13" s="9" t="s">
        <v>6</v>
      </c>
      <c r="E13" s="10"/>
      <c r="F13" s="10"/>
      <c r="G13" s="11"/>
      <c r="H13" s="12">
        <v>60</v>
      </c>
      <c r="I13" s="7" t="s">
        <v>2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4">
        <f t="shared" si="0"/>
        <v>60</v>
      </c>
      <c r="Q13" s="1" t="s">
        <v>14</v>
      </c>
      <c r="R13" s="44">
        <v>0</v>
      </c>
      <c r="S13" s="46"/>
    </row>
    <row r="14" spans="1:20" x14ac:dyDescent="0.25">
      <c r="A14" s="7">
        <v>11</v>
      </c>
      <c r="D14" s="16" t="s">
        <v>7</v>
      </c>
      <c r="E14" s="17"/>
      <c r="F14" s="17"/>
      <c r="G14" s="18"/>
      <c r="H14" s="12">
        <v>0</v>
      </c>
      <c r="I14" s="7" t="s">
        <v>2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4">
        <f t="shared" si="0"/>
        <v>0</v>
      </c>
      <c r="Q14" s="1" t="s">
        <v>14</v>
      </c>
      <c r="R14" s="44">
        <v>20</v>
      </c>
      <c r="S14" s="47">
        <v>50</v>
      </c>
    </row>
    <row r="15" spans="1:20" x14ac:dyDescent="0.25">
      <c r="A15" s="7">
        <v>12</v>
      </c>
      <c r="D15" s="9" t="s">
        <v>69</v>
      </c>
      <c r="E15" s="10"/>
      <c r="F15" s="10"/>
      <c r="G15" s="11"/>
      <c r="H15" s="12">
        <v>4</v>
      </c>
      <c r="I15" s="7" t="s">
        <v>2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4">
        <f t="shared" si="0"/>
        <v>4</v>
      </c>
      <c r="Q15" s="1" t="s">
        <v>14</v>
      </c>
      <c r="R15" s="44">
        <v>100</v>
      </c>
      <c r="S15" s="47">
        <v>200</v>
      </c>
    </row>
    <row r="16" spans="1:20" x14ac:dyDescent="0.25">
      <c r="A16" s="7">
        <v>13</v>
      </c>
      <c r="D16" s="16" t="s">
        <v>27</v>
      </c>
      <c r="E16" s="17"/>
      <c r="F16" s="17"/>
      <c r="G16" s="18"/>
      <c r="H16" s="12">
        <v>0</v>
      </c>
      <c r="I16" s="7" t="s">
        <v>2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4">
        <f t="shared" si="0"/>
        <v>0</v>
      </c>
      <c r="Q16" s="1" t="s">
        <v>14</v>
      </c>
      <c r="R16" s="44">
        <v>0</v>
      </c>
      <c r="S16" s="46"/>
    </row>
    <row r="17" spans="1:19" x14ac:dyDescent="0.25">
      <c r="A17" s="7">
        <v>14</v>
      </c>
      <c r="D17" s="9" t="s">
        <v>73</v>
      </c>
      <c r="E17" s="10"/>
      <c r="F17" s="10"/>
      <c r="G17" s="11"/>
      <c r="H17" s="12">
        <v>794</v>
      </c>
      <c r="I17" s="7" t="s">
        <v>2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4">
        <f t="shared" si="0"/>
        <v>794</v>
      </c>
      <c r="Q17" s="1" t="s">
        <v>14</v>
      </c>
      <c r="R17" s="44">
        <v>0</v>
      </c>
      <c r="S17" s="46"/>
    </row>
    <row r="18" spans="1:19" x14ac:dyDescent="0.25">
      <c r="A18" s="7">
        <v>15</v>
      </c>
      <c r="D18" s="16" t="s">
        <v>28</v>
      </c>
      <c r="E18" s="17"/>
      <c r="F18" s="17"/>
      <c r="G18" s="18"/>
      <c r="H18" s="12">
        <v>16</v>
      </c>
      <c r="I18" s="7" t="s">
        <v>2</v>
      </c>
      <c r="J18" s="3">
        <v>50</v>
      </c>
      <c r="K18" s="3">
        <v>0</v>
      </c>
      <c r="L18" s="3">
        <v>12</v>
      </c>
      <c r="M18" s="3">
        <v>0</v>
      </c>
      <c r="N18" s="3">
        <v>0</v>
      </c>
      <c r="O18" s="3">
        <v>0</v>
      </c>
      <c r="P18" s="4">
        <f t="shared" si="0"/>
        <v>54</v>
      </c>
      <c r="Q18" s="1" t="s">
        <v>14</v>
      </c>
      <c r="R18" s="44">
        <v>20</v>
      </c>
      <c r="S18" s="47">
        <v>50</v>
      </c>
    </row>
    <row r="19" spans="1:19" x14ac:dyDescent="0.25">
      <c r="A19" s="7">
        <v>16</v>
      </c>
      <c r="D19" s="9" t="s">
        <v>29</v>
      </c>
      <c r="E19" s="10"/>
      <c r="F19" s="10"/>
      <c r="G19" s="11"/>
      <c r="H19" s="12">
        <v>16</v>
      </c>
      <c r="I19" s="7" t="s">
        <v>2</v>
      </c>
      <c r="J19" s="3">
        <v>50</v>
      </c>
      <c r="K19" s="3">
        <v>0</v>
      </c>
      <c r="L19" s="3">
        <v>12</v>
      </c>
      <c r="M19" s="3">
        <v>0</v>
      </c>
      <c r="N19" s="3">
        <v>0</v>
      </c>
      <c r="O19" s="3">
        <v>0</v>
      </c>
      <c r="P19" s="4">
        <f t="shared" si="0"/>
        <v>54</v>
      </c>
      <c r="Q19" s="1" t="s">
        <v>14</v>
      </c>
      <c r="R19" s="44">
        <v>20</v>
      </c>
      <c r="S19" s="47">
        <v>50</v>
      </c>
    </row>
    <row r="20" spans="1:19" x14ac:dyDescent="0.25">
      <c r="A20" s="7">
        <v>17</v>
      </c>
      <c r="D20" s="16" t="s">
        <v>30</v>
      </c>
      <c r="E20" s="17"/>
      <c r="F20" s="17"/>
      <c r="G20" s="18"/>
      <c r="H20" s="12">
        <v>38</v>
      </c>
      <c r="I20" s="7" t="s">
        <v>2</v>
      </c>
      <c r="J20" s="3">
        <v>40</v>
      </c>
      <c r="K20" s="3">
        <v>0</v>
      </c>
      <c r="L20" s="3">
        <v>12</v>
      </c>
      <c r="M20" s="3">
        <v>0</v>
      </c>
      <c r="N20" s="3">
        <v>0</v>
      </c>
      <c r="O20" s="3">
        <v>0</v>
      </c>
      <c r="P20" s="4">
        <f t="shared" si="0"/>
        <v>66</v>
      </c>
      <c r="Q20" s="1" t="s">
        <v>14</v>
      </c>
      <c r="R20" s="44">
        <v>20</v>
      </c>
      <c r="S20" s="47">
        <v>50</v>
      </c>
    </row>
    <row r="21" spans="1:19" x14ac:dyDescent="0.25">
      <c r="A21" s="7">
        <v>18</v>
      </c>
      <c r="D21" s="9" t="s">
        <v>129</v>
      </c>
      <c r="E21" s="10"/>
      <c r="F21" s="10"/>
      <c r="G21" s="11"/>
      <c r="H21" s="12">
        <v>10</v>
      </c>
      <c r="I21" s="7" t="s">
        <v>2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4">
        <f t="shared" si="0"/>
        <v>10</v>
      </c>
      <c r="Q21" s="1" t="s">
        <v>14</v>
      </c>
      <c r="R21" s="44">
        <v>0</v>
      </c>
      <c r="S21" s="46"/>
    </row>
    <row r="22" spans="1:19" x14ac:dyDescent="0.25">
      <c r="A22" s="7">
        <v>19</v>
      </c>
      <c r="D22" s="55" t="s">
        <v>8</v>
      </c>
      <c r="E22" s="56"/>
      <c r="F22" s="56"/>
      <c r="G22" s="57"/>
      <c r="H22" s="12">
        <v>0</v>
      </c>
      <c r="I22" s="59" t="s">
        <v>1</v>
      </c>
      <c r="J22" s="3">
        <v>100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46">
        <f t="shared" si="0"/>
        <v>100</v>
      </c>
      <c r="Q22" s="1" t="s">
        <v>14</v>
      </c>
      <c r="R22" s="44">
        <v>50</v>
      </c>
      <c r="S22" s="47">
        <v>200</v>
      </c>
    </row>
    <row r="23" spans="1:19" x14ac:dyDescent="0.25">
      <c r="A23" s="7">
        <v>20</v>
      </c>
      <c r="D23" s="9" t="s">
        <v>32</v>
      </c>
      <c r="E23" s="10"/>
      <c r="F23" s="10"/>
      <c r="G23" s="11"/>
      <c r="H23" s="12">
        <f>'ARALIK 3 HAFTA '!P23</f>
        <v>2000</v>
      </c>
      <c r="I23" s="7" t="s">
        <v>2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4">
        <f t="shared" si="0"/>
        <v>2000</v>
      </c>
      <c r="Q23" s="1" t="s">
        <v>14</v>
      </c>
      <c r="R23" s="44">
        <v>0</v>
      </c>
      <c r="S23" s="46"/>
    </row>
    <row r="24" spans="1:19" x14ac:dyDescent="0.25">
      <c r="A24" s="7">
        <v>21</v>
      </c>
      <c r="D24" s="16" t="s">
        <v>140</v>
      </c>
      <c r="E24" s="17"/>
      <c r="F24" s="17"/>
      <c r="G24" s="18"/>
      <c r="H24" s="12">
        <v>200</v>
      </c>
      <c r="I24" s="7" t="s">
        <v>2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4">
        <f t="shared" si="0"/>
        <v>200</v>
      </c>
      <c r="Q24" s="1" t="s">
        <v>14</v>
      </c>
      <c r="R24" s="44">
        <v>0</v>
      </c>
      <c r="S24" s="46"/>
    </row>
    <row r="25" spans="1:19" x14ac:dyDescent="0.25">
      <c r="A25" s="7">
        <v>22</v>
      </c>
      <c r="D25" s="9" t="s">
        <v>34</v>
      </c>
      <c r="E25" s="10"/>
      <c r="F25" s="10"/>
      <c r="G25" s="11"/>
      <c r="H25" s="12">
        <v>50</v>
      </c>
      <c r="I25" s="7" t="s">
        <v>2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4">
        <f t="shared" si="0"/>
        <v>50</v>
      </c>
      <c r="Q25" s="1" t="s">
        <v>14</v>
      </c>
      <c r="R25" s="44">
        <v>0</v>
      </c>
      <c r="S25" s="46"/>
    </row>
    <row r="26" spans="1:19" x14ac:dyDescent="0.25">
      <c r="A26" s="7">
        <v>23</v>
      </c>
      <c r="D26" s="16" t="s">
        <v>142</v>
      </c>
      <c r="E26" s="17"/>
      <c r="F26" s="17"/>
      <c r="G26" s="18"/>
      <c r="H26" s="12">
        <v>37</v>
      </c>
      <c r="I26" s="7" t="s">
        <v>2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4">
        <f t="shared" si="0"/>
        <v>37</v>
      </c>
      <c r="Q26" s="1" t="s">
        <v>14</v>
      </c>
      <c r="R26" s="44">
        <v>20</v>
      </c>
      <c r="S26" s="47">
        <v>50</v>
      </c>
    </row>
    <row r="27" spans="1:19" x14ac:dyDescent="0.25">
      <c r="A27" s="7">
        <v>24</v>
      </c>
      <c r="D27" s="9" t="s">
        <v>141</v>
      </c>
      <c r="E27" s="10"/>
      <c r="F27" s="10"/>
      <c r="G27" s="11"/>
      <c r="H27" s="12">
        <v>0</v>
      </c>
      <c r="I27" s="7" t="s">
        <v>2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  <c r="P27" s="4">
        <f t="shared" si="0"/>
        <v>0</v>
      </c>
      <c r="Q27" s="1"/>
      <c r="R27" s="44">
        <v>20</v>
      </c>
      <c r="S27" s="47">
        <v>50</v>
      </c>
    </row>
    <row r="28" spans="1:19" x14ac:dyDescent="0.25">
      <c r="A28" s="7">
        <v>25</v>
      </c>
      <c r="D28" s="9" t="s">
        <v>137</v>
      </c>
      <c r="E28" s="10"/>
      <c r="F28" s="10"/>
      <c r="G28" s="11"/>
      <c r="H28" s="12">
        <v>112</v>
      </c>
      <c r="I28" s="7" t="s">
        <v>2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4">
        <f t="shared" si="0"/>
        <v>112</v>
      </c>
      <c r="Q28" s="1" t="s">
        <v>14</v>
      </c>
      <c r="R28" s="44">
        <v>20</v>
      </c>
      <c r="S28" s="47">
        <v>50</v>
      </c>
    </row>
    <row r="29" spans="1:19" x14ac:dyDescent="0.25">
      <c r="A29" s="7">
        <v>26</v>
      </c>
      <c r="D29" s="9" t="s">
        <v>138</v>
      </c>
      <c r="E29" s="10"/>
      <c r="F29" s="10"/>
      <c r="G29" s="11"/>
      <c r="H29" s="12">
        <v>32</v>
      </c>
      <c r="I29" s="7" t="s">
        <v>2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4">
        <f t="shared" si="0"/>
        <v>32</v>
      </c>
      <c r="Q29" s="1"/>
      <c r="R29" s="44"/>
      <c r="S29" s="47"/>
    </row>
    <row r="30" spans="1:19" x14ac:dyDescent="0.25">
      <c r="A30" s="7">
        <v>27</v>
      </c>
      <c r="D30" s="16" t="s">
        <v>35</v>
      </c>
      <c r="E30" s="17"/>
      <c r="F30" s="17"/>
      <c r="G30" s="18"/>
      <c r="H30" s="12">
        <v>500</v>
      </c>
      <c r="I30" s="7" t="s">
        <v>2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4">
        <f t="shared" si="0"/>
        <v>500</v>
      </c>
      <c r="Q30" s="1" t="s">
        <v>14</v>
      </c>
      <c r="R30" s="44">
        <v>50</v>
      </c>
      <c r="S30" s="47">
        <v>100</v>
      </c>
    </row>
    <row r="31" spans="1:19" x14ac:dyDescent="0.25">
      <c r="A31" s="7">
        <v>28</v>
      </c>
      <c r="D31" s="9" t="s">
        <v>36</v>
      </c>
      <c r="E31" s="10"/>
      <c r="F31" s="10"/>
      <c r="G31" s="11"/>
      <c r="H31" s="12">
        <v>46</v>
      </c>
      <c r="I31" s="7" t="s">
        <v>2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4">
        <f t="shared" si="0"/>
        <v>46</v>
      </c>
      <c r="Q31" s="1" t="s">
        <v>14</v>
      </c>
      <c r="R31" s="44">
        <v>50</v>
      </c>
      <c r="S31" s="47">
        <v>100</v>
      </c>
    </row>
    <row r="32" spans="1:19" x14ac:dyDescent="0.25">
      <c r="A32" s="7">
        <v>29</v>
      </c>
      <c r="D32" s="16" t="s">
        <v>37</v>
      </c>
      <c r="E32" s="17"/>
      <c r="F32" s="17"/>
      <c r="G32" s="18"/>
      <c r="H32" s="12">
        <v>579</v>
      </c>
      <c r="I32" s="7" t="s">
        <v>2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4">
        <f t="shared" si="0"/>
        <v>579</v>
      </c>
      <c r="Q32" s="1" t="s">
        <v>14</v>
      </c>
      <c r="R32" s="44">
        <v>20</v>
      </c>
      <c r="S32" s="47">
        <v>50</v>
      </c>
    </row>
    <row r="33" spans="1:19" x14ac:dyDescent="0.25">
      <c r="A33" s="7">
        <v>30</v>
      </c>
      <c r="D33" s="9" t="s">
        <v>38</v>
      </c>
      <c r="E33" s="10"/>
      <c r="F33" s="10"/>
      <c r="G33" s="11"/>
      <c r="H33" s="12">
        <v>578</v>
      </c>
      <c r="I33" s="7" t="s">
        <v>2</v>
      </c>
      <c r="J33" s="3">
        <v>0</v>
      </c>
      <c r="K33" s="3">
        <v>16</v>
      </c>
      <c r="L33" s="3">
        <v>29</v>
      </c>
      <c r="M33" s="3">
        <v>0</v>
      </c>
      <c r="N33" s="3">
        <v>0</v>
      </c>
      <c r="O33" s="3">
        <v>0</v>
      </c>
      <c r="P33" s="4">
        <f t="shared" si="0"/>
        <v>533</v>
      </c>
      <c r="Q33" s="1" t="s">
        <v>14</v>
      </c>
      <c r="R33" s="44">
        <v>50</v>
      </c>
      <c r="S33" s="47">
        <v>100</v>
      </c>
    </row>
    <row r="34" spans="1:19" x14ac:dyDescent="0.25">
      <c r="A34" s="7">
        <v>31</v>
      </c>
      <c r="D34" s="16" t="s">
        <v>39</v>
      </c>
      <c r="E34" s="17"/>
      <c r="F34" s="17"/>
      <c r="G34" s="18"/>
      <c r="H34" s="12">
        <v>32</v>
      </c>
      <c r="I34" s="7" t="s">
        <v>2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4">
        <f t="shared" si="0"/>
        <v>32</v>
      </c>
      <c r="Q34" s="1" t="s">
        <v>14</v>
      </c>
      <c r="R34" s="44">
        <v>20</v>
      </c>
      <c r="S34" s="47">
        <v>50</v>
      </c>
    </row>
    <row r="35" spans="1:19" x14ac:dyDescent="0.25">
      <c r="A35" s="7">
        <v>32</v>
      </c>
      <c r="D35" s="9" t="s">
        <v>40</v>
      </c>
      <c r="E35" s="10"/>
      <c r="F35" s="10"/>
      <c r="G35" s="11"/>
      <c r="H35" s="12">
        <f>'ARALIK 3 HAFTA '!P33</f>
        <v>1075</v>
      </c>
      <c r="I35" s="7" t="s">
        <v>2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4">
        <f t="shared" si="0"/>
        <v>1075</v>
      </c>
      <c r="Q35" s="1" t="s">
        <v>14</v>
      </c>
      <c r="R35" s="44">
        <v>0</v>
      </c>
      <c r="S35" s="46"/>
    </row>
    <row r="36" spans="1:19" x14ac:dyDescent="0.25">
      <c r="A36" s="7">
        <v>33</v>
      </c>
      <c r="D36" s="9" t="s">
        <v>9</v>
      </c>
      <c r="E36" s="10"/>
      <c r="F36" s="10"/>
      <c r="G36" s="11"/>
      <c r="H36" s="12">
        <v>222</v>
      </c>
      <c r="I36" s="7" t="s">
        <v>2</v>
      </c>
      <c r="J36" s="3">
        <v>0</v>
      </c>
      <c r="K36" s="3">
        <v>0</v>
      </c>
      <c r="L36" s="3">
        <v>4</v>
      </c>
      <c r="M36" s="3">
        <v>0</v>
      </c>
      <c r="N36" s="3">
        <v>0</v>
      </c>
      <c r="O36" s="3">
        <v>0</v>
      </c>
      <c r="P36" s="4">
        <f t="shared" si="0"/>
        <v>218</v>
      </c>
      <c r="Q36" s="1" t="s">
        <v>14</v>
      </c>
      <c r="R36" s="44">
        <v>50</v>
      </c>
      <c r="S36" s="47">
        <v>100</v>
      </c>
    </row>
    <row r="37" spans="1:19" x14ac:dyDescent="0.25">
      <c r="A37" s="7">
        <v>34</v>
      </c>
      <c r="D37" s="19" t="s">
        <v>70</v>
      </c>
      <c r="E37" s="20"/>
      <c r="F37" s="20"/>
      <c r="G37" s="21"/>
      <c r="H37" s="69">
        <v>53</v>
      </c>
      <c r="I37" s="7" t="s">
        <v>2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4">
        <f t="shared" si="0"/>
        <v>53</v>
      </c>
      <c r="Q37" s="1" t="s">
        <v>14</v>
      </c>
      <c r="R37" s="44">
        <v>0</v>
      </c>
      <c r="S37" s="46"/>
    </row>
    <row r="38" spans="1:19" x14ac:dyDescent="0.25">
      <c r="A38" s="7">
        <v>35</v>
      </c>
      <c r="D38" s="16" t="s">
        <v>143</v>
      </c>
      <c r="E38" s="17"/>
      <c r="F38" s="17"/>
      <c r="G38" s="18"/>
      <c r="H38" s="12">
        <v>14</v>
      </c>
      <c r="I38" s="7" t="s">
        <v>2</v>
      </c>
      <c r="J38" s="3">
        <v>0</v>
      </c>
      <c r="K38" s="3">
        <v>0</v>
      </c>
      <c r="L38" s="3">
        <v>4</v>
      </c>
      <c r="M38" s="3">
        <v>0</v>
      </c>
      <c r="N38" s="3">
        <v>0</v>
      </c>
      <c r="O38" s="3">
        <v>0</v>
      </c>
      <c r="P38" s="4">
        <f t="shared" si="0"/>
        <v>10</v>
      </c>
      <c r="Q38" s="1" t="s">
        <v>14</v>
      </c>
      <c r="R38" s="44">
        <v>50</v>
      </c>
      <c r="S38" s="46">
        <v>100</v>
      </c>
    </row>
    <row r="39" spans="1:19" x14ac:dyDescent="0.25">
      <c r="A39" s="7">
        <v>36</v>
      </c>
      <c r="D39" s="9" t="s">
        <v>144</v>
      </c>
      <c r="E39" s="10"/>
      <c r="F39" s="10"/>
      <c r="G39" s="11"/>
      <c r="H39" s="12">
        <v>146</v>
      </c>
      <c r="I39" s="7" t="s">
        <v>2</v>
      </c>
      <c r="J39" s="3">
        <v>0</v>
      </c>
      <c r="K39" s="3">
        <v>0</v>
      </c>
      <c r="L39" s="3">
        <v>4</v>
      </c>
      <c r="M39" s="3">
        <v>0</v>
      </c>
      <c r="N39" s="3">
        <v>0</v>
      </c>
      <c r="O39" s="3">
        <v>0</v>
      </c>
      <c r="P39" s="4">
        <f t="shared" si="0"/>
        <v>142</v>
      </c>
      <c r="Q39" s="1" t="s">
        <v>14</v>
      </c>
      <c r="R39" s="44">
        <v>50</v>
      </c>
      <c r="S39" s="47">
        <v>100</v>
      </c>
    </row>
    <row r="40" spans="1:19" x14ac:dyDescent="0.25">
      <c r="A40" s="7">
        <v>37</v>
      </c>
      <c r="D40" s="16" t="s">
        <v>42</v>
      </c>
      <c r="E40" s="17"/>
      <c r="F40" s="17"/>
      <c r="G40" s="18"/>
      <c r="H40" s="12">
        <v>104</v>
      </c>
      <c r="I40" s="7" t="s">
        <v>2</v>
      </c>
      <c r="J40" s="3">
        <v>0</v>
      </c>
      <c r="K40" s="3">
        <v>0</v>
      </c>
      <c r="L40" s="3">
        <v>4</v>
      </c>
      <c r="M40" s="3">
        <v>0</v>
      </c>
      <c r="N40" s="3">
        <v>0</v>
      </c>
      <c r="O40" s="3">
        <v>0</v>
      </c>
      <c r="P40" s="4">
        <f t="shared" si="0"/>
        <v>100</v>
      </c>
      <c r="Q40" s="1" t="s">
        <v>14</v>
      </c>
      <c r="R40" s="44">
        <v>50</v>
      </c>
      <c r="S40" s="47">
        <v>100</v>
      </c>
    </row>
    <row r="41" spans="1:19" x14ac:dyDescent="0.25">
      <c r="A41" s="7">
        <v>38</v>
      </c>
      <c r="D41" s="9" t="s">
        <v>133</v>
      </c>
      <c r="E41" s="10"/>
      <c r="F41" s="10"/>
      <c r="G41" s="11"/>
      <c r="H41" s="12">
        <v>32</v>
      </c>
      <c r="I41" s="7" t="s">
        <v>2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4">
        <f t="shared" si="0"/>
        <v>32</v>
      </c>
      <c r="Q41" s="1" t="s">
        <v>14</v>
      </c>
      <c r="R41" s="44">
        <v>20</v>
      </c>
      <c r="S41" s="47">
        <v>50</v>
      </c>
    </row>
    <row r="42" spans="1:19" x14ac:dyDescent="0.25">
      <c r="A42" s="7">
        <v>39</v>
      </c>
      <c r="D42" s="16" t="s">
        <v>145</v>
      </c>
      <c r="E42" s="17"/>
      <c r="F42" s="17"/>
      <c r="G42" s="18"/>
      <c r="H42" s="12">
        <v>22</v>
      </c>
      <c r="I42" s="7" t="s">
        <v>2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4">
        <f t="shared" si="0"/>
        <v>22</v>
      </c>
      <c r="Q42" s="1" t="s">
        <v>14</v>
      </c>
      <c r="R42" s="44">
        <v>20</v>
      </c>
      <c r="S42" s="46">
        <v>50</v>
      </c>
    </row>
    <row r="43" spans="1:19" x14ac:dyDescent="0.25">
      <c r="A43" s="7">
        <v>40</v>
      </c>
      <c r="D43" s="9" t="s">
        <v>71</v>
      </c>
      <c r="E43" s="10"/>
      <c r="F43" s="10"/>
      <c r="G43" s="11"/>
      <c r="H43" s="12">
        <v>25</v>
      </c>
      <c r="I43" s="7" t="s">
        <v>2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4">
        <f t="shared" si="0"/>
        <v>25</v>
      </c>
      <c r="Q43" s="1" t="s">
        <v>14</v>
      </c>
      <c r="R43" s="44">
        <v>5</v>
      </c>
      <c r="S43" s="47">
        <v>10</v>
      </c>
    </row>
    <row r="44" spans="1:19" x14ac:dyDescent="0.25">
      <c r="A44" s="7">
        <v>41</v>
      </c>
      <c r="D44" s="16" t="s">
        <v>10</v>
      </c>
      <c r="E44" s="17"/>
      <c r="F44" s="17"/>
      <c r="G44" s="18"/>
      <c r="H44" s="12">
        <v>450</v>
      </c>
      <c r="I44" s="7" t="s">
        <v>2</v>
      </c>
      <c r="J44" s="3">
        <v>0</v>
      </c>
      <c r="K44" s="3">
        <v>56</v>
      </c>
      <c r="L44" s="3">
        <v>0</v>
      </c>
      <c r="M44" s="3">
        <v>0</v>
      </c>
      <c r="N44" s="3">
        <v>0</v>
      </c>
      <c r="O44" s="3">
        <v>0</v>
      </c>
      <c r="P44" s="4">
        <f t="shared" si="0"/>
        <v>394</v>
      </c>
      <c r="Q44" s="1" t="s">
        <v>14</v>
      </c>
      <c r="R44" s="44">
        <v>40</v>
      </c>
      <c r="S44" s="47">
        <v>100</v>
      </c>
    </row>
    <row r="45" spans="1:19" x14ac:dyDescent="0.25">
      <c r="A45" s="7">
        <v>42</v>
      </c>
      <c r="D45" s="9" t="s">
        <v>45</v>
      </c>
      <c r="E45" s="10"/>
      <c r="F45" s="10"/>
      <c r="G45" s="11"/>
      <c r="H45" s="12">
        <v>250</v>
      </c>
      <c r="I45" s="7" t="s">
        <v>2</v>
      </c>
      <c r="J45" s="3">
        <v>0</v>
      </c>
      <c r="K45" s="3">
        <v>28</v>
      </c>
      <c r="L45" s="3">
        <v>0</v>
      </c>
      <c r="M45" s="3">
        <v>0</v>
      </c>
      <c r="N45" s="3">
        <v>0</v>
      </c>
      <c r="O45" s="3">
        <v>0</v>
      </c>
      <c r="P45" s="4">
        <f t="shared" si="0"/>
        <v>222</v>
      </c>
      <c r="Q45" s="1" t="s">
        <v>14</v>
      </c>
      <c r="R45" s="44">
        <v>20</v>
      </c>
      <c r="S45" s="47">
        <v>50</v>
      </c>
    </row>
    <row r="46" spans="1:19" x14ac:dyDescent="0.25">
      <c r="A46" s="7">
        <v>43</v>
      </c>
      <c r="D46" s="16" t="s">
        <v>46</v>
      </c>
      <c r="E46" s="17"/>
      <c r="F46" s="17"/>
      <c r="G46" s="18"/>
      <c r="H46" s="12">
        <v>250</v>
      </c>
      <c r="I46" s="7" t="s">
        <v>2</v>
      </c>
      <c r="J46" s="3">
        <v>0</v>
      </c>
      <c r="K46" s="3">
        <v>28</v>
      </c>
      <c r="L46" s="3">
        <v>0</v>
      </c>
      <c r="M46" s="3">
        <v>0</v>
      </c>
      <c r="N46" s="3">
        <v>0</v>
      </c>
      <c r="O46" s="3">
        <v>0</v>
      </c>
      <c r="P46" s="4">
        <f t="shared" si="0"/>
        <v>222</v>
      </c>
      <c r="Q46" s="1" t="s">
        <v>14</v>
      </c>
      <c r="R46" s="44">
        <v>20</v>
      </c>
      <c r="S46" s="47">
        <v>50</v>
      </c>
    </row>
    <row r="47" spans="1:19" x14ac:dyDescent="0.25">
      <c r="A47" s="7">
        <v>44</v>
      </c>
      <c r="D47" s="9" t="s">
        <v>47</v>
      </c>
      <c r="E47" s="10"/>
      <c r="F47" s="10"/>
      <c r="G47" s="11"/>
      <c r="H47" s="12">
        <v>265</v>
      </c>
      <c r="I47" s="7" t="s">
        <v>2</v>
      </c>
      <c r="J47" s="3">
        <v>0</v>
      </c>
      <c r="K47" s="3">
        <v>28</v>
      </c>
      <c r="L47" s="3">
        <v>0</v>
      </c>
      <c r="M47" s="3">
        <v>0</v>
      </c>
      <c r="N47" s="3">
        <v>0</v>
      </c>
      <c r="O47" s="3">
        <v>0</v>
      </c>
      <c r="P47" s="4">
        <f t="shared" si="0"/>
        <v>237</v>
      </c>
      <c r="Q47" s="1" t="s">
        <v>14</v>
      </c>
      <c r="R47" s="44">
        <v>20</v>
      </c>
      <c r="S47" s="47">
        <v>50</v>
      </c>
    </row>
    <row r="48" spans="1:19" x14ac:dyDescent="0.25">
      <c r="A48" s="7">
        <v>45</v>
      </c>
      <c r="D48" s="16" t="s">
        <v>79</v>
      </c>
      <c r="E48" s="17"/>
      <c r="F48" s="17"/>
      <c r="G48" s="18"/>
      <c r="H48" s="12">
        <v>17</v>
      </c>
      <c r="I48" s="7" t="s">
        <v>2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4">
        <f t="shared" si="0"/>
        <v>17</v>
      </c>
      <c r="Q48" s="1" t="s">
        <v>14</v>
      </c>
      <c r="R48" s="44">
        <v>10</v>
      </c>
      <c r="S48" s="47">
        <v>20</v>
      </c>
    </row>
    <row r="49" spans="1:20" x14ac:dyDescent="0.25">
      <c r="A49" s="7">
        <v>46</v>
      </c>
      <c r="D49" s="9" t="s">
        <v>48</v>
      </c>
      <c r="E49" s="10"/>
      <c r="F49" s="10"/>
      <c r="G49" s="11"/>
      <c r="H49" s="12">
        <v>18</v>
      </c>
      <c r="I49" s="7" t="s">
        <v>2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4">
        <f t="shared" si="0"/>
        <v>18</v>
      </c>
      <c r="Q49" s="1" t="s">
        <v>14</v>
      </c>
      <c r="R49" s="44">
        <v>10</v>
      </c>
      <c r="S49" s="47">
        <v>20</v>
      </c>
      <c r="T49" t="s">
        <v>75</v>
      </c>
    </row>
    <row r="50" spans="1:20" x14ac:dyDescent="0.25">
      <c r="A50" s="7">
        <v>47</v>
      </c>
      <c r="D50" s="16" t="s">
        <v>49</v>
      </c>
      <c r="E50" s="17"/>
      <c r="F50" s="17"/>
      <c r="G50" s="18"/>
      <c r="H50" s="12">
        <v>17</v>
      </c>
      <c r="I50" s="7" t="s">
        <v>2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4">
        <f t="shared" si="0"/>
        <v>17</v>
      </c>
      <c r="Q50" s="1" t="s">
        <v>14</v>
      </c>
      <c r="R50" s="44">
        <v>10</v>
      </c>
      <c r="S50" s="47">
        <v>20</v>
      </c>
    </row>
    <row r="51" spans="1:20" x14ac:dyDescent="0.25">
      <c r="A51" s="7">
        <v>48</v>
      </c>
      <c r="D51" s="9" t="s">
        <v>159</v>
      </c>
      <c r="E51" s="10"/>
      <c r="F51" s="10"/>
      <c r="G51" s="11"/>
      <c r="H51" s="12">
        <v>50</v>
      </c>
      <c r="I51" s="7" t="s">
        <v>1</v>
      </c>
      <c r="J51" s="3">
        <v>0</v>
      </c>
      <c r="K51" s="3">
        <v>20</v>
      </c>
      <c r="L51" s="3">
        <v>0</v>
      </c>
      <c r="M51" s="3">
        <v>0</v>
      </c>
      <c r="N51" s="3">
        <v>0</v>
      </c>
      <c r="O51" s="3">
        <v>0</v>
      </c>
      <c r="P51" s="4">
        <f t="shared" si="0"/>
        <v>30</v>
      </c>
      <c r="Q51" s="1" t="s">
        <v>14</v>
      </c>
      <c r="R51" s="44">
        <v>20</v>
      </c>
      <c r="S51" s="47">
        <v>100</v>
      </c>
    </row>
    <row r="52" spans="1:20" x14ac:dyDescent="0.25">
      <c r="A52" s="7">
        <v>49</v>
      </c>
      <c r="D52" s="16" t="s">
        <v>111</v>
      </c>
      <c r="E52" s="17"/>
      <c r="F52" s="17"/>
      <c r="G52" s="18"/>
      <c r="H52" s="12">
        <v>25</v>
      </c>
      <c r="I52" s="7" t="s">
        <v>2</v>
      </c>
      <c r="J52" s="3">
        <v>100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4">
        <f t="shared" si="0"/>
        <v>125</v>
      </c>
      <c r="Q52" s="1" t="s">
        <v>14</v>
      </c>
      <c r="R52" s="44">
        <v>30</v>
      </c>
      <c r="S52" s="47">
        <v>100</v>
      </c>
    </row>
    <row r="53" spans="1:20" x14ac:dyDescent="0.25">
      <c r="A53" s="7">
        <v>50</v>
      </c>
      <c r="D53" s="9" t="s">
        <v>51</v>
      </c>
      <c r="E53" s="10"/>
      <c r="F53" s="10"/>
      <c r="G53" s="11"/>
      <c r="H53" s="12">
        <v>122</v>
      </c>
      <c r="I53" s="7" t="s">
        <v>2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4">
        <f t="shared" si="0"/>
        <v>122</v>
      </c>
      <c r="Q53" s="1" t="s">
        <v>14</v>
      </c>
      <c r="R53" s="44">
        <v>20</v>
      </c>
      <c r="S53" s="47">
        <v>50</v>
      </c>
    </row>
    <row r="54" spans="1:20" x14ac:dyDescent="0.25">
      <c r="A54" s="7">
        <v>51</v>
      </c>
      <c r="D54" s="16" t="s">
        <v>52</v>
      </c>
      <c r="E54" s="17"/>
      <c r="F54" s="17"/>
      <c r="G54" s="18"/>
      <c r="H54" s="12">
        <v>133</v>
      </c>
      <c r="I54" s="7" t="s">
        <v>2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  <c r="P54" s="4">
        <f t="shared" si="0"/>
        <v>133</v>
      </c>
      <c r="Q54" s="1" t="s">
        <v>14</v>
      </c>
      <c r="R54" s="44">
        <v>20</v>
      </c>
      <c r="S54" s="47">
        <v>50</v>
      </c>
      <c r="T54" t="s">
        <v>75</v>
      </c>
    </row>
    <row r="55" spans="1:20" x14ac:dyDescent="0.25">
      <c r="A55" s="7">
        <v>52</v>
      </c>
      <c r="D55" s="9" t="s">
        <v>53</v>
      </c>
      <c r="E55" s="10"/>
      <c r="F55" s="10"/>
      <c r="G55" s="11"/>
      <c r="H55" s="12">
        <v>124</v>
      </c>
      <c r="I55" s="7" t="s">
        <v>2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  <c r="P55" s="4">
        <f t="shared" si="0"/>
        <v>124</v>
      </c>
      <c r="Q55" s="1" t="s">
        <v>14</v>
      </c>
      <c r="R55" s="44">
        <v>20</v>
      </c>
      <c r="S55" s="47">
        <v>50</v>
      </c>
    </row>
    <row r="56" spans="1:20" x14ac:dyDescent="0.25">
      <c r="A56" s="7">
        <v>53</v>
      </c>
      <c r="D56" s="70" t="s">
        <v>54</v>
      </c>
      <c r="E56" s="71"/>
      <c r="F56" s="71"/>
      <c r="G56" s="72"/>
      <c r="H56" s="12">
        <v>660</v>
      </c>
      <c r="I56" s="7" t="s">
        <v>1</v>
      </c>
      <c r="J56" s="3">
        <v>720</v>
      </c>
      <c r="K56" s="3">
        <v>60</v>
      </c>
      <c r="L56" s="3">
        <v>285</v>
      </c>
      <c r="M56" s="3">
        <v>0</v>
      </c>
      <c r="N56" s="3">
        <v>0</v>
      </c>
      <c r="O56" s="3">
        <v>0</v>
      </c>
      <c r="P56" s="4">
        <f t="shared" si="0"/>
        <v>1035</v>
      </c>
      <c r="Q56" s="1" t="s">
        <v>120</v>
      </c>
      <c r="R56" s="44">
        <v>250</v>
      </c>
      <c r="S56" s="47">
        <v>750</v>
      </c>
    </row>
    <row r="57" spans="1:20" x14ac:dyDescent="0.25">
      <c r="A57" s="7">
        <v>54</v>
      </c>
      <c r="D57" s="16" t="s">
        <v>61</v>
      </c>
      <c r="E57" s="17"/>
      <c r="F57" s="17"/>
      <c r="G57" s="18"/>
      <c r="H57" s="12">
        <v>246</v>
      </c>
      <c r="I57" s="7" t="s">
        <v>2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  <c r="P57" s="4">
        <f t="shared" si="0"/>
        <v>246</v>
      </c>
      <c r="Q57" s="1" t="s">
        <v>14</v>
      </c>
      <c r="R57" s="44">
        <v>0</v>
      </c>
      <c r="S57" s="46"/>
    </row>
    <row r="58" spans="1:20" x14ac:dyDescent="0.25">
      <c r="A58" s="7">
        <v>55</v>
      </c>
      <c r="D58" s="9" t="s">
        <v>62</v>
      </c>
      <c r="E58" s="10"/>
      <c r="F58" s="10"/>
      <c r="G58" s="11"/>
      <c r="H58" s="12">
        <v>300</v>
      </c>
      <c r="I58" s="7" t="s">
        <v>2</v>
      </c>
      <c r="J58" s="3">
        <v>2000</v>
      </c>
      <c r="K58" s="3">
        <v>342</v>
      </c>
      <c r="L58" s="3">
        <v>152</v>
      </c>
      <c r="M58" s="3">
        <v>0</v>
      </c>
      <c r="N58" s="3">
        <v>0</v>
      </c>
      <c r="O58" s="3">
        <v>0</v>
      </c>
      <c r="P58" s="4">
        <f t="shared" si="0"/>
        <v>1806</v>
      </c>
      <c r="Q58" s="1" t="s">
        <v>14</v>
      </c>
      <c r="R58" s="44">
        <v>200</v>
      </c>
      <c r="S58" s="47">
        <v>1000</v>
      </c>
    </row>
    <row r="59" spans="1:20" x14ac:dyDescent="0.25">
      <c r="A59" s="7">
        <v>56</v>
      </c>
      <c r="D59" s="16" t="s">
        <v>13</v>
      </c>
      <c r="E59" s="17"/>
      <c r="F59" s="17"/>
      <c r="G59" s="18"/>
      <c r="H59" s="12">
        <v>110</v>
      </c>
      <c r="I59" s="7" t="s">
        <v>2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  <c r="P59" s="4">
        <f t="shared" si="0"/>
        <v>110</v>
      </c>
      <c r="Q59" s="1" t="s">
        <v>14</v>
      </c>
      <c r="R59" s="44">
        <v>100</v>
      </c>
      <c r="S59" s="47">
        <v>300</v>
      </c>
    </row>
    <row r="60" spans="1:20" x14ac:dyDescent="0.25">
      <c r="A60" s="7">
        <v>57</v>
      </c>
      <c r="D60" s="9" t="s">
        <v>72</v>
      </c>
      <c r="E60" s="10"/>
      <c r="F60" s="10"/>
      <c r="G60" s="11"/>
      <c r="H60" s="12">
        <v>350</v>
      </c>
      <c r="I60" s="7" t="s">
        <v>2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4">
        <f t="shared" si="0"/>
        <v>350</v>
      </c>
      <c r="Q60" s="1" t="s">
        <v>14</v>
      </c>
      <c r="R60" s="44">
        <v>100</v>
      </c>
      <c r="S60" s="47">
        <v>300</v>
      </c>
    </row>
    <row r="61" spans="1:20" x14ac:dyDescent="0.25">
      <c r="A61" s="7">
        <v>58</v>
      </c>
      <c r="D61" s="16" t="s">
        <v>63</v>
      </c>
      <c r="E61" s="17"/>
      <c r="F61" s="17"/>
      <c r="G61" s="18"/>
      <c r="H61" s="12">
        <v>0</v>
      </c>
      <c r="I61" s="7" t="s">
        <v>2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4">
        <f t="shared" si="0"/>
        <v>0</v>
      </c>
      <c r="Q61" s="1" t="s">
        <v>14</v>
      </c>
      <c r="R61" s="44">
        <v>100</v>
      </c>
      <c r="S61" s="47">
        <v>300</v>
      </c>
    </row>
    <row r="62" spans="1:20" x14ac:dyDescent="0.25">
      <c r="A62" s="7">
        <v>59</v>
      </c>
      <c r="D62" s="9" t="s">
        <v>77</v>
      </c>
      <c r="E62" s="10"/>
      <c r="F62" s="10"/>
      <c r="G62" s="11"/>
      <c r="H62" s="12">
        <v>1100</v>
      </c>
      <c r="I62" s="7" t="s">
        <v>2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4">
        <f t="shared" si="0"/>
        <v>1100</v>
      </c>
      <c r="Q62" s="1" t="s">
        <v>14</v>
      </c>
      <c r="R62" s="44">
        <v>100</v>
      </c>
      <c r="S62" s="47">
        <v>300</v>
      </c>
    </row>
    <row r="63" spans="1:20" x14ac:dyDescent="0.25">
      <c r="A63" s="7">
        <v>60</v>
      </c>
      <c r="D63" s="16" t="s">
        <v>130</v>
      </c>
      <c r="E63" s="17"/>
      <c r="F63" s="17"/>
      <c r="G63" s="18"/>
      <c r="H63" s="12">
        <v>4</v>
      </c>
      <c r="I63" s="7" t="s">
        <v>2</v>
      </c>
      <c r="J63" s="3">
        <v>0</v>
      </c>
      <c r="K63" s="3">
        <v>0</v>
      </c>
      <c r="L63" s="3">
        <v>4</v>
      </c>
      <c r="M63" s="3">
        <v>0</v>
      </c>
      <c r="N63" s="3">
        <v>0</v>
      </c>
      <c r="O63" s="3">
        <v>0</v>
      </c>
      <c r="P63" s="4">
        <f t="shared" si="0"/>
        <v>0</v>
      </c>
      <c r="Q63" s="1" t="s">
        <v>14</v>
      </c>
      <c r="R63" s="44">
        <v>0</v>
      </c>
      <c r="S63" s="46"/>
    </row>
    <row r="64" spans="1:20" x14ac:dyDescent="0.25">
      <c r="A64" s="7">
        <v>61</v>
      </c>
      <c r="D64" s="26" t="s">
        <v>146</v>
      </c>
      <c r="E64" s="27"/>
      <c r="F64" s="27"/>
      <c r="G64" s="28"/>
      <c r="H64" s="12">
        <v>50</v>
      </c>
      <c r="I64" s="30" t="s">
        <v>2</v>
      </c>
      <c r="J64" s="3">
        <v>0</v>
      </c>
      <c r="K64" s="3">
        <v>16</v>
      </c>
      <c r="L64" s="3">
        <v>29</v>
      </c>
      <c r="M64" s="3">
        <v>0</v>
      </c>
      <c r="N64" s="3">
        <v>0</v>
      </c>
      <c r="O64" s="3">
        <v>0</v>
      </c>
      <c r="P64" s="4">
        <f t="shared" si="0"/>
        <v>5</v>
      </c>
      <c r="Q64" s="1" t="s">
        <v>14</v>
      </c>
      <c r="R64" s="44">
        <v>50</v>
      </c>
      <c r="S64" s="47">
        <v>100</v>
      </c>
    </row>
    <row r="65" spans="1:20" x14ac:dyDescent="0.25">
      <c r="A65" s="7">
        <v>62</v>
      </c>
      <c r="D65" s="16" t="s">
        <v>65</v>
      </c>
      <c r="E65" s="17"/>
      <c r="F65" s="17"/>
      <c r="G65" s="18"/>
      <c r="H65" s="12">
        <v>59</v>
      </c>
      <c r="I65" s="7" t="s">
        <v>2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4">
        <f t="shared" si="0"/>
        <v>59</v>
      </c>
      <c r="Q65" s="1" t="s">
        <v>14</v>
      </c>
      <c r="R65" s="44">
        <v>0</v>
      </c>
      <c r="S65" s="46"/>
    </row>
    <row r="66" spans="1:20" x14ac:dyDescent="0.25">
      <c r="A66" s="7">
        <v>63</v>
      </c>
      <c r="D66" s="9" t="s">
        <v>66</v>
      </c>
      <c r="E66" s="10"/>
      <c r="F66" s="10"/>
      <c r="G66" s="11"/>
      <c r="H66" s="12">
        <v>150</v>
      </c>
      <c r="I66" s="7" t="s">
        <v>2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  <c r="P66" s="4">
        <f t="shared" si="0"/>
        <v>150</v>
      </c>
      <c r="Q66" s="1" t="s">
        <v>14</v>
      </c>
      <c r="R66" s="44">
        <v>300</v>
      </c>
      <c r="S66" s="47">
        <v>1000</v>
      </c>
    </row>
    <row r="67" spans="1:20" x14ac:dyDescent="0.25">
      <c r="A67" s="7">
        <v>64</v>
      </c>
      <c r="D67" s="19" t="s">
        <v>86</v>
      </c>
      <c r="E67" s="20"/>
      <c r="F67" s="20"/>
      <c r="G67" s="21"/>
      <c r="H67" s="12">
        <v>1539</v>
      </c>
      <c r="I67" s="7" t="s">
        <v>2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  <c r="P67" s="4">
        <f t="shared" si="0"/>
        <v>1539</v>
      </c>
      <c r="Q67" s="1" t="s">
        <v>14</v>
      </c>
      <c r="R67" s="44">
        <v>50</v>
      </c>
      <c r="S67" s="47">
        <v>150</v>
      </c>
    </row>
    <row r="68" spans="1:20" x14ac:dyDescent="0.25">
      <c r="A68" s="7">
        <v>65</v>
      </c>
      <c r="D68" s="22" t="s">
        <v>74</v>
      </c>
      <c r="E68" s="10"/>
      <c r="F68" s="10"/>
      <c r="G68" s="11"/>
      <c r="H68" s="12">
        <v>0</v>
      </c>
      <c r="I68" s="8" t="s">
        <v>75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4">
        <f t="shared" ref="P68:P89" si="1">+H68+J68-K68-L68-M68-N68-O68</f>
        <v>0</v>
      </c>
      <c r="Q68" s="1" t="s">
        <v>91</v>
      </c>
      <c r="R68" s="44">
        <v>65</v>
      </c>
      <c r="S68" s="47">
        <v>150</v>
      </c>
    </row>
    <row r="69" spans="1:20" x14ac:dyDescent="0.25">
      <c r="A69" s="7">
        <v>66</v>
      </c>
      <c r="C69" s="1" t="s">
        <v>14</v>
      </c>
      <c r="D69" s="22" t="s">
        <v>76</v>
      </c>
      <c r="E69" s="10"/>
      <c r="F69" s="10"/>
      <c r="G69" s="11"/>
      <c r="H69" s="12">
        <v>240</v>
      </c>
      <c r="I69" s="8" t="s">
        <v>2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4">
        <f t="shared" si="1"/>
        <v>240</v>
      </c>
      <c r="Q69" s="1" t="s">
        <v>14</v>
      </c>
      <c r="R69" s="44">
        <v>50</v>
      </c>
      <c r="S69" s="47">
        <v>100</v>
      </c>
    </row>
    <row r="70" spans="1:20" x14ac:dyDescent="0.25">
      <c r="A70" s="7">
        <v>67</v>
      </c>
      <c r="D70" s="25" t="s">
        <v>147</v>
      </c>
      <c r="H70" s="12">
        <v>16</v>
      </c>
      <c r="I70" s="30" t="s">
        <v>2</v>
      </c>
      <c r="J70" s="3">
        <v>100</v>
      </c>
      <c r="K70" s="3">
        <v>16</v>
      </c>
      <c r="L70" s="3">
        <v>0</v>
      </c>
      <c r="M70" s="3">
        <v>0</v>
      </c>
      <c r="N70" s="3">
        <v>0</v>
      </c>
      <c r="O70" s="3">
        <v>0</v>
      </c>
      <c r="P70" s="4">
        <f t="shared" si="1"/>
        <v>100</v>
      </c>
      <c r="Q70" s="1" t="s">
        <v>14</v>
      </c>
      <c r="R70" s="44">
        <v>50</v>
      </c>
      <c r="S70" s="47">
        <v>100</v>
      </c>
    </row>
    <row r="71" spans="1:20" x14ac:dyDescent="0.25">
      <c r="A71" s="7">
        <v>68</v>
      </c>
      <c r="D71" s="26" t="s">
        <v>80</v>
      </c>
      <c r="E71" s="27"/>
      <c r="F71" s="27"/>
      <c r="G71" s="28"/>
      <c r="H71" s="12">
        <v>12</v>
      </c>
      <c r="I71" s="8" t="s">
        <v>2</v>
      </c>
      <c r="J71" s="3">
        <v>50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4">
        <f t="shared" si="1"/>
        <v>62</v>
      </c>
      <c r="Q71" s="1" t="s">
        <v>14</v>
      </c>
      <c r="R71" s="44">
        <v>0</v>
      </c>
      <c r="S71" s="46"/>
    </row>
    <row r="72" spans="1:20" x14ac:dyDescent="0.25">
      <c r="A72" s="7">
        <v>69</v>
      </c>
      <c r="D72" s="26" t="s">
        <v>84</v>
      </c>
      <c r="E72" s="27"/>
      <c r="F72" s="27"/>
      <c r="G72" s="28"/>
      <c r="H72" s="12">
        <f>'ARALIK 3 HAFTA '!P77</f>
        <v>50</v>
      </c>
      <c r="I72" s="8" t="s">
        <v>2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  <c r="P72" s="4">
        <f t="shared" si="1"/>
        <v>50</v>
      </c>
      <c r="Q72" s="1" t="s">
        <v>14</v>
      </c>
      <c r="R72" s="44">
        <v>100</v>
      </c>
      <c r="S72" s="47">
        <v>200</v>
      </c>
    </row>
    <row r="73" spans="1:20" x14ac:dyDescent="0.25">
      <c r="A73" s="7">
        <v>70</v>
      </c>
      <c r="D73" s="26" t="s">
        <v>85</v>
      </c>
      <c r="E73" s="27"/>
      <c r="F73" s="27"/>
      <c r="G73" s="28"/>
      <c r="H73" s="12">
        <f>'ARALIK 3 HAFTA '!P78</f>
        <v>0</v>
      </c>
      <c r="I73" s="8" t="s">
        <v>2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4">
        <f t="shared" si="1"/>
        <v>0</v>
      </c>
      <c r="R73" s="44">
        <v>0</v>
      </c>
      <c r="S73" s="46"/>
    </row>
    <row r="74" spans="1:20" x14ac:dyDescent="0.25">
      <c r="A74" s="7">
        <v>71</v>
      </c>
      <c r="D74" s="37" t="s">
        <v>99</v>
      </c>
      <c r="E74" s="17"/>
      <c r="F74" s="33"/>
      <c r="G74" s="33"/>
      <c r="H74" s="12">
        <v>293.7</v>
      </c>
      <c r="I74" s="8" t="s">
        <v>2</v>
      </c>
      <c r="J74" s="3">
        <v>0</v>
      </c>
      <c r="K74" s="3">
        <v>0</v>
      </c>
      <c r="L74" s="3">
        <v>50</v>
      </c>
      <c r="M74" s="3">
        <v>0</v>
      </c>
      <c r="N74" s="3">
        <v>0</v>
      </c>
      <c r="O74" s="3">
        <v>0</v>
      </c>
      <c r="P74" s="4">
        <f t="shared" si="1"/>
        <v>243.7</v>
      </c>
      <c r="Q74" s="1" t="s">
        <v>14</v>
      </c>
      <c r="R74" s="44">
        <v>100</v>
      </c>
      <c r="S74" s="47">
        <v>500</v>
      </c>
    </row>
    <row r="75" spans="1:20" x14ac:dyDescent="0.25">
      <c r="A75" s="7">
        <v>72</v>
      </c>
      <c r="D75" s="22" t="s">
        <v>100</v>
      </c>
      <c r="E75" s="10"/>
      <c r="F75" s="10"/>
      <c r="G75" s="28"/>
      <c r="H75" s="12">
        <v>0</v>
      </c>
      <c r="I75" s="8" t="s">
        <v>2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4">
        <f t="shared" si="1"/>
        <v>0</v>
      </c>
      <c r="R75" s="44">
        <v>0</v>
      </c>
      <c r="S75" s="46"/>
    </row>
    <row r="76" spans="1:20" x14ac:dyDescent="0.25">
      <c r="A76" s="7">
        <v>73</v>
      </c>
      <c r="D76" s="37" t="s">
        <v>113</v>
      </c>
      <c r="E76" s="17"/>
      <c r="F76" s="17"/>
      <c r="G76" s="33"/>
      <c r="H76" s="12">
        <v>111.6</v>
      </c>
      <c r="I76" s="8" t="s">
        <v>97</v>
      </c>
      <c r="J76" s="3">
        <v>276</v>
      </c>
      <c r="K76" s="3">
        <v>0</v>
      </c>
      <c r="L76" s="3">
        <v>111.6</v>
      </c>
      <c r="M76" s="3">
        <v>0</v>
      </c>
      <c r="N76" s="3">
        <v>0</v>
      </c>
      <c r="O76" s="3">
        <v>0</v>
      </c>
      <c r="P76" s="4">
        <f t="shared" si="1"/>
        <v>276</v>
      </c>
      <c r="Q76" s="65" t="s">
        <v>121</v>
      </c>
      <c r="R76" s="44">
        <v>30</v>
      </c>
      <c r="S76" s="47">
        <v>100</v>
      </c>
    </row>
    <row r="77" spans="1:20" x14ac:dyDescent="0.25">
      <c r="A77" s="7">
        <v>74</v>
      </c>
      <c r="D77" s="22" t="s">
        <v>103</v>
      </c>
      <c r="E77" s="10"/>
      <c r="F77" s="10"/>
      <c r="G77" s="28"/>
      <c r="H77" s="12">
        <v>248</v>
      </c>
      <c r="I77" s="8" t="s">
        <v>2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4">
        <f t="shared" si="1"/>
        <v>248</v>
      </c>
      <c r="R77" s="44">
        <v>60</v>
      </c>
      <c r="S77" s="47">
        <v>100</v>
      </c>
    </row>
    <row r="78" spans="1:20" x14ac:dyDescent="0.25">
      <c r="A78" s="8">
        <v>75</v>
      </c>
      <c r="D78" s="49" t="s">
        <v>108</v>
      </c>
      <c r="E78" s="20"/>
      <c r="F78" s="20"/>
      <c r="G78" s="20"/>
      <c r="H78" s="12">
        <v>3500</v>
      </c>
      <c r="I78" s="8" t="s">
        <v>110</v>
      </c>
      <c r="J78" s="3">
        <v>0</v>
      </c>
      <c r="K78" s="3">
        <v>0</v>
      </c>
      <c r="L78" s="3">
        <v>1000</v>
      </c>
      <c r="M78" s="3">
        <v>0</v>
      </c>
      <c r="N78" s="3">
        <v>0</v>
      </c>
      <c r="O78" s="3">
        <v>0</v>
      </c>
      <c r="P78" s="4">
        <f t="shared" si="1"/>
        <v>2500</v>
      </c>
      <c r="R78" s="43">
        <v>1000</v>
      </c>
      <c r="S78" s="46">
        <v>10000</v>
      </c>
    </row>
    <row r="79" spans="1:20" x14ac:dyDescent="0.25">
      <c r="A79" s="48">
        <v>76</v>
      </c>
      <c r="B79" s="41"/>
      <c r="C79" s="41"/>
      <c r="D79" s="22" t="s">
        <v>115</v>
      </c>
      <c r="E79" s="10"/>
      <c r="F79" s="10"/>
      <c r="G79" s="11"/>
      <c r="H79" s="12">
        <v>45</v>
      </c>
      <c r="I79" s="62" t="s">
        <v>2</v>
      </c>
      <c r="J79" s="3">
        <v>100</v>
      </c>
      <c r="K79" s="3">
        <v>16</v>
      </c>
      <c r="L79" s="3">
        <v>29</v>
      </c>
      <c r="M79" s="3">
        <v>0</v>
      </c>
      <c r="N79" s="3">
        <v>0</v>
      </c>
      <c r="O79" s="3">
        <v>0</v>
      </c>
      <c r="P79" s="64">
        <f t="shared" si="1"/>
        <v>100</v>
      </c>
      <c r="R79" s="64">
        <v>50</v>
      </c>
      <c r="S79" s="64">
        <v>100</v>
      </c>
      <c r="T79" t="s">
        <v>75</v>
      </c>
    </row>
    <row r="80" spans="1:20" x14ac:dyDescent="0.25">
      <c r="A80" s="73">
        <v>77</v>
      </c>
      <c r="B80" s="41"/>
      <c r="C80" s="41"/>
      <c r="D80" s="49" t="s">
        <v>134</v>
      </c>
      <c r="E80" s="35"/>
      <c r="F80" s="35"/>
      <c r="G80" s="60"/>
      <c r="H80" s="12">
        <v>77</v>
      </c>
      <c r="I80" s="8" t="s">
        <v>2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  <c r="P80" s="4">
        <f t="shared" si="1"/>
        <v>77</v>
      </c>
      <c r="Q80" s="4"/>
      <c r="R80" s="4">
        <v>20</v>
      </c>
      <c r="S80" s="4">
        <v>50</v>
      </c>
    </row>
    <row r="81" spans="1:19" x14ac:dyDescent="0.25">
      <c r="A81" s="8">
        <v>78</v>
      </c>
      <c r="D81" s="22" t="s">
        <v>123</v>
      </c>
      <c r="E81" s="10"/>
      <c r="F81" s="10"/>
      <c r="G81" s="11"/>
      <c r="H81" s="12">
        <v>2500</v>
      </c>
      <c r="I81" s="8" t="s">
        <v>2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  <c r="P81" s="4">
        <f t="shared" si="1"/>
        <v>2500</v>
      </c>
      <c r="Q81" s="4"/>
      <c r="R81" s="4">
        <v>100</v>
      </c>
      <c r="S81" s="4">
        <v>500</v>
      </c>
    </row>
    <row r="82" spans="1:19" x14ac:dyDescent="0.25">
      <c r="A82" s="48">
        <v>79</v>
      </c>
      <c r="B82" s="41"/>
      <c r="C82" s="41"/>
      <c r="D82" s="22" t="s">
        <v>154</v>
      </c>
      <c r="E82" s="10"/>
      <c r="F82" s="10"/>
      <c r="G82" s="11"/>
      <c r="H82" s="4">
        <v>15</v>
      </c>
      <c r="I82" s="8" t="s">
        <v>2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  <c r="P82" s="4">
        <f t="shared" si="1"/>
        <v>15</v>
      </c>
      <c r="Q82" s="4"/>
      <c r="R82" s="4"/>
      <c r="S82" s="4"/>
    </row>
    <row r="83" spans="1:19" x14ac:dyDescent="0.25">
      <c r="A83" s="48">
        <v>80</v>
      </c>
      <c r="B83" s="41"/>
      <c r="C83" s="41"/>
      <c r="D83" s="37" t="s">
        <v>155</v>
      </c>
      <c r="E83" s="17"/>
      <c r="F83" s="17"/>
      <c r="G83" s="18"/>
      <c r="H83" s="64">
        <v>15</v>
      </c>
      <c r="I83" s="62" t="s">
        <v>2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64">
        <f t="shared" si="1"/>
        <v>15</v>
      </c>
      <c r="Q83" s="64"/>
      <c r="R83" s="64"/>
      <c r="S83" s="64"/>
    </row>
    <row r="84" spans="1:19" x14ac:dyDescent="0.25">
      <c r="A84" s="48">
        <v>81</v>
      </c>
      <c r="B84" s="11"/>
      <c r="C84" s="23"/>
      <c r="D84" s="23" t="s">
        <v>149</v>
      </c>
      <c r="E84" s="23"/>
      <c r="F84" s="23"/>
      <c r="G84" s="23"/>
      <c r="H84" s="23">
        <v>20</v>
      </c>
      <c r="I84" s="8" t="s">
        <v>2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4">
        <f t="shared" si="1"/>
        <v>20</v>
      </c>
      <c r="Q84" s="4"/>
      <c r="R84" s="4"/>
      <c r="S84" s="4"/>
    </row>
    <row r="85" spans="1:19" x14ac:dyDescent="0.25">
      <c r="A85" s="8">
        <v>82</v>
      </c>
      <c r="D85" s="68" t="s">
        <v>148</v>
      </c>
      <c r="E85" s="27"/>
      <c r="F85" s="27"/>
      <c r="G85" s="28"/>
      <c r="H85" s="4">
        <v>77</v>
      </c>
      <c r="I85" s="8" t="s">
        <v>2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4">
        <f t="shared" si="1"/>
        <v>77</v>
      </c>
      <c r="Q85" s="4"/>
      <c r="R85" s="4"/>
      <c r="S85" s="4"/>
    </row>
    <row r="86" spans="1:19" ht="15.75" customHeight="1" x14ac:dyDescent="0.25">
      <c r="A86" s="8">
        <v>83</v>
      </c>
      <c r="D86" s="22" t="s">
        <v>150</v>
      </c>
      <c r="E86" s="10"/>
      <c r="F86" s="27"/>
      <c r="G86" s="28"/>
      <c r="H86" s="4">
        <v>70</v>
      </c>
      <c r="I86" s="8" t="s">
        <v>2</v>
      </c>
      <c r="J86" s="3">
        <v>160</v>
      </c>
      <c r="K86" s="3">
        <v>0</v>
      </c>
      <c r="L86" s="3">
        <v>40</v>
      </c>
      <c r="M86" s="3">
        <v>0</v>
      </c>
      <c r="N86" s="3">
        <v>0</v>
      </c>
      <c r="O86" s="3">
        <v>0</v>
      </c>
      <c r="P86" s="4">
        <f t="shared" si="1"/>
        <v>190</v>
      </c>
      <c r="Q86" s="4"/>
      <c r="R86" s="4">
        <v>50</v>
      </c>
      <c r="S86" s="4">
        <v>300</v>
      </c>
    </row>
    <row r="87" spans="1:19" x14ac:dyDescent="0.25">
      <c r="A87" s="8">
        <v>84</v>
      </c>
      <c r="D87" s="22" t="s">
        <v>160</v>
      </c>
      <c r="E87" s="10"/>
      <c r="F87" s="10"/>
      <c r="G87" s="11"/>
      <c r="H87" s="23">
        <v>966</v>
      </c>
      <c r="I87" s="8" t="s">
        <v>2</v>
      </c>
      <c r="J87" s="3">
        <v>0</v>
      </c>
      <c r="K87" s="3">
        <v>4</v>
      </c>
      <c r="L87" s="3">
        <v>0</v>
      </c>
      <c r="M87" s="3">
        <v>0</v>
      </c>
      <c r="N87" s="3">
        <v>0</v>
      </c>
      <c r="O87" s="3">
        <v>0</v>
      </c>
      <c r="P87" s="4">
        <f t="shared" si="1"/>
        <v>962</v>
      </c>
      <c r="Q87" s="4"/>
      <c r="R87" s="4"/>
      <c r="S87" s="4"/>
    </row>
    <row r="88" spans="1:19" x14ac:dyDescent="0.25">
      <c r="A88" s="8">
        <v>85</v>
      </c>
      <c r="D88" s="49" t="s">
        <v>153</v>
      </c>
      <c r="E88" s="20"/>
      <c r="F88" s="20"/>
      <c r="G88" s="21"/>
      <c r="H88" s="23">
        <v>88</v>
      </c>
      <c r="I88" s="8" t="s">
        <v>2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4">
        <f t="shared" si="1"/>
        <v>88</v>
      </c>
      <c r="Q88" s="4"/>
      <c r="R88" s="4"/>
      <c r="S88" s="4"/>
    </row>
    <row r="89" spans="1:19" x14ac:dyDescent="0.25">
      <c r="A89" s="77">
        <v>86</v>
      </c>
      <c r="D89" s="68" t="s">
        <v>157</v>
      </c>
      <c r="E89" s="27"/>
      <c r="F89" s="27"/>
      <c r="G89" s="28"/>
      <c r="H89" s="74">
        <v>0</v>
      </c>
      <c r="I89" s="75" t="s">
        <v>2</v>
      </c>
      <c r="J89" s="3">
        <v>0</v>
      </c>
      <c r="K89" s="3">
        <v>0</v>
      </c>
      <c r="L89" s="3">
        <v>0</v>
      </c>
      <c r="M89" s="3">
        <v>0</v>
      </c>
      <c r="N89" s="3">
        <v>0</v>
      </c>
      <c r="O89" s="3">
        <v>0</v>
      </c>
      <c r="P89" s="4">
        <f t="shared" si="1"/>
        <v>0</v>
      </c>
      <c r="Q89" s="4"/>
      <c r="R89" s="4"/>
      <c r="S89" s="4"/>
    </row>
  </sheetData>
  <pageMargins left="0.75" right="0.75" top="1" bottom="1" header="0.5" footer="0.5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T89"/>
  <sheetViews>
    <sheetView topLeftCell="A55" workbookViewId="0">
      <selection activeCell="A78" sqref="A78"/>
    </sheetView>
  </sheetViews>
  <sheetFormatPr defaultRowHeight="15" x14ac:dyDescent="0.25"/>
  <cols>
    <col min="1" max="1" width="5.5703125" customWidth="1"/>
    <col min="2" max="3" width="9.140625" hidden="1" customWidth="1"/>
    <col min="8" max="8" width="10.140625" customWidth="1"/>
    <col min="9" max="9" width="10" customWidth="1"/>
    <col min="10" max="10" width="7.7109375" customWidth="1"/>
    <col min="11" max="11" width="10.7109375" customWidth="1"/>
    <col min="12" max="12" width="10.140625" customWidth="1"/>
    <col min="13" max="13" width="11.85546875" customWidth="1"/>
    <col min="14" max="15" width="11.7109375" customWidth="1"/>
    <col min="16" max="16" width="10.140625" customWidth="1"/>
    <col min="17" max="17" width="4.7109375" customWidth="1"/>
    <col min="18" max="18" width="12.140625" customWidth="1"/>
    <col min="19" max="19" width="10.85546875" customWidth="1"/>
    <col min="20" max="20" width="13.85546875" customWidth="1"/>
  </cols>
  <sheetData>
    <row r="1" spans="1:20" x14ac:dyDescent="0.25">
      <c r="G1" s="1"/>
      <c r="P1">
        <f>+H1+J1-K1-L1-M1-N1-O1</f>
        <v>0</v>
      </c>
    </row>
    <row r="2" spans="1:20" x14ac:dyDescent="0.25">
      <c r="A2" t="s">
        <v>14</v>
      </c>
      <c r="D2" s="78">
        <v>45139</v>
      </c>
      <c r="O2" s="38" t="s">
        <v>14</v>
      </c>
      <c r="S2" s="50">
        <v>44837</v>
      </c>
    </row>
    <row r="3" spans="1:20" x14ac:dyDescent="0.25">
      <c r="A3" s="3" t="s">
        <v>15</v>
      </c>
      <c r="D3" s="9" t="s">
        <v>17</v>
      </c>
      <c r="E3" s="10"/>
      <c r="F3" s="10"/>
      <c r="G3" s="11"/>
      <c r="H3" s="12" t="s">
        <v>18</v>
      </c>
      <c r="I3" s="4" t="s">
        <v>19</v>
      </c>
      <c r="J3" s="3" t="s">
        <v>20</v>
      </c>
      <c r="K3" s="5">
        <v>45145</v>
      </c>
      <c r="L3" s="6">
        <v>45152</v>
      </c>
      <c r="M3" s="5">
        <v>45159</v>
      </c>
      <c r="N3" s="5">
        <v>45166</v>
      </c>
      <c r="O3" s="6">
        <v>45169</v>
      </c>
      <c r="P3" s="3" t="s">
        <v>21</v>
      </c>
      <c r="R3" s="42" t="s">
        <v>105</v>
      </c>
      <c r="S3" s="45" t="s">
        <v>104</v>
      </c>
      <c r="T3" s="4"/>
    </row>
    <row r="4" spans="1:20" x14ac:dyDescent="0.25">
      <c r="A4" s="7">
        <v>1</v>
      </c>
      <c r="D4" s="13" t="s">
        <v>16</v>
      </c>
      <c r="E4" s="14"/>
      <c r="F4" s="14"/>
      <c r="G4" s="15"/>
      <c r="H4" s="12">
        <v>594</v>
      </c>
      <c r="I4" s="7" t="s">
        <v>1</v>
      </c>
      <c r="J4" s="3">
        <v>0</v>
      </c>
      <c r="K4" s="3">
        <v>0</v>
      </c>
      <c r="L4" s="3">
        <v>17</v>
      </c>
      <c r="M4" s="3">
        <v>68</v>
      </c>
      <c r="N4" s="3">
        <v>0</v>
      </c>
      <c r="O4" s="3">
        <v>0</v>
      </c>
      <c r="P4" s="4">
        <f t="shared" ref="P4:P67" si="0">+H4+J4-K4-L4-M4-N4-O4</f>
        <v>509</v>
      </c>
      <c r="Q4" t="s">
        <v>67</v>
      </c>
      <c r="R4" s="43">
        <v>100</v>
      </c>
      <c r="S4" s="46">
        <v>500</v>
      </c>
      <c r="T4" s="4" t="s">
        <v>14</v>
      </c>
    </row>
    <row r="5" spans="1:20" x14ac:dyDescent="0.25">
      <c r="A5" s="7">
        <v>2</v>
      </c>
      <c r="D5" s="9" t="s">
        <v>22</v>
      </c>
      <c r="E5" s="10"/>
      <c r="F5" s="10"/>
      <c r="G5" s="11"/>
      <c r="H5" s="12">
        <v>28</v>
      </c>
      <c r="I5" s="7" t="s">
        <v>2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4">
        <f t="shared" si="0"/>
        <v>28</v>
      </c>
      <c r="Q5" s="1" t="s">
        <v>14</v>
      </c>
      <c r="R5" s="44">
        <v>6</v>
      </c>
      <c r="S5" s="47">
        <v>10</v>
      </c>
      <c r="T5" s="4"/>
    </row>
    <row r="6" spans="1:20" x14ac:dyDescent="0.25">
      <c r="A6" s="7">
        <v>3</v>
      </c>
      <c r="D6" s="16" t="s">
        <v>23</v>
      </c>
      <c r="E6" s="17"/>
      <c r="F6" s="17"/>
      <c r="G6" s="18"/>
      <c r="H6" s="12">
        <v>60</v>
      </c>
      <c r="I6" s="7" t="s">
        <v>2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4">
        <f t="shared" si="0"/>
        <v>60</v>
      </c>
      <c r="Q6" s="1" t="s">
        <v>14</v>
      </c>
      <c r="R6" s="44">
        <v>6</v>
      </c>
      <c r="S6" s="47">
        <v>10</v>
      </c>
      <c r="T6" s="4"/>
    </row>
    <row r="7" spans="1:20" x14ac:dyDescent="0.25">
      <c r="A7" s="7">
        <v>4</v>
      </c>
      <c r="D7" s="9" t="s">
        <v>3</v>
      </c>
      <c r="E7" s="10"/>
      <c r="F7" s="10"/>
      <c r="G7" s="11"/>
      <c r="H7" s="12">
        <v>30</v>
      </c>
      <c r="I7" s="7" t="s">
        <v>2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4">
        <f t="shared" si="0"/>
        <v>30</v>
      </c>
      <c r="Q7" s="1" t="s">
        <v>14</v>
      </c>
      <c r="R7" s="44">
        <v>6</v>
      </c>
      <c r="S7" s="47">
        <v>10</v>
      </c>
      <c r="T7" s="4"/>
    </row>
    <row r="8" spans="1:20" x14ac:dyDescent="0.25">
      <c r="A8" s="7">
        <v>5</v>
      </c>
      <c r="D8" s="16" t="s">
        <v>139</v>
      </c>
      <c r="E8" s="17"/>
      <c r="F8" s="17"/>
      <c r="G8" s="18"/>
      <c r="H8" s="12">
        <v>505</v>
      </c>
      <c r="I8" s="7" t="s">
        <v>2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4">
        <f t="shared" si="0"/>
        <v>505</v>
      </c>
      <c r="Q8" s="1" t="s">
        <v>14</v>
      </c>
      <c r="R8" s="44">
        <v>100</v>
      </c>
      <c r="S8" s="47">
        <v>400</v>
      </c>
      <c r="T8" s="4"/>
    </row>
    <row r="9" spans="1:20" x14ac:dyDescent="0.25">
      <c r="A9" s="7">
        <v>6</v>
      </c>
      <c r="D9" s="9" t="s">
        <v>24</v>
      </c>
      <c r="E9" s="10"/>
      <c r="F9" s="10"/>
      <c r="G9" s="11"/>
      <c r="H9" s="12">
        <v>338</v>
      </c>
      <c r="I9" s="7" t="s">
        <v>2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4">
        <f t="shared" si="0"/>
        <v>338</v>
      </c>
      <c r="Q9" s="1" t="s">
        <v>14</v>
      </c>
      <c r="R9" s="44">
        <v>60</v>
      </c>
      <c r="S9" s="47">
        <v>200</v>
      </c>
      <c r="T9" s="4"/>
    </row>
    <row r="10" spans="1:20" x14ac:dyDescent="0.25">
      <c r="A10" s="7">
        <v>7</v>
      </c>
      <c r="D10" s="16" t="s">
        <v>101</v>
      </c>
      <c r="E10" s="17"/>
      <c r="F10" s="17"/>
      <c r="G10" s="18"/>
      <c r="H10" s="12">
        <v>2918</v>
      </c>
      <c r="I10" s="7" t="s">
        <v>2</v>
      </c>
      <c r="J10" s="3">
        <v>0</v>
      </c>
      <c r="K10" s="3">
        <v>20</v>
      </c>
      <c r="L10" s="3">
        <v>100</v>
      </c>
      <c r="M10" s="3">
        <v>0</v>
      </c>
      <c r="N10" s="3">
        <v>40</v>
      </c>
      <c r="O10" s="3">
        <v>20</v>
      </c>
      <c r="P10" s="4">
        <f t="shared" si="0"/>
        <v>2738</v>
      </c>
      <c r="Q10" s="1" t="s">
        <v>14</v>
      </c>
      <c r="R10" s="44">
        <v>200</v>
      </c>
      <c r="S10" s="47">
        <v>500</v>
      </c>
      <c r="T10" s="4"/>
    </row>
    <row r="11" spans="1:20" x14ac:dyDescent="0.25">
      <c r="A11" s="7">
        <v>8</v>
      </c>
      <c r="D11" s="9" t="s">
        <v>25</v>
      </c>
      <c r="E11" s="10"/>
      <c r="F11" s="10"/>
      <c r="G11" s="11"/>
      <c r="H11" s="12">
        <v>430</v>
      </c>
      <c r="I11" s="7" t="s">
        <v>2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4">
        <f t="shared" si="0"/>
        <v>430</v>
      </c>
      <c r="Q11" s="1" t="s">
        <v>14</v>
      </c>
      <c r="R11" s="44">
        <v>0</v>
      </c>
      <c r="S11" s="47">
        <v>0</v>
      </c>
      <c r="T11" s="4"/>
    </row>
    <row r="12" spans="1:20" x14ac:dyDescent="0.25">
      <c r="A12" s="7">
        <v>9</v>
      </c>
      <c r="D12" s="16" t="s">
        <v>26</v>
      </c>
      <c r="E12" s="17"/>
      <c r="F12" s="17"/>
      <c r="G12" s="18"/>
      <c r="H12" s="12">
        <v>0</v>
      </c>
      <c r="I12" s="7" t="s">
        <v>2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4">
        <f t="shared" si="0"/>
        <v>0</v>
      </c>
      <c r="Q12" s="1" t="s">
        <v>14</v>
      </c>
      <c r="R12" s="44">
        <v>200</v>
      </c>
      <c r="S12" s="47">
        <v>400</v>
      </c>
      <c r="T12" s="4"/>
    </row>
    <row r="13" spans="1:20" x14ac:dyDescent="0.25">
      <c r="A13" s="7">
        <v>10</v>
      </c>
      <c r="D13" s="9" t="s">
        <v>6</v>
      </c>
      <c r="E13" s="10"/>
      <c r="F13" s="10"/>
      <c r="G13" s="11"/>
      <c r="H13" s="12">
        <v>60</v>
      </c>
      <c r="I13" s="7" t="s">
        <v>2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4">
        <f t="shared" si="0"/>
        <v>60</v>
      </c>
      <c r="Q13" s="1" t="s">
        <v>14</v>
      </c>
      <c r="R13" s="44">
        <v>0</v>
      </c>
      <c r="S13" s="46"/>
      <c r="T13" s="4"/>
    </row>
    <row r="14" spans="1:20" x14ac:dyDescent="0.25">
      <c r="A14" s="7">
        <v>11</v>
      </c>
      <c r="D14" s="16" t="s">
        <v>7</v>
      </c>
      <c r="E14" s="17"/>
      <c r="F14" s="17"/>
      <c r="G14" s="18"/>
      <c r="H14" s="12">
        <v>0</v>
      </c>
      <c r="I14" s="7" t="s">
        <v>2</v>
      </c>
      <c r="J14" s="3">
        <v>20</v>
      </c>
      <c r="K14" s="3">
        <v>0</v>
      </c>
      <c r="L14" s="3">
        <v>0</v>
      </c>
      <c r="M14" s="3">
        <v>10</v>
      </c>
      <c r="N14" s="3">
        <v>0</v>
      </c>
      <c r="O14" s="3">
        <v>4</v>
      </c>
      <c r="P14" s="4">
        <f t="shared" si="0"/>
        <v>6</v>
      </c>
      <c r="Q14" s="1" t="s">
        <v>14</v>
      </c>
      <c r="R14" s="44">
        <v>20</v>
      </c>
      <c r="S14" s="47">
        <v>50</v>
      </c>
      <c r="T14" s="4"/>
    </row>
    <row r="15" spans="1:20" x14ac:dyDescent="0.25">
      <c r="A15" s="7">
        <v>12</v>
      </c>
      <c r="D15" s="9" t="s">
        <v>69</v>
      </c>
      <c r="E15" s="10"/>
      <c r="F15" s="10"/>
      <c r="G15" s="11"/>
      <c r="H15" s="12">
        <v>4</v>
      </c>
      <c r="I15" s="7" t="s">
        <v>2</v>
      </c>
      <c r="J15" s="3">
        <v>20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4">
        <f t="shared" si="0"/>
        <v>24</v>
      </c>
      <c r="Q15" s="1" t="s">
        <v>14</v>
      </c>
      <c r="R15" s="44">
        <v>100</v>
      </c>
      <c r="S15" s="47">
        <v>200</v>
      </c>
      <c r="T15" s="4"/>
    </row>
    <row r="16" spans="1:20" x14ac:dyDescent="0.25">
      <c r="A16" s="7">
        <v>13</v>
      </c>
      <c r="D16" s="16" t="s">
        <v>27</v>
      </c>
      <c r="E16" s="17"/>
      <c r="F16" s="17"/>
      <c r="G16" s="18"/>
      <c r="H16" s="12">
        <v>0</v>
      </c>
      <c r="I16" s="7" t="s">
        <v>2</v>
      </c>
      <c r="J16" s="3">
        <v>320</v>
      </c>
      <c r="K16" s="3">
        <v>0</v>
      </c>
      <c r="L16" s="3">
        <v>0</v>
      </c>
      <c r="M16" s="3">
        <v>320</v>
      </c>
      <c r="N16" s="3">
        <v>0</v>
      </c>
      <c r="O16" s="3">
        <v>0</v>
      </c>
      <c r="P16" s="4">
        <f t="shared" si="0"/>
        <v>0</v>
      </c>
      <c r="Q16" s="1" t="s">
        <v>14</v>
      </c>
      <c r="R16" s="44">
        <v>0</v>
      </c>
      <c r="S16" s="46"/>
      <c r="T16" s="4"/>
    </row>
    <row r="17" spans="1:20" x14ac:dyDescent="0.25">
      <c r="A17" s="7">
        <v>14</v>
      </c>
      <c r="D17" s="9" t="s">
        <v>73</v>
      </c>
      <c r="E17" s="10"/>
      <c r="F17" s="10"/>
      <c r="G17" s="11"/>
      <c r="H17" s="12">
        <v>794</v>
      </c>
      <c r="I17" s="7" t="s">
        <v>2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4">
        <f t="shared" si="0"/>
        <v>794</v>
      </c>
      <c r="Q17" s="1" t="s">
        <v>14</v>
      </c>
      <c r="R17" s="44">
        <v>0</v>
      </c>
      <c r="S17" s="46"/>
      <c r="T17" s="4"/>
    </row>
    <row r="18" spans="1:20" x14ac:dyDescent="0.25">
      <c r="A18" s="7">
        <v>15</v>
      </c>
      <c r="D18" s="16" t="s">
        <v>28</v>
      </c>
      <c r="E18" s="17"/>
      <c r="F18" s="17"/>
      <c r="G18" s="18"/>
      <c r="H18" s="12">
        <v>54</v>
      </c>
      <c r="I18" s="7" t="s">
        <v>2</v>
      </c>
      <c r="J18" s="3">
        <v>0</v>
      </c>
      <c r="K18" s="3">
        <v>2</v>
      </c>
      <c r="L18" s="3">
        <v>8</v>
      </c>
      <c r="M18" s="3">
        <v>2</v>
      </c>
      <c r="N18" s="3">
        <v>0</v>
      </c>
      <c r="O18" s="3">
        <v>0</v>
      </c>
      <c r="P18" s="4">
        <f t="shared" si="0"/>
        <v>42</v>
      </c>
      <c r="Q18" s="1" t="s">
        <v>14</v>
      </c>
      <c r="R18" s="44">
        <v>20</v>
      </c>
      <c r="S18" s="47">
        <v>50</v>
      </c>
      <c r="T18" s="4"/>
    </row>
    <row r="19" spans="1:20" x14ac:dyDescent="0.25">
      <c r="A19" s="7">
        <v>16</v>
      </c>
      <c r="D19" s="9" t="s">
        <v>29</v>
      </c>
      <c r="E19" s="10"/>
      <c r="F19" s="10"/>
      <c r="G19" s="11"/>
      <c r="H19" s="12">
        <v>54</v>
      </c>
      <c r="I19" s="7" t="s">
        <v>2</v>
      </c>
      <c r="J19" s="3">
        <v>0</v>
      </c>
      <c r="K19" s="3">
        <v>2</v>
      </c>
      <c r="L19" s="3">
        <v>8</v>
      </c>
      <c r="M19" s="3">
        <v>2</v>
      </c>
      <c r="N19" s="3">
        <v>0</v>
      </c>
      <c r="O19" s="3">
        <v>0</v>
      </c>
      <c r="P19" s="4">
        <f t="shared" si="0"/>
        <v>42</v>
      </c>
      <c r="Q19" s="1" t="s">
        <v>14</v>
      </c>
      <c r="R19" s="44">
        <v>20</v>
      </c>
      <c r="S19" s="47">
        <v>50</v>
      </c>
      <c r="T19" s="4"/>
    </row>
    <row r="20" spans="1:20" x14ac:dyDescent="0.25">
      <c r="A20" s="7">
        <v>17</v>
      </c>
      <c r="D20" s="16" t="s">
        <v>30</v>
      </c>
      <c r="E20" s="17"/>
      <c r="F20" s="17"/>
      <c r="G20" s="18"/>
      <c r="H20" s="12">
        <v>66</v>
      </c>
      <c r="I20" s="7" t="s">
        <v>2</v>
      </c>
      <c r="J20" s="3">
        <v>0</v>
      </c>
      <c r="K20" s="3">
        <v>2</v>
      </c>
      <c r="L20" s="3">
        <v>8</v>
      </c>
      <c r="M20" s="3">
        <v>2</v>
      </c>
      <c r="N20" s="3">
        <v>0</v>
      </c>
      <c r="O20" s="3">
        <v>0</v>
      </c>
      <c r="P20" s="4">
        <f t="shared" si="0"/>
        <v>54</v>
      </c>
      <c r="Q20" s="1" t="s">
        <v>14</v>
      </c>
      <c r="R20" s="44">
        <v>20</v>
      </c>
      <c r="S20" s="47">
        <v>50</v>
      </c>
      <c r="T20" s="4"/>
    </row>
    <row r="21" spans="1:20" x14ac:dyDescent="0.25">
      <c r="A21" s="7">
        <v>18</v>
      </c>
      <c r="D21" s="9" t="s">
        <v>129</v>
      </c>
      <c r="E21" s="10"/>
      <c r="F21" s="10"/>
      <c r="G21" s="11"/>
      <c r="H21" s="12">
        <v>10</v>
      </c>
      <c r="I21" s="7" t="s">
        <v>2</v>
      </c>
      <c r="J21" s="3">
        <v>0</v>
      </c>
      <c r="K21" s="3">
        <v>8</v>
      </c>
      <c r="L21" s="3">
        <v>0</v>
      </c>
      <c r="M21" s="3">
        <v>0</v>
      </c>
      <c r="N21" s="3">
        <v>0</v>
      </c>
      <c r="O21" s="3">
        <v>0</v>
      </c>
      <c r="P21" s="4">
        <f t="shared" si="0"/>
        <v>2</v>
      </c>
      <c r="Q21" s="1" t="s">
        <v>14</v>
      </c>
      <c r="R21" s="44">
        <v>0</v>
      </c>
      <c r="S21" s="46"/>
      <c r="T21" s="4"/>
    </row>
    <row r="22" spans="1:20" x14ac:dyDescent="0.25">
      <c r="A22" s="7">
        <v>19</v>
      </c>
      <c r="D22" s="55" t="s">
        <v>8</v>
      </c>
      <c r="E22" s="56"/>
      <c r="F22" s="56"/>
      <c r="G22" s="57"/>
      <c r="H22" s="12">
        <v>80</v>
      </c>
      <c r="I22" s="59" t="s">
        <v>1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46">
        <f t="shared" si="0"/>
        <v>80</v>
      </c>
      <c r="Q22" s="1" t="s">
        <v>14</v>
      </c>
      <c r="R22" s="44">
        <v>50</v>
      </c>
      <c r="S22" s="47">
        <v>200</v>
      </c>
      <c r="T22" s="4"/>
    </row>
    <row r="23" spans="1:20" x14ac:dyDescent="0.25">
      <c r="A23" s="7">
        <v>20</v>
      </c>
      <c r="D23" s="9" t="s">
        <v>32</v>
      </c>
      <c r="E23" s="10"/>
      <c r="F23" s="10"/>
      <c r="G23" s="11"/>
      <c r="H23" s="12">
        <f>'ARALIK 3 HAFTA '!P23</f>
        <v>2000</v>
      </c>
      <c r="I23" s="7" t="s">
        <v>2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4">
        <f t="shared" si="0"/>
        <v>2000</v>
      </c>
      <c r="Q23" s="1" t="s">
        <v>14</v>
      </c>
      <c r="R23" s="44">
        <v>0</v>
      </c>
      <c r="S23" s="46"/>
      <c r="T23" s="4"/>
    </row>
    <row r="24" spans="1:20" x14ac:dyDescent="0.25">
      <c r="A24" s="7">
        <v>21</v>
      </c>
      <c r="D24" s="16" t="s">
        <v>140</v>
      </c>
      <c r="E24" s="17"/>
      <c r="F24" s="17"/>
      <c r="G24" s="18"/>
      <c r="H24" s="12">
        <v>200</v>
      </c>
      <c r="I24" s="7" t="s">
        <v>2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4">
        <f t="shared" si="0"/>
        <v>200</v>
      </c>
      <c r="Q24" s="1" t="s">
        <v>14</v>
      </c>
      <c r="R24" s="44">
        <v>0</v>
      </c>
      <c r="S24" s="46"/>
      <c r="T24" s="4"/>
    </row>
    <row r="25" spans="1:20" x14ac:dyDescent="0.25">
      <c r="A25" s="7">
        <v>22</v>
      </c>
      <c r="D25" s="9" t="s">
        <v>34</v>
      </c>
      <c r="E25" s="10"/>
      <c r="F25" s="10"/>
      <c r="G25" s="11"/>
      <c r="H25" s="12">
        <v>50</v>
      </c>
      <c r="I25" s="7" t="s">
        <v>2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4">
        <f t="shared" si="0"/>
        <v>50</v>
      </c>
      <c r="Q25" s="1" t="s">
        <v>14</v>
      </c>
      <c r="R25" s="44">
        <v>0</v>
      </c>
      <c r="S25" s="46"/>
      <c r="T25" s="4"/>
    </row>
    <row r="26" spans="1:20" x14ac:dyDescent="0.25">
      <c r="A26" s="7">
        <v>23</v>
      </c>
      <c r="D26" s="16" t="s">
        <v>142</v>
      </c>
      <c r="E26" s="17"/>
      <c r="F26" s="17"/>
      <c r="G26" s="18"/>
      <c r="H26" s="12">
        <v>37</v>
      </c>
      <c r="I26" s="7" t="s">
        <v>2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6</v>
      </c>
      <c r="P26" s="4">
        <f t="shared" si="0"/>
        <v>31</v>
      </c>
      <c r="Q26" s="1" t="s">
        <v>14</v>
      </c>
      <c r="R26" s="44">
        <v>20</v>
      </c>
      <c r="S26" s="47">
        <v>50</v>
      </c>
      <c r="T26" s="4"/>
    </row>
    <row r="27" spans="1:20" x14ac:dyDescent="0.25">
      <c r="A27" s="7">
        <v>24</v>
      </c>
      <c r="D27" s="9" t="s">
        <v>141</v>
      </c>
      <c r="E27" s="10"/>
      <c r="F27" s="10"/>
      <c r="G27" s="11"/>
      <c r="H27" s="12">
        <v>0</v>
      </c>
      <c r="I27" s="7" t="s">
        <v>2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  <c r="P27" s="4">
        <f t="shared" si="0"/>
        <v>0</v>
      </c>
      <c r="Q27" s="1"/>
      <c r="R27" s="44">
        <v>20</v>
      </c>
      <c r="S27" s="47">
        <v>50</v>
      </c>
      <c r="T27" s="4"/>
    </row>
    <row r="28" spans="1:20" x14ac:dyDescent="0.25">
      <c r="A28" s="7">
        <v>25</v>
      </c>
      <c r="D28" s="9" t="s">
        <v>137</v>
      </c>
      <c r="E28" s="10"/>
      <c r="F28" s="10"/>
      <c r="G28" s="11"/>
      <c r="H28" s="12">
        <v>112</v>
      </c>
      <c r="I28" s="7" t="s">
        <v>2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4">
        <f t="shared" si="0"/>
        <v>112</v>
      </c>
      <c r="Q28" s="1" t="s">
        <v>14</v>
      </c>
      <c r="R28" s="44">
        <v>20</v>
      </c>
      <c r="S28" s="47">
        <v>50</v>
      </c>
      <c r="T28" s="4"/>
    </row>
    <row r="29" spans="1:20" x14ac:dyDescent="0.25">
      <c r="A29" s="7">
        <v>26</v>
      </c>
      <c r="D29" s="9" t="s">
        <v>138</v>
      </c>
      <c r="E29" s="10"/>
      <c r="F29" s="10"/>
      <c r="G29" s="11"/>
      <c r="H29" s="12">
        <v>32</v>
      </c>
      <c r="I29" s="7" t="s">
        <v>2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4">
        <f t="shared" si="0"/>
        <v>32</v>
      </c>
      <c r="Q29" s="1"/>
      <c r="R29" s="44"/>
      <c r="S29" s="47"/>
      <c r="T29" s="4"/>
    </row>
    <row r="30" spans="1:20" x14ac:dyDescent="0.25">
      <c r="A30" s="7">
        <v>27</v>
      </c>
      <c r="D30" s="16" t="s">
        <v>35</v>
      </c>
      <c r="E30" s="17"/>
      <c r="F30" s="17"/>
      <c r="G30" s="18"/>
      <c r="H30" s="12">
        <v>500</v>
      </c>
      <c r="I30" s="7" t="s">
        <v>2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4">
        <f t="shared" si="0"/>
        <v>500</v>
      </c>
      <c r="Q30" s="1" t="s">
        <v>14</v>
      </c>
      <c r="R30" s="44">
        <v>50</v>
      </c>
      <c r="S30" s="47">
        <v>100</v>
      </c>
      <c r="T30" s="4"/>
    </row>
    <row r="31" spans="1:20" x14ac:dyDescent="0.25">
      <c r="A31" s="7">
        <v>28</v>
      </c>
      <c r="D31" s="9" t="s">
        <v>36</v>
      </c>
      <c r="E31" s="10"/>
      <c r="F31" s="10"/>
      <c r="G31" s="11"/>
      <c r="H31" s="12">
        <v>46</v>
      </c>
      <c r="I31" s="7" t="s">
        <v>2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4">
        <f t="shared" si="0"/>
        <v>46</v>
      </c>
      <c r="Q31" s="1" t="s">
        <v>14</v>
      </c>
      <c r="R31" s="44">
        <v>50</v>
      </c>
      <c r="S31" s="47">
        <v>100</v>
      </c>
      <c r="T31" s="4"/>
    </row>
    <row r="32" spans="1:20" x14ac:dyDescent="0.25">
      <c r="A32" s="7">
        <v>29</v>
      </c>
      <c r="D32" s="16" t="s">
        <v>37</v>
      </c>
      <c r="E32" s="17"/>
      <c r="F32" s="17"/>
      <c r="G32" s="18"/>
      <c r="H32" s="12">
        <v>579</v>
      </c>
      <c r="I32" s="7" t="s">
        <v>2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6</v>
      </c>
      <c r="P32" s="4">
        <f t="shared" si="0"/>
        <v>573</v>
      </c>
      <c r="Q32" s="1" t="s">
        <v>14</v>
      </c>
      <c r="R32" s="44">
        <v>20</v>
      </c>
      <c r="S32" s="47">
        <v>50</v>
      </c>
      <c r="T32" s="4"/>
    </row>
    <row r="33" spans="1:20" x14ac:dyDescent="0.25">
      <c r="A33" s="7">
        <v>30</v>
      </c>
      <c r="D33" s="9" t="s">
        <v>38</v>
      </c>
      <c r="E33" s="10"/>
      <c r="F33" s="10"/>
      <c r="G33" s="11"/>
      <c r="H33" s="12">
        <v>533</v>
      </c>
      <c r="I33" s="7" t="s">
        <v>2</v>
      </c>
      <c r="J33" s="3">
        <v>0</v>
      </c>
      <c r="K33" s="3">
        <v>8</v>
      </c>
      <c r="L33" s="3">
        <v>14</v>
      </c>
      <c r="M33" s="3">
        <v>0</v>
      </c>
      <c r="N33" s="3">
        <v>12</v>
      </c>
      <c r="O33" s="3">
        <v>0</v>
      </c>
      <c r="P33" s="4">
        <f t="shared" si="0"/>
        <v>499</v>
      </c>
      <c r="Q33" s="1" t="s">
        <v>14</v>
      </c>
      <c r="R33" s="44">
        <v>50</v>
      </c>
      <c r="S33" s="47">
        <v>100</v>
      </c>
      <c r="T33" s="4"/>
    </row>
    <row r="34" spans="1:20" x14ac:dyDescent="0.25">
      <c r="A34" s="7">
        <v>31</v>
      </c>
      <c r="D34" s="16" t="s">
        <v>39</v>
      </c>
      <c r="E34" s="17"/>
      <c r="F34" s="17"/>
      <c r="G34" s="18"/>
      <c r="H34" s="12">
        <v>32</v>
      </c>
      <c r="I34" s="7" t="s">
        <v>2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6</v>
      </c>
      <c r="P34" s="4">
        <f t="shared" si="0"/>
        <v>26</v>
      </c>
      <c r="Q34" s="1" t="s">
        <v>14</v>
      </c>
      <c r="R34" s="44">
        <v>20</v>
      </c>
      <c r="S34" s="47">
        <v>50</v>
      </c>
      <c r="T34" s="4"/>
    </row>
    <row r="35" spans="1:20" x14ac:dyDescent="0.25">
      <c r="A35" s="7">
        <v>32</v>
      </c>
      <c r="D35" s="9" t="s">
        <v>40</v>
      </c>
      <c r="E35" s="10"/>
      <c r="F35" s="10"/>
      <c r="G35" s="11"/>
      <c r="H35" s="12">
        <f>'ARALIK 3 HAFTA '!P33</f>
        <v>1075</v>
      </c>
      <c r="I35" s="7" t="s">
        <v>2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4">
        <f t="shared" si="0"/>
        <v>1075</v>
      </c>
      <c r="Q35" s="1" t="s">
        <v>14</v>
      </c>
      <c r="R35" s="44">
        <v>0</v>
      </c>
      <c r="S35" s="46"/>
      <c r="T35" s="4"/>
    </row>
    <row r="36" spans="1:20" x14ac:dyDescent="0.25">
      <c r="A36" s="7">
        <v>33</v>
      </c>
      <c r="D36" s="9" t="s">
        <v>9</v>
      </c>
      <c r="E36" s="10"/>
      <c r="F36" s="10"/>
      <c r="G36" s="11"/>
      <c r="H36" s="12">
        <v>0</v>
      </c>
      <c r="I36" s="7" t="s">
        <v>2</v>
      </c>
      <c r="J36" s="3">
        <v>90</v>
      </c>
      <c r="K36" s="3">
        <v>0</v>
      </c>
      <c r="L36" s="3">
        <v>26</v>
      </c>
      <c r="M36" s="3">
        <v>0</v>
      </c>
      <c r="N36" s="3">
        <v>24</v>
      </c>
      <c r="O36" s="3">
        <v>3</v>
      </c>
      <c r="P36" s="4">
        <f t="shared" si="0"/>
        <v>37</v>
      </c>
      <c r="Q36" s="1" t="s">
        <v>14</v>
      </c>
      <c r="R36" s="44">
        <v>50</v>
      </c>
      <c r="S36" s="47">
        <v>100</v>
      </c>
      <c r="T36" s="4"/>
    </row>
    <row r="37" spans="1:20" x14ac:dyDescent="0.25">
      <c r="A37" s="7">
        <v>34</v>
      </c>
      <c r="D37" s="19" t="s">
        <v>70</v>
      </c>
      <c r="E37" s="20"/>
      <c r="F37" s="20"/>
      <c r="G37" s="21"/>
      <c r="H37" s="69">
        <v>53</v>
      </c>
      <c r="I37" s="7" t="s">
        <v>2</v>
      </c>
      <c r="J37" s="3">
        <v>0</v>
      </c>
      <c r="K37" s="3">
        <v>8</v>
      </c>
      <c r="L37" s="3">
        <v>0</v>
      </c>
      <c r="M37" s="3">
        <v>0</v>
      </c>
      <c r="N37" s="3">
        <v>0</v>
      </c>
      <c r="O37" s="3">
        <v>0</v>
      </c>
      <c r="P37" s="4">
        <f t="shared" si="0"/>
        <v>45</v>
      </c>
      <c r="Q37" s="1" t="s">
        <v>14</v>
      </c>
      <c r="R37" s="44">
        <v>0</v>
      </c>
      <c r="S37" s="46"/>
      <c r="T37" s="4"/>
    </row>
    <row r="38" spans="1:20" x14ac:dyDescent="0.25">
      <c r="A38" s="7">
        <v>35</v>
      </c>
      <c r="D38" s="16" t="s">
        <v>143</v>
      </c>
      <c r="E38" s="17"/>
      <c r="F38" s="17"/>
      <c r="G38" s="18"/>
      <c r="H38" s="12">
        <v>10</v>
      </c>
      <c r="I38" s="7" t="s">
        <v>2</v>
      </c>
      <c r="J38" s="3">
        <v>50</v>
      </c>
      <c r="K38" s="3">
        <v>8</v>
      </c>
      <c r="L38" s="3">
        <v>0</v>
      </c>
      <c r="M38" s="3">
        <v>0</v>
      </c>
      <c r="N38" s="3">
        <v>12</v>
      </c>
      <c r="O38" s="3">
        <v>3</v>
      </c>
      <c r="P38" s="4">
        <f t="shared" si="0"/>
        <v>37</v>
      </c>
      <c r="Q38" s="1" t="s">
        <v>14</v>
      </c>
      <c r="R38" s="44">
        <v>50</v>
      </c>
      <c r="S38" s="46">
        <v>100</v>
      </c>
      <c r="T38" s="4"/>
    </row>
    <row r="39" spans="1:20" x14ac:dyDescent="0.25">
      <c r="A39" s="7">
        <v>36</v>
      </c>
      <c r="D39" s="9" t="s">
        <v>144</v>
      </c>
      <c r="E39" s="10"/>
      <c r="F39" s="10"/>
      <c r="G39" s="11"/>
      <c r="H39" s="12">
        <v>142</v>
      </c>
      <c r="I39" s="7" t="s">
        <v>2</v>
      </c>
      <c r="J39" s="3">
        <v>50</v>
      </c>
      <c r="K39" s="3">
        <v>0</v>
      </c>
      <c r="L39" s="3">
        <v>0</v>
      </c>
      <c r="M39" s="3">
        <v>0</v>
      </c>
      <c r="N39" s="3">
        <v>12</v>
      </c>
      <c r="O39" s="3">
        <v>3</v>
      </c>
      <c r="P39" s="4">
        <f t="shared" si="0"/>
        <v>177</v>
      </c>
      <c r="Q39" s="1" t="s">
        <v>14</v>
      </c>
      <c r="R39" s="44">
        <v>50</v>
      </c>
      <c r="S39" s="47">
        <v>100</v>
      </c>
      <c r="T39" s="4"/>
    </row>
    <row r="40" spans="1:20" x14ac:dyDescent="0.25">
      <c r="A40" s="7">
        <v>37</v>
      </c>
      <c r="D40" s="16" t="s">
        <v>42</v>
      </c>
      <c r="E40" s="17"/>
      <c r="F40" s="17"/>
      <c r="G40" s="18"/>
      <c r="H40" s="12">
        <v>100</v>
      </c>
      <c r="I40" s="7" t="s">
        <v>2</v>
      </c>
      <c r="J40" s="3">
        <v>50</v>
      </c>
      <c r="K40" s="3">
        <v>0</v>
      </c>
      <c r="L40" s="3">
        <v>0</v>
      </c>
      <c r="M40" s="3">
        <v>0</v>
      </c>
      <c r="N40" s="3">
        <v>12</v>
      </c>
      <c r="O40" s="3">
        <v>3</v>
      </c>
      <c r="P40" s="4">
        <f t="shared" si="0"/>
        <v>135</v>
      </c>
      <c r="Q40" s="1" t="s">
        <v>14</v>
      </c>
      <c r="R40" s="44">
        <v>50</v>
      </c>
      <c r="S40" s="47">
        <v>100</v>
      </c>
      <c r="T40" s="4"/>
    </row>
    <row r="41" spans="1:20" x14ac:dyDescent="0.25">
      <c r="A41" s="7">
        <v>38</v>
      </c>
      <c r="D41" s="9" t="s">
        <v>133</v>
      </c>
      <c r="E41" s="10"/>
      <c r="F41" s="10"/>
      <c r="G41" s="11"/>
      <c r="H41" s="12">
        <v>32</v>
      </c>
      <c r="I41" s="7" t="s">
        <v>2</v>
      </c>
      <c r="J41" s="3">
        <v>0</v>
      </c>
      <c r="K41" s="3">
        <v>16</v>
      </c>
      <c r="L41" s="3">
        <v>0</v>
      </c>
      <c r="M41" s="3">
        <v>0</v>
      </c>
      <c r="N41" s="3">
        <v>0</v>
      </c>
      <c r="O41" s="3">
        <v>0</v>
      </c>
      <c r="P41" s="4">
        <f t="shared" si="0"/>
        <v>16</v>
      </c>
      <c r="Q41" s="1" t="s">
        <v>14</v>
      </c>
      <c r="R41" s="44">
        <v>20</v>
      </c>
      <c r="S41" s="47">
        <v>50</v>
      </c>
      <c r="T41" s="4"/>
    </row>
    <row r="42" spans="1:20" x14ac:dyDescent="0.25">
      <c r="A42" s="7">
        <v>39</v>
      </c>
      <c r="D42" s="16" t="s">
        <v>145</v>
      </c>
      <c r="E42" s="17"/>
      <c r="F42" s="17"/>
      <c r="G42" s="18"/>
      <c r="H42" s="12">
        <v>22</v>
      </c>
      <c r="I42" s="7" t="s">
        <v>2</v>
      </c>
      <c r="J42" s="3">
        <v>0</v>
      </c>
      <c r="K42" s="3">
        <v>16</v>
      </c>
      <c r="L42" s="3">
        <v>0</v>
      </c>
      <c r="M42" s="3">
        <v>0</v>
      </c>
      <c r="N42" s="3">
        <v>0</v>
      </c>
      <c r="O42" s="3">
        <v>0</v>
      </c>
      <c r="P42" s="4">
        <f t="shared" si="0"/>
        <v>6</v>
      </c>
      <c r="Q42" s="1" t="s">
        <v>14</v>
      </c>
      <c r="R42" s="44">
        <v>20</v>
      </c>
      <c r="S42" s="46">
        <v>50</v>
      </c>
      <c r="T42" s="4"/>
    </row>
    <row r="43" spans="1:20" x14ac:dyDescent="0.25">
      <c r="A43" s="7">
        <v>40</v>
      </c>
      <c r="D43" s="9" t="s">
        <v>71</v>
      </c>
      <c r="E43" s="10"/>
      <c r="F43" s="10"/>
      <c r="G43" s="11"/>
      <c r="H43" s="12">
        <v>25</v>
      </c>
      <c r="I43" s="7" t="s">
        <v>2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4">
        <f t="shared" si="0"/>
        <v>25</v>
      </c>
      <c r="Q43" s="1" t="s">
        <v>14</v>
      </c>
      <c r="R43" s="44">
        <v>5</v>
      </c>
      <c r="S43" s="47">
        <v>10</v>
      </c>
      <c r="T43" s="4"/>
    </row>
    <row r="44" spans="1:20" x14ac:dyDescent="0.25">
      <c r="A44" s="7">
        <v>41</v>
      </c>
      <c r="D44" s="16" t="s">
        <v>10</v>
      </c>
      <c r="E44" s="17"/>
      <c r="F44" s="17"/>
      <c r="G44" s="18"/>
      <c r="H44" s="12">
        <v>394</v>
      </c>
      <c r="I44" s="7" t="s">
        <v>2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16</v>
      </c>
      <c r="P44" s="4">
        <f t="shared" si="0"/>
        <v>378</v>
      </c>
      <c r="Q44" s="1" t="s">
        <v>14</v>
      </c>
      <c r="R44" s="44">
        <v>40</v>
      </c>
      <c r="S44" s="47">
        <v>100</v>
      </c>
      <c r="T44" s="4"/>
    </row>
    <row r="45" spans="1:20" x14ac:dyDescent="0.25">
      <c r="A45" s="7">
        <v>42</v>
      </c>
      <c r="D45" s="9" t="s">
        <v>45</v>
      </c>
      <c r="E45" s="10"/>
      <c r="F45" s="10"/>
      <c r="G45" s="11"/>
      <c r="H45" s="12">
        <v>222</v>
      </c>
      <c r="I45" s="7" t="s">
        <v>2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8</v>
      </c>
      <c r="P45" s="4">
        <f t="shared" si="0"/>
        <v>214</v>
      </c>
      <c r="Q45" s="1" t="s">
        <v>14</v>
      </c>
      <c r="R45" s="44">
        <v>20</v>
      </c>
      <c r="S45" s="47">
        <v>50</v>
      </c>
      <c r="T45" s="4"/>
    </row>
    <row r="46" spans="1:20" x14ac:dyDescent="0.25">
      <c r="A46" s="7">
        <v>43</v>
      </c>
      <c r="D46" s="16" t="s">
        <v>46</v>
      </c>
      <c r="E46" s="17"/>
      <c r="F46" s="17"/>
      <c r="G46" s="18"/>
      <c r="H46" s="12">
        <v>222</v>
      </c>
      <c r="I46" s="7" t="s">
        <v>2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8</v>
      </c>
      <c r="P46" s="4">
        <f t="shared" si="0"/>
        <v>214</v>
      </c>
      <c r="Q46" s="1" t="s">
        <v>14</v>
      </c>
      <c r="R46" s="44">
        <v>20</v>
      </c>
      <c r="S46" s="47">
        <v>50</v>
      </c>
      <c r="T46" s="4"/>
    </row>
    <row r="47" spans="1:20" x14ac:dyDescent="0.25">
      <c r="A47" s="7">
        <v>44</v>
      </c>
      <c r="D47" s="9" t="s">
        <v>47</v>
      </c>
      <c r="E47" s="10"/>
      <c r="F47" s="10"/>
      <c r="G47" s="11"/>
      <c r="H47" s="12">
        <v>237</v>
      </c>
      <c r="I47" s="7" t="s">
        <v>2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8</v>
      </c>
      <c r="P47" s="4">
        <f t="shared" si="0"/>
        <v>229</v>
      </c>
      <c r="Q47" s="1" t="s">
        <v>14</v>
      </c>
      <c r="R47" s="44">
        <v>20</v>
      </c>
      <c r="S47" s="47">
        <v>50</v>
      </c>
      <c r="T47" s="4"/>
    </row>
    <row r="48" spans="1:20" x14ac:dyDescent="0.25">
      <c r="A48" s="7">
        <v>45</v>
      </c>
      <c r="D48" s="16" t="s">
        <v>79</v>
      </c>
      <c r="E48" s="17"/>
      <c r="F48" s="17"/>
      <c r="G48" s="18"/>
      <c r="H48" s="12">
        <v>17</v>
      </c>
      <c r="I48" s="7" t="s">
        <v>2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4">
        <f t="shared" si="0"/>
        <v>17</v>
      </c>
      <c r="Q48" s="1" t="s">
        <v>14</v>
      </c>
      <c r="R48" s="44">
        <v>10</v>
      </c>
      <c r="S48" s="47">
        <v>20</v>
      </c>
      <c r="T48" s="4"/>
    </row>
    <row r="49" spans="1:20" x14ac:dyDescent="0.25">
      <c r="A49" s="7">
        <v>46</v>
      </c>
      <c r="D49" s="9" t="s">
        <v>48</v>
      </c>
      <c r="E49" s="10"/>
      <c r="F49" s="10"/>
      <c r="G49" s="11"/>
      <c r="H49" s="12">
        <v>18</v>
      </c>
      <c r="I49" s="7" t="s">
        <v>2</v>
      </c>
      <c r="J49" s="3">
        <v>0</v>
      </c>
      <c r="K49" s="3">
        <v>8</v>
      </c>
      <c r="L49" s="3">
        <v>0</v>
      </c>
      <c r="M49" s="3">
        <v>0</v>
      </c>
      <c r="N49" s="3">
        <v>0</v>
      </c>
      <c r="O49" s="3">
        <v>0</v>
      </c>
      <c r="P49" s="4">
        <f t="shared" si="0"/>
        <v>10</v>
      </c>
      <c r="Q49" s="1" t="s">
        <v>14</v>
      </c>
      <c r="R49" s="44">
        <v>10</v>
      </c>
      <c r="S49" s="47">
        <v>20</v>
      </c>
      <c r="T49" s="4" t="s">
        <v>14</v>
      </c>
    </row>
    <row r="50" spans="1:20" x14ac:dyDescent="0.25">
      <c r="A50" s="7">
        <v>47</v>
      </c>
      <c r="D50" s="16" t="s">
        <v>49</v>
      </c>
      <c r="E50" s="17"/>
      <c r="F50" s="17"/>
      <c r="G50" s="18"/>
      <c r="H50" s="12">
        <v>17</v>
      </c>
      <c r="I50" s="7" t="s">
        <v>2</v>
      </c>
      <c r="J50" s="3">
        <v>0</v>
      </c>
      <c r="K50" s="3">
        <v>8</v>
      </c>
      <c r="L50" s="3">
        <v>0</v>
      </c>
      <c r="M50" s="3">
        <v>0</v>
      </c>
      <c r="N50" s="3">
        <v>0</v>
      </c>
      <c r="O50" s="3">
        <v>0</v>
      </c>
      <c r="P50" s="4">
        <f t="shared" si="0"/>
        <v>9</v>
      </c>
      <c r="Q50" s="1" t="s">
        <v>14</v>
      </c>
      <c r="R50" s="44">
        <v>10</v>
      </c>
      <c r="S50" s="47">
        <v>20</v>
      </c>
      <c r="T50" s="4"/>
    </row>
    <row r="51" spans="1:20" x14ac:dyDescent="0.25">
      <c r="A51" s="7">
        <v>48</v>
      </c>
      <c r="D51" s="9" t="s">
        <v>159</v>
      </c>
      <c r="E51" s="10"/>
      <c r="F51" s="10"/>
      <c r="G51" s="11"/>
      <c r="H51" s="12">
        <v>30</v>
      </c>
      <c r="I51" s="7" t="s">
        <v>1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4">
        <f t="shared" si="0"/>
        <v>30</v>
      </c>
      <c r="Q51" s="1" t="s">
        <v>14</v>
      </c>
      <c r="R51" s="44">
        <v>20</v>
      </c>
      <c r="S51" s="47">
        <v>100</v>
      </c>
      <c r="T51" s="4"/>
    </row>
    <row r="52" spans="1:20" x14ac:dyDescent="0.25">
      <c r="A52" s="7">
        <v>49</v>
      </c>
      <c r="D52" s="16" t="s">
        <v>111</v>
      </c>
      <c r="E52" s="17"/>
      <c r="F52" s="17"/>
      <c r="G52" s="18"/>
      <c r="H52" s="12">
        <v>100</v>
      </c>
      <c r="I52" s="7" t="s">
        <v>2</v>
      </c>
      <c r="J52" s="3">
        <v>0</v>
      </c>
      <c r="K52" s="3">
        <v>34</v>
      </c>
      <c r="L52" s="3">
        <v>0</v>
      </c>
      <c r="M52" s="3">
        <v>0</v>
      </c>
      <c r="N52" s="3">
        <v>0</v>
      </c>
      <c r="O52" s="3">
        <v>0</v>
      </c>
      <c r="P52" s="4">
        <f t="shared" si="0"/>
        <v>66</v>
      </c>
      <c r="Q52" s="1" t="s">
        <v>14</v>
      </c>
      <c r="R52" s="44">
        <v>30</v>
      </c>
      <c r="S52" s="47">
        <v>100</v>
      </c>
      <c r="T52" s="4"/>
    </row>
    <row r="53" spans="1:20" x14ac:dyDescent="0.25">
      <c r="A53" s="7">
        <v>50</v>
      </c>
      <c r="D53" s="9" t="s">
        <v>51</v>
      </c>
      <c r="E53" s="10"/>
      <c r="F53" s="10"/>
      <c r="G53" s="11"/>
      <c r="H53" s="12">
        <v>122</v>
      </c>
      <c r="I53" s="7" t="s">
        <v>2</v>
      </c>
      <c r="J53" s="3">
        <v>0</v>
      </c>
      <c r="K53" s="3">
        <v>24</v>
      </c>
      <c r="L53" s="3">
        <v>0</v>
      </c>
      <c r="M53" s="3">
        <v>0</v>
      </c>
      <c r="N53" s="3">
        <v>0</v>
      </c>
      <c r="O53" s="3">
        <v>8</v>
      </c>
      <c r="P53" s="4">
        <f t="shared" si="0"/>
        <v>90</v>
      </c>
      <c r="Q53" s="1" t="s">
        <v>14</v>
      </c>
      <c r="R53" s="44">
        <v>20</v>
      </c>
      <c r="S53" s="47">
        <v>50</v>
      </c>
      <c r="T53" s="4"/>
    </row>
    <row r="54" spans="1:20" x14ac:dyDescent="0.25">
      <c r="A54" s="7">
        <v>51</v>
      </c>
      <c r="D54" s="16" t="s">
        <v>52</v>
      </c>
      <c r="E54" s="17"/>
      <c r="F54" s="17"/>
      <c r="G54" s="18"/>
      <c r="H54" s="12">
        <v>133</v>
      </c>
      <c r="I54" s="7" t="s">
        <v>2</v>
      </c>
      <c r="J54" s="3">
        <v>0</v>
      </c>
      <c r="K54" s="3">
        <v>9</v>
      </c>
      <c r="L54" s="3">
        <v>0</v>
      </c>
      <c r="M54" s="3">
        <v>0</v>
      </c>
      <c r="N54" s="3">
        <v>0</v>
      </c>
      <c r="O54" s="3">
        <v>8</v>
      </c>
      <c r="P54" s="4">
        <f t="shared" si="0"/>
        <v>116</v>
      </c>
      <c r="Q54" s="1" t="s">
        <v>14</v>
      </c>
      <c r="R54" s="44">
        <v>20</v>
      </c>
      <c r="S54" s="47">
        <v>50</v>
      </c>
      <c r="T54" s="4" t="s">
        <v>14</v>
      </c>
    </row>
    <row r="55" spans="1:20" x14ac:dyDescent="0.25">
      <c r="A55" s="7">
        <v>52</v>
      </c>
      <c r="D55" s="9" t="s">
        <v>53</v>
      </c>
      <c r="E55" s="10"/>
      <c r="F55" s="10"/>
      <c r="G55" s="11"/>
      <c r="H55" s="12">
        <v>124</v>
      </c>
      <c r="I55" s="7" t="s">
        <v>2</v>
      </c>
      <c r="J55" s="3">
        <v>0</v>
      </c>
      <c r="K55" s="3">
        <v>9</v>
      </c>
      <c r="L55" s="3">
        <v>0</v>
      </c>
      <c r="M55" s="3">
        <v>0</v>
      </c>
      <c r="N55" s="3">
        <v>0</v>
      </c>
      <c r="O55" s="3">
        <v>8</v>
      </c>
      <c r="P55" s="4">
        <f t="shared" si="0"/>
        <v>107</v>
      </c>
      <c r="Q55" s="1" t="s">
        <v>14</v>
      </c>
      <c r="R55" s="44">
        <v>20</v>
      </c>
      <c r="S55" s="47">
        <v>50</v>
      </c>
      <c r="T55" s="4"/>
    </row>
    <row r="56" spans="1:20" x14ac:dyDescent="0.25">
      <c r="A56" s="7">
        <v>53</v>
      </c>
      <c r="D56" s="70" t="s">
        <v>54</v>
      </c>
      <c r="E56" s="71"/>
      <c r="F56" s="71"/>
      <c r="G56" s="72"/>
      <c r="H56" s="12">
        <v>1035</v>
      </c>
      <c r="I56" s="7" t="s">
        <v>1</v>
      </c>
      <c r="J56" s="3">
        <v>0</v>
      </c>
      <c r="K56" s="3">
        <v>165</v>
      </c>
      <c r="L56" s="3">
        <v>165</v>
      </c>
      <c r="M56" s="3">
        <v>135</v>
      </c>
      <c r="N56" s="3">
        <v>75</v>
      </c>
      <c r="O56" s="3">
        <v>120</v>
      </c>
      <c r="P56" s="4">
        <f t="shared" si="0"/>
        <v>375</v>
      </c>
      <c r="Q56" s="1" t="s">
        <v>120</v>
      </c>
      <c r="R56" s="44">
        <v>250</v>
      </c>
      <c r="S56" s="47">
        <v>750</v>
      </c>
      <c r="T56" s="4"/>
    </row>
    <row r="57" spans="1:20" x14ac:dyDescent="0.25">
      <c r="A57" s="7">
        <v>54</v>
      </c>
      <c r="D57" s="16" t="s">
        <v>61</v>
      </c>
      <c r="E57" s="17"/>
      <c r="F57" s="17"/>
      <c r="G57" s="18"/>
      <c r="H57" s="12">
        <v>246</v>
      </c>
      <c r="I57" s="7" t="s">
        <v>2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  <c r="P57" s="4">
        <f t="shared" si="0"/>
        <v>246</v>
      </c>
      <c r="Q57" s="1" t="s">
        <v>14</v>
      </c>
      <c r="R57" s="44">
        <v>0</v>
      </c>
      <c r="S57" s="46"/>
      <c r="T57" s="4"/>
    </row>
    <row r="58" spans="1:20" x14ac:dyDescent="0.25">
      <c r="A58" s="7">
        <v>55</v>
      </c>
      <c r="D58" s="9" t="s">
        <v>62</v>
      </c>
      <c r="E58" s="10"/>
      <c r="F58" s="10"/>
      <c r="G58" s="11"/>
      <c r="H58" s="12">
        <v>1806</v>
      </c>
      <c r="I58" s="7" t="s">
        <v>2</v>
      </c>
      <c r="J58" s="3">
        <v>0</v>
      </c>
      <c r="K58" s="3">
        <v>0</v>
      </c>
      <c r="L58" s="3">
        <v>100</v>
      </c>
      <c r="M58" s="3">
        <v>0</v>
      </c>
      <c r="N58" s="3">
        <v>240</v>
      </c>
      <c r="O58" s="3">
        <v>0</v>
      </c>
      <c r="P58" s="4">
        <f t="shared" si="0"/>
        <v>1466</v>
      </c>
      <c r="Q58" s="1" t="s">
        <v>14</v>
      </c>
      <c r="R58" s="44">
        <v>200</v>
      </c>
      <c r="S58" s="47">
        <v>1000</v>
      </c>
      <c r="T58" s="4"/>
    </row>
    <row r="59" spans="1:20" x14ac:dyDescent="0.25">
      <c r="A59" s="7">
        <v>56</v>
      </c>
      <c r="D59" s="16" t="s">
        <v>13</v>
      </c>
      <c r="E59" s="17"/>
      <c r="F59" s="17"/>
      <c r="G59" s="18"/>
      <c r="H59" s="12">
        <v>110</v>
      </c>
      <c r="I59" s="7" t="s">
        <v>2</v>
      </c>
      <c r="J59" s="3">
        <v>0</v>
      </c>
      <c r="K59" s="3">
        <v>0</v>
      </c>
      <c r="L59" s="3">
        <v>0</v>
      </c>
      <c r="M59" s="3">
        <v>0</v>
      </c>
      <c r="N59" s="3">
        <v>25</v>
      </c>
      <c r="O59" s="3">
        <v>0</v>
      </c>
      <c r="P59" s="4">
        <f t="shared" si="0"/>
        <v>85</v>
      </c>
      <c r="Q59" s="1" t="s">
        <v>14</v>
      </c>
      <c r="R59" s="44">
        <v>100</v>
      </c>
      <c r="S59" s="47">
        <v>300</v>
      </c>
      <c r="T59" s="4"/>
    </row>
    <row r="60" spans="1:20" x14ac:dyDescent="0.25">
      <c r="A60" s="7">
        <v>57</v>
      </c>
      <c r="D60" s="9" t="s">
        <v>72</v>
      </c>
      <c r="E60" s="10"/>
      <c r="F60" s="10"/>
      <c r="G60" s="11"/>
      <c r="H60" s="12">
        <v>350</v>
      </c>
      <c r="I60" s="7" t="s">
        <v>2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4">
        <f t="shared" si="0"/>
        <v>350</v>
      </c>
      <c r="Q60" s="1" t="s">
        <v>14</v>
      </c>
      <c r="R60" s="44">
        <v>100</v>
      </c>
      <c r="S60" s="47">
        <v>300</v>
      </c>
      <c r="T60" s="4"/>
    </row>
    <row r="61" spans="1:20" x14ac:dyDescent="0.25">
      <c r="A61" s="7">
        <v>58</v>
      </c>
      <c r="D61" s="16" t="s">
        <v>63</v>
      </c>
      <c r="E61" s="17"/>
      <c r="F61" s="17"/>
      <c r="G61" s="18"/>
      <c r="H61" s="12">
        <v>0</v>
      </c>
      <c r="I61" s="7" t="s">
        <v>2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4">
        <f t="shared" si="0"/>
        <v>0</v>
      </c>
      <c r="Q61" s="1" t="s">
        <v>14</v>
      </c>
      <c r="R61" s="44">
        <v>100</v>
      </c>
      <c r="S61" s="47">
        <v>300</v>
      </c>
      <c r="T61" s="4"/>
    </row>
    <row r="62" spans="1:20" x14ac:dyDescent="0.25">
      <c r="A62" s="7">
        <v>59</v>
      </c>
      <c r="D62" s="9" t="s">
        <v>77</v>
      </c>
      <c r="E62" s="10"/>
      <c r="F62" s="10"/>
      <c r="G62" s="11"/>
      <c r="H62" s="12">
        <v>1100</v>
      </c>
      <c r="I62" s="7" t="s">
        <v>2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4">
        <f t="shared" si="0"/>
        <v>1100</v>
      </c>
      <c r="Q62" s="1" t="s">
        <v>14</v>
      </c>
      <c r="R62" s="44">
        <v>100</v>
      </c>
      <c r="S62" s="47">
        <v>300</v>
      </c>
      <c r="T62" s="4"/>
    </row>
    <row r="63" spans="1:20" x14ac:dyDescent="0.25">
      <c r="A63" s="7">
        <v>60</v>
      </c>
      <c r="D63" s="16" t="s">
        <v>130</v>
      </c>
      <c r="E63" s="17"/>
      <c r="F63" s="17"/>
      <c r="G63" s="18"/>
      <c r="H63" s="12">
        <v>20</v>
      </c>
      <c r="I63" s="7" t="s">
        <v>2</v>
      </c>
      <c r="J63" s="3">
        <v>0</v>
      </c>
      <c r="K63" s="3">
        <v>8</v>
      </c>
      <c r="L63" s="3">
        <v>0</v>
      </c>
      <c r="M63" s="3">
        <v>0</v>
      </c>
      <c r="N63" s="3">
        <v>0</v>
      </c>
      <c r="O63" s="3">
        <v>0</v>
      </c>
      <c r="P63" s="4">
        <f t="shared" si="0"/>
        <v>12</v>
      </c>
      <c r="Q63" s="1" t="s">
        <v>14</v>
      </c>
      <c r="R63" s="44">
        <v>0</v>
      </c>
      <c r="S63" s="46"/>
      <c r="T63" s="4"/>
    </row>
    <row r="64" spans="1:20" x14ac:dyDescent="0.25">
      <c r="A64" s="7">
        <v>61</v>
      </c>
      <c r="D64" s="26" t="s">
        <v>146</v>
      </c>
      <c r="E64" s="27"/>
      <c r="F64" s="27"/>
      <c r="G64" s="28"/>
      <c r="H64" s="12">
        <v>5</v>
      </c>
      <c r="I64" s="30" t="s">
        <v>2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4">
        <f t="shared" si="0"/>
        <v>5</v>
      </c>
      <c r="Q64" s="1" t="s">
        <v>14</v>
      </c>
      <c r="R64" s="44">
        <v>50</v>
      </c>
      <c r="S64" s="47">
        <v>100</v>
      </c>
      <c r="T64" s="4"/>
    </row>
    <row r="65" spans="1:20" x14ac:dyDescent="0.25">
      <c r="A65" s="7">
        <v>62</v>
      </c>
      <c r="D65" s="16" t="s">
        <v>65</v>
      </c>
      <c r="E65" s="17"/>
      <c r="F65" s="17"/>
      <c r="G65" s="18"/>
      <c r="H65" s="12">
        <v>59</v>
      </c>
      <c r="I65" s="7" t="s">
        <v>2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4">
        <f t="shared" si="0"/>
        <v>59</v>
      </c>
      <c r="Q65" s="1" t="s">
        <v>14</v>
      </c>
      <c r="R65" s="44">
        <v>0</v>
      </c>
      <c r="S65" s="46"/>
      <c r="T65" s="4"/>
    </row>
    <row r="66" spans="1:20" x14ac:dyDescent="0.25">
      <c r="A66" s="7">
        <v>63</v>
      </c>
      <c r="D66" s="9" t="s">
        <v>66</v>
      </c>
      <c r="E66" s="10"/>
      <c r="F66" s="10"/>
      <c r="G66" s="11"/>
      <c r="H66" s="12">
        <v>150</v>
      </c>
      <c r="I66" s="7" t="s">
        <v>2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  <c r="P66" s="4">
        <f t="shared" si="0"/>
        <v>150</v>
      </c>
      <c r="Q66" s="1" t="s">
        <v>14</v>
      </c>
      <c r="R66" s="44">
        <v>300</v>
      </c>
      <c r="S66" s="47">
        <v>1000</v>
      </c>
      <c r="T66" s="4"/>
    </row>
    <row r="67" spans="1:20" x14ac:dyDescent="0.25">
      <c r="A67" s="7">
        <v>64</v>
      </c>
      <c r="D67" s="19" t="s">
        <v>161</v>
      </c>
      <c r="E67" s="20"/>
      <c r="F67" s="20"/>
      <c r="G67" s="21"/>
      <c r="H67" s="12">
        <v>1539</v>
      </c>
      <c r="I67" s="7" t="s">
        <v>2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  <c r="P67" s="4">
        <f t="shared" si="0"/>
        <v>1539</v>
      </c>
      <c r="Q67" s="1" t="s">
        <v>14</v>
      </c>
      <c r="R67" s="44">
        <v>50</v>
      </c>
      <c r="S67" s="47">
        <v>150</v>
      </c>
      <c r="T67" s="4"/>
    </row>
    <row r="68" spans="1:20" x14ac:dyDescent="0.25">
      <c r="A68" s="7">
        <v>65</v>
      </c>
      <c r="D68" s="22" t="s">
        <v>74</v>
      </c>
      <c r="E68" s="10"/>
      <c r="F68" s="10"/>
      <c r="G68" s="11"/>
      <c r="H68" s="12">
        <v>0</v>
      </c>
      <c r="I68" s="8" t="s">
        <v>75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4">
        <f t="shared" ref="P68:P89" si="1">+H68+J68-K68-L68-M68-N68-O68</f>
        <v>0</v>
      </c>
      <c r="Q68" s="1" t="s">
        <v>91</v>
      </c>
      <c r="R68" s="44">
        <v>65</v>
      </c>
      <c r="S68" s="47">
        <v>150</v>
      </c>
      <c r="T68" s="4"/>
    </row>
    <row r="69" spans="1:20" x14ac:dyDescent="0.25">
      <c r="A69" s="7">
        <v>66</v>
      </c>
      <c r="C69" s="1" t="s">
        <v>14</v>
      </c>
      <c r="D69" s="22" t="s">
        <v>76</v>
      </c>
      <c r="E69" s="10"/>
      <c r="F69" s="10"/>
      <c r="G69" s="11"/>
      <c r="H69" s="12">
        <v>240</v>
      </c>
      <c r="I69" s="8" t="s">
        <v>2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4">
        <f t="shared" si="1"/>
        <v>240</v>
      </c>
      <c r="Q69" s="1" t="s">
        <v>14</v>
      </c>
      <c r="R69" s="44">
        <v>50</v>
      </c>
      <c r="S69" s="47">
        <v>100</v>
      </c>
      <c r="T69" s="4"/>
    </row>
    <row r="70" spans="1:20" x14ac:dyDescent="0.25">
      <c r="A70" s="7">
        <v>67</v>
      </c>
      <c r="D70" s="25" t="s">
        <v>147</v>
      </c>
      <c r="H70" s="12">
        <v>100</v>
      </c>
      <c r="I70" s="30" t="s">
        <v>2</v>
      </c>
      <c r="J70" s="3">
        <v>0</v>
      </c>
      <c r="K70" s="3">
        <v>8</v>
      </c>
      <c r="L70" s="3">
        <v>14</v>
      </c>
      <c r="M70" s="3">
        <v>0</v>
      </c>
      <c r="N70" s="3">
        <v>20</v>
      </c>
      <c r="O70" s="3">
        <v>0</v>
      </c>
      <c r="P70" s="4">
        <f t="shared" si="1"/>
        <v>58</v>
      </c>
      <c r="Q70" s="1" t="s">
        <v>14</v>
      </c>
      <c r="R70" s="44">
        <v>50</v>
      </c>
      <c r="S70" s="47">
        <v>100</v>
      </c>
      <c r="T70" s="4"/>
    </row>
    <row r="71" spans="1:20" x14ac:dyDescent="0.25">
      <c r="A71" s="7">
        <v>68</v>
      </c>
      <c r="D71" s="26" t="s">
        <v>80</v>
      </c>
      <c r="E71" s="27"/>
      <c r="F71" s="27"/>
      <c r="G71" s="28"/>
      <c r="H71" s="12">
        <v>62</v>
      </c>
      <c r="I71" s="8" t="s">
        <v>2</v>
      </c>
      <c r="J71" s="3">
        <v>0</v>
      </c>
      <c r="K71" s="3">
        <v>9</v>
      </c>
      <c r="L71" s="3">
        <v>3</v>
      </c>
      <c r="M71" s="3">
        <v>3</v>
      </c>
      <c r="N71" s="3">
        <v>3</v>
      </c>
      <c r="O71" s="3">
        <v>0</v>
      </c>
      <c r="P71" s="4">
        <f t="shared" si="1"/>
        <v>44</v>
      </c>
      <c r="Q71" s="1" t="s">
        <v>14</v>
      </c>
      <c r="R71" s="44">
        <v>0</v>
      </c>
      <c r="S71" s="46"/>
      <c r="T71" s="4"/>
    </row>
    <row r="72" spans="1:20" x14ac:dyDescent="0.25">
      <c r="A72" s="7">
        <v>69</v>
      </c>
      <c r="D72" s="26" t="s">
        <v>84</v>
      </c>
      <c r="E72" s="27"/>
      <c r="F72" s="27"/>
      <c r="G72" s="28"/>
      <c r="H72" s="12">
        <f>'ARALIK 3 HAFTA '!P77</f>
        <v>50</v>
      </c>
      <c r="I72" s="8" t="s">
        <v>2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  <c r="P72" s="4">
        <f t="shared" si="1"/>
        <v>50</v>
      </c>
      <c r="Q72" s="1" t="s">
        <v>14</v>
      </c>
      <c r="R72" s="44">
        <v>100</v>
      </c>
      <c r="S72" s="47">
        <v>200</v>
      </c>
      <c r="T72" s="4"/>
    </row>
    <row r="73" spans="1:20" x14ac:dyDescent="0.25">
      <c r="A73" s="7">
        <v>70</v>
      </c>
      <c r="D73" s="26" t="s">
        <v>85</v>
      </c>
      <c r="E73" s="27"/>
      <c r="F73" s="27"/>
      <c r="G73" s="28"/>
      <c r="H73" s="12">
        <f>'ARALIK 3 HAFTA '!P78</f>
        <v>0</v>
      </c>
      <c r="I73" s="8" t="s">
        <v>2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4">
        <f t="shared" si="1"/>
        <v>0</v>
      </c>
      <c r="R73" s="44">
        <v>0</v>
      </c>
      <c r="S73" s="46"/>
      <c r="T73" s="4"/>
    </row>
    <row r="74" spans="1:20" x14ac:dyDescent="0.25">
      <c r="A74" s="7">
        <v>71</v>
      </c>
      <c r="D74" s="37" t="s">
        <v>99</v>
      </c>
      <c r="E74" s="17"/>
      <c r="F74" s="33"/>
      <c r="G74" s="33"/>
      <c r="H74" s="12">
        <v>243.7</v>
      </c>
      <c r="I74" s="8" t="s">
        <v>2</v>
      </c>
      <c r="J74" s="3">
        <v>0</v>
      </c>
      <c r="K74" s="3">
        <v>50</v>
      </c>
      <c r="L74" s="3">
        <v>0</v>
      </c>
      <c r="M74" s="3">
        <v>51</v>
      </c>
      <c r="N74" s="3">
        <v>0</v>
      </c>
      <c r="O74" s="3">
        <v>0</v>
      </c>
      <c r="P74" s="4">
        <f t="shared" si="1"/>
        <v>142.69999999999999</v>
      </c>
      <c r="Q74" s="1" t="s">
        <v>14</v>
      </c>
      <c r="R74" s="44">
        <v>100</v>
      </c>
      <c r="S74" s="47">
        <v>500</v>
      </c>
      <c r="T74" s="4"/>
    </row>
    <row r="75" spans="1:20" x14ac:dyDescent="0.25">
      <c r="A75" s="7">
        <v>72</v>
      </c>
      <c r="D75" s="22" t="s">
        <v>100</v>
      </c>
      <c r="E75" s="10"/>
      <c r="F75" s="10"/>
      <c r="G75" s="28"/>
      <c r="H75" s="12">
        <v>0</v>
      </c>
      <c r="I75" s="8" t="s">
        <v>2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4">
        <f t="shared" si="1"/>
        <v>0</v>
      </c>
      <c r="R75" s="44">
        <v>0</v>
      </c>
      <c r="S75" s="46"/>
      <c r="T75" s="4"/>
    </row>
    <row r="76" spans="1:20" x14ac:dyDescent="0.25">
      <c r="A76" s="7">
        <v>73</v>
      </c>
      <c r="D76" s="37" t="s">
        <v>113</v>
      </c>
      <c r="E76" s="17"/>
      <c r="F76" s="17"/>
      <c r="G76" s="33"/>
      <c r="H76" s="12">
        <v>276</v>
      </c>
      <c r="I76" s="8" t="s">
        <v>97</v>
      </c>
      <c r="J76" s="3">
        <v>0</v>
      </c>
      <c r="K76" s="3">
        <v>27.6</v>
      </c>
      <c r="L76" s="3">
        <v>0</v>
      </c>
      <c r="M76" s="3">
        <v>0</v>
      </c>
      <c r="N76" s="3">
        <v>30.6</v>
      </c>
      <c r="O76" s="3">
        <v>0</v>
      </c>
      <c r="P76" s="4">
        <f t="shared" si="1"/>
        <v>217.8</v>
      </c>
      <c r="Q76" s="65" t="s">
        <v>121</v>
      </c>
      <c r="R76" s="44">
        <v>30</v>
      </c>
      <c r="S76" s="47">
        <v>100</v>
      </c>
      <c r="T76" s="4"/>
    </row>
    <row r="77" spans="1:20" x14ac:dyDescent="0.25">
      <c r="A77" s="7">
        <v>74</v>
      </c>
      <c r="D77" s="22" t="s">
        <v>103</v>
      </c>
      <c r="E77" s="10"/>
      <c r="F77" s="10"/>
      <c r="G77" s="28"/>
      <c r="H77" s="12">
        <v>248</v>
      </c>
      <c r="I77" s="8" t="s">
        <v>2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4">
        <f t="shared" si="1"/>
        <v>248</v>
      </c>
      <c r="R77" s="44">
        <v>60</v>
      </c>
      <c r="S77" s="47">
        <v>100</v>
      </c>
      <c r="T77" s="4"/>
    </row>
    <row r="78" spans="1:20" x14ac:dyDescent="0.25">
      <c r="A78" s="8">
        <v>75</v>
      </c>
      <c r="D78" s="49" t="s">
        <v>108</v>
      </c>
      <c r="E78" s="20"/>
      <c r="F78" s="20"/>
      <c r="G78" s="20"/>
      <c r="H78" s="12">
        <v>2500</v>
      </c>
      <c r="I78" s="8" t="s">
        <v>110</v>
      </c>
      <c r="J78" s="3">
        <v>2500</v>
      </c>
      <c r="K78" s="3">
        <v>500</v>
      </c>
      <c r="L78" s="3">
        <v>700</v>
      </c>
      <c r="M78" s="3">
        <v>1300</v>
      </c>
      <c r="N78" s="3">
        <v>1000</v>
      </c>
      <c r="O78" s="3">
        <v>1000</v>
      </c>
      <c r="P78" s="4">
        <f t="shared" si="1"/>
        <v>500</v>
      </c>
      <c r="R78" s="43">
        <v>1000</v>
      </c>
      <c r="S78" s="46">
        <v>10000</v>
      </c>
      <c r="T78" s="4"/>
    </row>
    <row r="79" spans="1:20" x14ac:dyDescent="0.25">
      <c r="A79" s="48">
        <v>76</v>
      </c>
      <c r="B79" s="41"/>
      <c r="C79" s="41"/>
      <c r="D79" s="22" t="s">
        <v>115</v>
      </c>
      <c r="E79" s="10"/>
      <c r="F79" s="10"/>
      <c r="G79" s="11"/>
      <c r="H79" s="12">
        <v>100</v>
      </c>
      <c r="I79" s="62" t="s">
        <v>2</v>
      </c>
      <c r="J79" s="3">
        <v>0</v>
      </c>
      <c r="K79" s="3">
        <v>8</v>
      </c>
      <c r="L79" s="3">
        <v>14</v>
      </c>
      <c r="M79" s="3">
        <v>0</v>
      </c>
      <c r="N79" s="3">
        <v>0</v>
      </c>
      <c r="O79" s="3">
        <v>0</v>
      </c>
      <c r="P79" s="64">
        <f t="shared" si="1"/>
        <v>78</v>
      </c>
      <c r="R79" s="64">
        <v>50</v>
      </c>
      <c r="S79" s="64">
        <v>100</v>
      </c>
      <c r="T79" s="4" t="s">
        <v>14</v>
      </c>
    </row>
    <row r="80" spans="1:20" x14ac:dyDescent="0.25">
      <c r="A80" s="73">
        <v>77</v>
      </c>
      <c r="B80" s="41"/>
      <c r="C80" s="41"/>
      <c r="D80" s="49" t="s">
        <v>134</v>
      </c>
      <c r="E80" s="35"/>
      <c r="F80" s="35"/>
      <c r="G80" s="60"/>
      <c r="H80" s="12">
        <v>77</v>
      </c>
      <c r="I80" s="8" t="s">
        <v>2</v>
      </c>
      <c r="J80" s="3">
        <v>0</v>
      </c>
      <c r="K80" s="3">
        <v>16</v>
      </c>
      <c r="L80" s="3">
        <v>0</v>
      </c>
      <c r="M80" s="3">
        <v>0</v>
      </c>
      <c r="N80" s="3">
        <v>0</v>
      </c>
      <c r="O80" s="3">
        <v>0</v>
      </c>
      <c r="P80" s="4">
        <f t="shared" si="1"/>
        <v>61</v>
      </c>
      <c r="Q80" s="4"/>
      <c r="R80" s="4">
        <v>20</v>
      </c>
      <c r="S80" s="4">
        <v>50</v>
      </c>
      <c r="T80" s="4"/>
    </row>
    <row r="81" spans="1:20" x14ac:dyDescent="0.25">
      <c r="A81" s="8">
        <v>78</v>
      </c>
      <c r="D81" s="22" t="s">
        <v>123</v>
      </c>
      <c r="E81" s="10"/>
      <c r="F81" s="10"/>
      <c r="G81" s="11"/>
      <c r="H81" s="12">
        <v>2500</v>
      </c>
      <c r="I81" s="8" t="s">
        <v>2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  <c r="P81" s="4">
        <f t="shared" si="1"/>
        <v>2500</v>
      </c>
      <c r="Q81" s="4"/>
      <c r="R81" s="4">
        <v>100</v>
      </c>
      <c r="S81" s="4">
        <v>500</v>
      </c>
      <c r="T81" s="4"/>
    </row>
    <row r="82" spans="1:20" x14ac:dyDescent="0.25">
      <c r="A82" s="48">
        <v>79</v>
      </c>
      <c r="B82" s="41"/>
      <c r="C82" s="41"/>
      <c r="D82" s="22" t="s">
        <v>154</v>
      </c>
      <c r="E82" s="10"/>
      <c r="F82" s="10"/>
      <c r="G82" s="11"/>
      <c r="H82" s="4">
        <v>15</v>
      </c>
      <c r="I82" s="8" t="s">
        <v>2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  <c r="P82" s="4">
        <f t="shared" si="1"/>
        <v>15</v>
      </c>
      <c r="Q82" s="4"/>
      <c r="R82" s="4"/>
      <c r="S82" s="4"/>
      <c r="T82" s="4"/>
    </row>
    <row r="83" spans="1:20" x14ac:dyDescent="0.25">
      <c r="A83" s="48">
        <v>80</v>
      </c>
      <c r="B83" s="41"/>
      <c r="C83" s="41"/>
      <c r="D83" s="37" t="s">
        <v>155</v>
      </c>
      <c r="E83" s="17"/>
      <c r="F83" s="17"/>
      <c r="G83" s="18"/>
      <c r="H83" s="64">
        <v>15</v>
      </c>
      <c r="I83" s="62" t="s">
        <v>2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64">
        <f t="shared" si="1"/>
        <v>15</v>
      </c>
      <c r="Q83" s="64"/>
      <c r="R83" s="64"/>
      <c r="S83" s="64"/>
      <c r="T83" s="4"/>
    </row>
    <row r="84" spans="1:20" x14ac:dyDescent="0.25">
      <c r="A84" s="48">
        <v>81</v>
      </c>
      <c r="B84" s="11"/>
      <c r="C84" s="23"/>
      <c r="D84" s="23" t="s">
        <v>149</v>
      </c>
      <c r="E84" s="23"/>
      <c r="F84" s="23"/>
      <c r="G84" s="23"/>
      <c r="H84" s="23">
        <v>20</v>
      </c>
      <c r="I84" s="8" t="s">
        <v>2</v>
      </c>
      <c r="J84" s="3">
        <v>0</v>
      </c>
      <c r="K84" s="3">
        <v>8</v>
      </c>
      <c r="L84" s="3">
        <v>0</v>
      </c>
      <c r="M84" s="3">
        <v>0</v>
      </c>
      <c r="N84" s="3">
        <v>0</v>
      </c>
      <c r="O84" s="3">
        <v>0</v>
      </c>
      <c r="P84" s="4">
        <f t="shared" si="1"/>
        <v>12</v>
      </c>
      <c r="Q84" s="4"/>
      <c r="R84" s="4"/>
      <c r="S84" s="4"/>
      <c r="T84" s="4"/>
    </row>
    <row r="85" spans="1:20" x14ac:dyDescent="0.25">
      <c r="A85" s="8">
        <v>82</v>
      </c>
      <c r="D85" s="68" t="s">
        <v>148</v>
      </c>
      <c r="E85" s="27"/>
      <c r="F85" s="27"/>
      <c r="G85" s="28"/>
      <c r="H85" s="4">
        <v>77</v>
      </c>
      <c r="I85" s="8" t="s">
        <v>2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4">
        <f t="shared" si="1"/>
        <v>77</v>
      </c>
      <c r="Q85" s="4"/>
      <c r="R85" s="4"/>
      <c r="S85" s="4"/>
      <c r="T85" s="4"/>
    </row>
    <row r="86" spans="1:20" ht="15.75" customHeight="1" x14ac:dyDescent="0.25">
      <c r="A86" s="8">
        <v>83</v>
      </c>
      <c r="D86" s="22" t="s">
        <v>150</v>
      </c>
      <c r="E86" s="10"/>
      <c r="F86" s="27"/>
      <c r="G86" s="28"/>
      <c r="H86" s="4">
        <v>190</v>
      </c>
      <c r="I86" s="8" t="s">
        <v>2</v>
      </c>
      <c r="J86" s="3">
        <v>0</v>
      </c>
      <c r="K86" s="3">
        <v>0</v>
      </c>
      <c r="L86" s="3">
        <v>0</v>
      </c>
      <c r="M86" s="3">
        <v>0</v>
      </c>
      <c r="N86" s="3">
        <v>25</v>
      </c>
      <c r="O86" s="3">
        <v>2</v>
      </c>
      <c r="P86" s="4">
        <f t="shared" si="1"/>
        <v>163</v>
      </c>
      <c r="Q86" s="4"/>
      <c r="R86" s="4">
        <v>50</v>
      </c>
      <c r="S86" s="4">
        <v>300</v>
      </c>
      <c r="T86" s="4"/>
    </row>
    <row r="87" spans="1:20" x14ac:dyDescent="0.25">
      <c r="A87" s="8">
        <v>84</v>
      </c>
      <c r="D87" s="22" t="s">
        <v>160</v>
      </c>
      <c r="E87" s="10"/>
      <c r="F87" s="10"/>
      <c r="G87" s="11"/>
      <c r="H87" s="23">
        <v>962</v>
      </c>
      <c r="I87" s="8" t="s">
        <v>2</v>
      </c>
      <c r="J87" s="3">
        <v>0</v>
      </c>
      <c r="K87" s="3">
        <v>6</v>
      </c>
      <c r="L87" s="3">
        <v>0</v>
      </c>
      <c r="M87" s="3">
        <v>0</v>
      </c>
      <c r="N87" s="3">
        <v>0</v>
      </c>
      <c r="O87" s="3">
        <v>0</v>
      </c>
      <c r="P87" s="4">
        <f t="shared" si="1"/>
        <v>956</v>
      </c>
      <c r="Q87" s="4"/>
      <c r="R87" s="4"/>
      <c r="S87" s="4"/>
      <c r="T87" s="4"/>
    </row>
    <row r="88" spans="1:20" x14ac:dyDescent="0.25">
      <c r="A88" s="8">
        <v>85</v>
      </c>
      <c r="D88" s="49" t="s">
        <v>153</v>
      </c>
      <c r="E88" s="20"/>
      <c r="F88" s="20"/>
      <c r="G88" s="21"/>
      <c r="H88" s="23">
        <v>88</v>
      </c>
      <c r="I88" s="8" t="s">
        <v>2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4">
        <f t="shared" si="1"/>
        <v>88</v>
      </c>
      <c r="Q88" s="4"/>
      <c r="R88" s="4"/>
      <c r="S88" s="4"/>
      <c r="T88" s="4"/>
    </row>
    <row r="89" spans="1:20" x14ac:dyDescent="0.25">
      <c r="A89" s="77">
        <v>86</v>
      </c>
      <c r="D89" s="68" t="s">
        <v>162</v>
      </c>
      <c r="E89" s="27"/>
      <c r="F89" s="27"/>
      <c r="G89" s="28"/>
      <c r="H89" s="74">
        <v>50</v>
      </c>
      <c r="I89" s="75" t="s">
        <v>2</v>
      </c>
      <c r="J89" s="3">
        <v>12</v>
      </c>
      <c r="K89" s="3">
        <v>0</v>
      </c>
      <c r="L89" s="3">
        <v>0</v>
      </c>
      <c r="M89" s="3">
        <v>0</v>
      </c>
      <c r="N89" s="3">
        <v>20</v>
      </c>
      <c r="O89" s="3">
        <v>0</v>
      </c>
      <c r="P89" s="4">
        <f t="shared" si="1"/>
        <v>42</v>
      </c>
      <c r="Q89" s="4"/>
      <c r="R89" s="4"/>
      <c r="S89" s="4"/>
      <c r="T89" s="4"/>
    </row>
  </sheetData>
  <pageMargins left="0.75" right="0.75" top="1" bottom="1" header="0.5" footer="0.5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T89"/>
  <sheetViews>
    <sheetView topLeftCell="A19" workbookViewId="0">
      <selection activeCell="G24" sqref="G24"/>
    </sheetView>
  </sheetViews>
  <sheetFormatPr defaultRowHeight="15" x14ac:dyDescent="0.25"/>
  <cols>
    <col min="1" max="1" width="5.5703125" customWidth="1"/>
    <col min="2" max="3" width="9.140625" hidden="1" customWidth="1"/>
    <col min="8" max="8" width="10.140625" customWidth="1"/>
    <col min="9" max="9" width="10" customWidth="1"/>
    <col min="10" max="10" width="7.7109375" customWidth="1"/>
    <col min="11" max="11" width="10.7109375" customWidth="1"/>
    <col min="12" max="12" width="10.140625" customWidth="1"/>
    <col min="13" max="13" width="11.85546875" customWidth="1"/>
    <col min="14" max="15" width="11.7109375" customWidth="1"/>
    <col min="16" max="16" width="10.140625" customWidth="1"/>
    <col min="17" max="17" width="4.7109375" customWidth="1"/>
    <col min="18" max="18" width="12.140625" customWidth="1"/>
    <col min="19" max="19" width="10.85546875" customWidth="1"/>
    <col min="20" max="20" width="13.85546875" customWidth="1"/>
  </cols>
  <sheetData>
    <row r="1" spans="1:20" x14ac:dyDescent="0.25">
      <c r="G1" s="1"/>
      <c r="P1">
        <f>+H1+J1-K1-L1-M1-N1-O1</f>
        <v>0</v>
      </c>
    </row>
    <row r="2" spans="1:20" x14ac:dyDescent="0.25">
      <c r="A2" t="s">
        <v>14</v>
      </c>
      <c r="D2" s="78">
        <v>45139</v>
      </c>
      <c r="O2" s="38" t="s">
        <v>14</v>
      </c>
      <c r="S2" s="50">
        <v>44837</v>
      </c>
    </row>
    <row r="3" spans="1:20" x14ac:dyDescent="0.25">
      <c r="A3" s="3" t="s">
        <v>15</v>
      </c>
      <c r="D3" s="9" t="s">
        <v>17</v>
      </c>
      <c r="E3" s="10"/>
      <c r="F3" s="10"/>
      <c r="G3" s="11"/>
      <c r="H3" s="12" t="s">
        <v>18</v>
      </c>
      <c r="I3" s="4" t="s">
        <v>19</v>
      </c>
      <c r="J3" s="3" t="s">
        <v>20</v>
      </c>
      <c r="K3" s="5">
        <v>45174</v>
      </c>
      <c r="L3" s="6">
        <v>45180</v>
      </c>
      <c r="M3" s="5">
        <v>45189</v>
      </c>
      <c r="N3" s="5">
        <v>45194</v>
      </c>
      <c r="O3" s="6">
        <v>45199</v>
      </c>
      <c r="P3" s="3" t="s">
        <v>21</v>
      </c>
      <c r="R3" s="42" t="s">
        <v>105</v>
      </c>
      <c r="S3" s="45" t="s">
        <v>104</v>
      </c>
      <c r="T3" s="4"/>
    </row>
    <row r="4" spans="1:20" x14ac:dyDescent="0.25">
      <c r="A4" s="7">
        <v>1</v>
      </c>
      <c r="D4" s="13" t="s">
        <v>16</v>
      </c>
      <c r="E4" s="14"/>
      <c r="F4" s="14"/>
      <c r="G4" s="15"/>
      <c r="H4" s="12">
        <v>509</v>
      </c>
      <c r="I4" s="7" t="s">
        <v>1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4">
        <f t="shared" ref="P4:P67" si="0">+H4+J4-K4-L4-M4-N4-O4</f>
        <v>509</v>
      </c>
      <c r="Q4" t="s">
        <v>67</v>
      </c>
      <c r="R4" s="43">
        <v>100</v>
      </c>
      <c r="S4" s="46">
        <v>500</v>
      </c>
      <c r="T4" s="4" t="s">
        <v>14</v>
      </c>
    </row>
    <row r="5" spans="1:20" x14ac:dyDescent="0.25">
      <c r="A5" s="7">
        <v>2</v>
      </c>
      <c r="D5" s="9" t="s">
        <v>22</v>
      </c>
      <c r="E5" s="10"/>
      <c r="F5" s="10"/>
      <c r="G5" s="11"/>
      <c r="H5" s="12">
        <v>15</v>
      </c>
      <c r="I5" s="7" t="s">
        <v>2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4">
        <f t="shared" si="0"/>
        <v>15</v>
      </c>
      <c r="Q5" s="1" t="s">
        <v>14</v>
      </c>
      <c r="R5" s="44">
        <v>6</v>
      </c>
      <c r="S5" s="47">
        <v>10</v>
      </c>
      <c r="T5" s="4"/>
    </row>
    <row r="6" spans="1:20" x14ac:dyDescent="0.25">
      <c r="A6" s="7">
        <v>3</v>
      </c>
      <c r="D6" s="16" t="s">
        <v>23</v>
      </c>
      <c r="E6" s="17"/>
      <c r="F6" s="17"/>
      <c r="G6" s="18"/>
      <c r="H6" s="12">
        <v>54</v>
      </c>
      <c r="I6" s="7" t="s">
        <v>2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4">
        <f t="shared" si="0"/>
        <v>54</v>
      </c>
      <c r="Q6" s="1" t="s">
        <v>14</v>
      </c>
      <c r="R6" s="44">
        <v>6</v>
      </c>
      <c r="S6" s="47">
        <v>10</v>
      </c>
      <c r="T6" s="4"/>
    </row>
    <row r="7" spans="1:20" x14ac:dyDescent="0.25">
      <c r="A7" s="7">
        <v>4</v>
      </c>
      <c r="D7" s="9" t="s">
        <v>3</v>
      </c>
      <c r="E7" s="10"/>
      <c r="F7" s="10"/>
      <c r="G7" s="11"/>
      <c r="H7" s="12">
        <v>30</v>
      </c>
      <c r="I7" s="7" t="s">
        <v>2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4">
        <f t="shared" si="0"/>
        <v>30</v>
      </c>
      <c r="Q7" s="1" t="s">
        <v>14</v>
      </c>
      <c r="R7" s="44">
        <v>6</v>
      </c>
      <c r="S7" s="47">
        <v>10</v>
      </c>
      <c r="T7" s="4"/>
    </row>
    <row r="8" spans="1:20" x14ac:dyDescent="0.25">
      <c r="A8" s="7">
        <v>5</v>
      </c>
      <c r="D8" s="16" t="s">
        <v>139</v>
      </c>
      <c r="E8" s="17"/>
      <c r="F8" s="17"/>
      <c r="G8" s="18"/>
      <c r="H8" s="12">
        <v>271</v>
      </c>
      <c r="I8" s="7" t="s">
        <v>2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4">
        <f t="shared" si="0"/>
        <v>271</v>
      </c>
      <c r="Q8" s="1" t="s">
        <v>14</v>
      </c>
      <c r="R8" s="44">
        <v>100</v>
      </c>
      <c r="S8" s="47">
        <v>400</v>
      </c>
      <c r="T8" s="4"/>
    </row>
    <row r="9" spans="1:20" x14ac:dyDescent="0.25">
      <c r="A9" s="7">
        <v>6</v>
      </c>
      <c r="D9" s="9" t="s">
        <v>24</v>
      </c>
      <c r="E9" s="10"/>
      <c r="F9" s="10"/>
      <c r="G9" s="11"/>
      <c r="H9" s="12">
        <v>328</v>
      </c>
      <c r="I9" s="7" t="s">
        <v>2</v>
      </c>
      <c r="J9" s="3">
        <v>0</v>
      </c>
      <c r="K9" s="3">
        <v>0</v>
      </c>
      <c r="L9" s="3">
        <v>12</v>
      </c>
      <c r="M9" s="3">
        <v>0</v>
      </c>
      <c r="N9" s="3">
        <v>10</v>
      </c>
      <c r="O9" s="3">
        <v>0</v>
      </c>
      <c r="P9" s="4">
        <f t="shared" si="0"/>
        <v>306</v>
      </c>
      <c r="Q9" s="1" t="s">
        <v>14</v>
      </c>
      <c r="R9" s="44">
        <v>60</v>
      </c>
      <c r="S9" s="47">
        <v>200</v>
      </c>
      <c r="T9" s="4"/>
    </row>
    <row r="10" spans="1:20" x14ac:dyDescent="0.25">
      <c r="A10" s="7">
        <v>7</v>
      </c>
      <c r="D10" s="16" t="s">
        <v>101</v>
      </c>
      <c r="E10" s="17"/>
      <c r="F10" s="17"/>
      <c r="G10" s="18"/>
      <c r="H10" s="12">
        <v>2020</v>
      </c>
      <c r="I10" s="7" t="s">
        <v>2</v>
      </c>
      <c r="J10" s="3">
        <v>0</v>
      </c>
      <c r="K10" s="3">
        <v>60</v>
      </c>
      <c r="L10" s="3">
        <v>0</v>
      </c>
      <c r="M10" s="3">
        <v>220</v>
      </c>
      <c r="N10" s="3">
        <v>200</v>
      </c>
      <c r="O10" s="3">
        <v>140</v>
      </c>
      <c r="P10" s="4">
        <f t="shared" si="0"/>
        <v>1400</v>
      </c>
      <c r="Q10" s="1" t="s">
        <v>14</v>
      </c>
      <c r="R10" s="44">
        <v>200</v>
      </c>
      <c r="S10" s="47">
        <v>500</v>
      </c>
      <c r="T10" s="4"/>
    </row>
    <row r="11" spans="1:20" x14ac:dyDescent="0.25">
      <c r="A11" s="7">
        <v>8</v>
      </c>
      <c r="D11" s="9" t="s">
        <v>25</v>
      </c>
      <c r="E11" s="10"/>
      <c r="F11" s="10"/>
      <c r="G11" s="11"/>
      <c r="H11" s="12">
        <v>372</v>
      </c>
      <c r="I11" s="7" t="s">
        <v>2</v>
      </c>
      <c r="J11" s="3">
        <v>0</v>
      </c>
      <c r="K11" s="3">
        <v>8</v>
      </c>
      <c r="L11" s="3">
        <v>0</v>
      </c>
      <c r="M11" s="3">
        <v>0</v>
      </c>
      <c r="N11" s="3">
        <v>0</v>
      </c>
      <c r="O11" s="3">
        <v>0</v>
      </c>
      <c r="P11" s="4">
        <f t="shared" si="0"/>
        <v>364</v>
      </c>
      <c r="Q11" s="1" t="s">
        <v>14</v>
      </c>
      <c r="R11" s="44">
        <v>0</v>
      </c>
      <c r="S11" s="47">
        <v>0</v>
      </c>
      <c r="T11" s="4"/>
    </row>
    <row r="12" spans="1:20" x14ac:dyDescent="0.25">
      <c r="A12" s="7">
        <v>9</v>
      </c>
      <c r="D12" s="16" t="s">
        <v>26</v>
      </c>
      <c r="E12" s="17"/>
      <c r="F12" s="17"/>
      <c r="G12" s="18"/>
      <c r="H12" s="12">
        <v>0</v>
      </c>
      <c r="I12" s="7" t="s">
        <v>2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4">
        <f t="shared" si="0"/>
        <v>0</v>
      </c>
      <c r="Q12" s="1" t="s">
        <v>14</v>
      </c>
      <c r="R12" s="44">
        <v>200</v>
      </c>
      <c r="S12" s="47">
        <v>400</v>
      </c>
      <c r="T12" s="4"/>
    </row>
    <row r="13" spans="1:20" x14ac:dyDescent="0.25">
      <c r="A13" s="7">
        <v>10</v>
      </c>
      <c r="D13" s="9" t="s">
        <v>6</v>
      </c>
      <c r="E13" s="10"/>
      <c r="F13" s="10"/>
      <c r="G13" s="11"/>
      <c r="H13" s="12">
        <v>60</v>
      </c>
      <c r="I13" s="7" t="s">
        <v>2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4">
        <f t="shared" si="0"/>
        <v>60</v>
      </c>
      <c r="Q13" s="1" t="s">
        <v>14</v>
      </c>
      <c r="R13" s="44">
        <v>0</v>
      </c>
      <c r="S13" s="46"/>
      <c r="T13" s="4"/>
    </row>
    <row r="14" spans="1:20" x14ac:dyDescent="0.25">
      <c r="A14" s="7">
        <v>11</v>
      </c>
      <c r="D14" s="16" t="s">
        <v>7</v>
      </c>
      <c r="E14" s="17"/>
      <c r="F14" s="17"/>
      <c r="G14" s="18"/>
      <c r="H14" s="12">
        <v>6</v>
      </c>
      <c r="I14" s="7" t="s">
        <v>2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4">
        <f t="shared" si="0"/>
        <v>6</v>
      </c>
      <c r="Q14" s="1" t="s">
        <v>14</v>
      </c>
      <c r="R14" s="44">
        <v>20</v>
      </c>
      <c r="S14" s="47">
        <v>50</v>
      </c>
      <c r="T14" s="4"/>
    </row>
    <row r="15" spans="1:20" x14ac:dyDescent="0.25">
      <c r="A15" s="7">
        <v>12</v>
      </c>
      <c r="D15" s="9" t="s">
        <v>69</v>
      </c>
      <c r="E15" s="10"/>
      <c r="F15" s="10"/>
      <c r="G15" s="11"/>
      <c r="H15" s="12">
        <v>24</v>
      </c>
      <c r="I15" s="7" t="s">
        <v>2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4">
        <f t="shared" si="0"/>
        <v>24</v>
      </c>
      <c r="Q15" s="1" t="s">
        <v>14</v>
      </c>
      <c r="R15" s="44">
        <v>100</v>
      </c>
      <c r="S15" s="47">
        <v>200</v>
      </c>
      <c r="T15" s="4"/>
    </row>
    <row r="16" spans="1:20" x14ac:dyDescent="0.25">
      <c r="A16" s="7">
        <v>13</v>
      </c>
      <c r="D16" s="16" t="s">
        <v>27</v>
      </c>
      <c r="E16" s="17"/>
      <c r="F16" s="17"/>
      <c r="G16" s="18"/>
      <c r="H16" s="12">
        <v>0</v>
      </c>
      <c r="I16" s="7" t="s">
        <v>2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4">
        <f t="shared" si="0"/>
        <v>0</v>
      </c>
      <c r="Q16" s="1" t="s">
        <v>14</v>
      </c>
      <c r="R16" s="44">
        <v>0</v>
      </c>
      <c r="S16" s="46"/>
      <c r="T16" s="4"/>
    </row>
    <row r="17" spans="1:20" x14ac:dyDescent="0.25">
      <c r="A17" s="7">
        <v>14</v>
      </c>
      <c r="D17" s="9" t="s">
        <v>73</v>
      </c>
      <c r="E17" s="10"/>
      <c r="F17" s="10"/>
      <c r="G17" s="11"/>
      <c r="H17" s="12">
        <v>794</v>
      </c>
      <c r="I17" s="7" t="s">
        <v>2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4">
        <f t="shared" si="0"/>
        <v>794</v>
      </c>
      <c r="Q17" s="1" t="s">
        <v>14</v>
      </c>
      <c r="R17" s="44">
        <v>0</v>
      </c>
      <c r="S17" s="46"/>
      <c r="T17" s="4"/>
    </row>
    <row r="18" spans="1:20" x14ac:dyDescent="0.25">
      <c r="A18" s="7">
        <v>15</v>
      </c>
      <c r="D18" s="16" t="s">
        <v>28</v>
      </c>
      <c r="E18" s="17"/>
      <c r="F18" s="17"/>
      <c r="G18" s="18"/>
      <c r="H18" s="12">
        <v>37</v>
      </c>
      <c r="I18" s="7" t="s">
        <v>2</v>
      </c>
      <c r="J18" s="3">
        <v>50</v>
      </c>
      <c r="K18" s="3">
        <v>19</v>
      </c>
      <c r="L18" s="3">
        <v>8</v>
      </c>
      <c r="M18" s="3">
        <v>2</v>
      </c>
      <c r="N18" s="3">
        <v>1</v>
      </c>
      <c r="O18" s="3">
        <v>0</v>
      </c>
      <c r="P18" s="4">
        <f t="shared" si="0"/>
        <v>57</v>
      </c>
      <c r="Q18" s="1" t="s">
        <v>14</v>
      </c>
      <c r="R18" s="44">
        <v>20</v>
      </c>
      <c r="S18" s="47">
        <v>50</v>
      </c>
      <c r="T18" s="4"/>
    </row>
    <row r="19" spans="1:20" x14ac:dyDescent="0.25">
      <c r="A19" s="7">
        <v>16</v>
      </c>
      <c r="D19" s="9" t="s">
        <v>29</v>
      </c>
      <c r="E19" s="10"/>
      <c r="F19" s="10"/>
      <c r="G19" s="11"/>
      <c r="H19" s="12">
        <v>38</v>
      </c>
      <c r="I19" s="7" t="s">
        <v>2</v>
      </c>
      <c r="J19" s="3">
        <v>50</v>
      </c>
      <c r="K19" s="3">
        <v>19</v>
      </c>
      <c r="L19" s="3">
        <v>8</v>
      </c>
      <c r="M19" s="3">
        <v>3</v>
      </c>
      <c r="N19" s="3">
        <v>1</v>
      </c>
      <c r="O19" s="3">
        <v>0</v>
      </c>
      <c r="P19" s="4">
        <f t="shared" si="0"/>
        <v>57</v>
      </c>
      <c r="Q19" s="1" t="s">
        <v>14</v>
      </c>
      <c r="R19" s="44">
        <v>20</v>
      </c>
      <c r="S19" s="47">
        <v>50</v>
      </c>
      <c r="T19" s="4"/>
    </row>
    <row r="20" spans="1:20" x14ac:dyDescent="0.25">
      <c r="A20" s="7">
        <v>17</v>
      </c>
      <c r="D20" s="16" t="s">
        <v>30</v>
      </c>
      <c r="E20" s="17"/>
      <c r="F20" s="17"/>
      <c r="G20" s="18"/>
      <c r="H20" s="12">
        <v>38</v>
      </c>
      <c r="I20" s="7" t="s">
        <v>2</v>
      </c>
      <c r="J20" s="3">
        <v>50</v>
      </c>
      <c r="K20" s="3">
        <v>19</v>
      </c>
      <c r="L20" s="3">
        <v>8</v>
      </c>
      <c r="M20" s="3">
        <v>2</v>
      </c>
      <c r="N20" s="3">
        <v>1</v>
      </c>
      <c r="O20" s="3">
        <v>0</v>
      </c>
      <c r="P20" s="4">
        <f t="shared" si="0"/>
        <v>58</v>
      </c>
      <c r="Q20" s="1" t="s">
        <v>14</v>
      </c>
      <c r="R20" s="44">
        <v>20</v>
      </c>
      <c r="S20" s="47">
        <v>50</v>
      </c>
      <c r="T20" s="4"/>
    </row>
    <row r="21" spans="1:20" x14ac:dyDescent="0.25">
      <c r="A21" s="7">
        <v>18</v>
      </c>
      <c r="D21" s="9" t="s">
        <v>129</v>
      </c>
      <c r="E21" s="10"/>
      <c r="F21" s="10"/>
      <c r="G21" s="11"/>
      <c r="H21" s="12">
        <v>2</v>
      </c>
      <c r="I21" s="7" t="s">
        <v>2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4">
        <f t="shared" si="0"/>
        <v>2</v>
      </c>
      <c r="Q21" s="1" t="s">
        <v>14</v>
      </c>
      <c r="R21" s="44">
        <v>0</v>
      </c>
      <c r="S21" s="46"/>
      <c r="T21" s="4"/>
    </row>
    <row r="22" spans="1:20" x14ac:dyDescent="0.25">
      <c r="A22" s="7">
        <v>19</v>
      </c>
      <c r="D22" s="55" t="s">
        <v>164</v>
      </c>
      <c r="E22" s="56"/>
      <c r="F22" s="56"/>
      <c r="G22" s="57"/>
      <c r="H22" s="12">
        <v>0</v>
      </c>
      <c r="I22" s="59" t="s">
        <v>1</v>
      </c>
      <c r="J22" s="3">
        <v>150</v>
      </c>
      <c r="K22" s="3">
        <v>10</v>
      </c>
      <c r="L22" s="3">
        <v>30</v>
      </c>
      <c r="M22" s="3">
        <v>25</v>
      </c>
      <c r="N22" s="3">
        <v>15</v>
      </c>
      <c r="O22" s="3">
        <v>20</v>
      </c>
      <c r="P22" s="46">
        <f t="shared" si="0"/>
        <v>50</v>
      </c>
      <c r="Q22" s="1" t="s">
        <v>14</v>
      </c>
      <c r="R22" s="44">
        <v>50</v>
      </c>
      <c r="S22" s="47">
        <v>200</v>
      </c>
      <c r="T22" s="4"/>
    </row>
    <row r="23" spans="1:20" x14ac:dyDescent="0.25">
      <c r="A23" s="7">
        <v>20</v>
      </c>
      <c r="D23" s="9" t="s">
        <v>32</v>
      </c>
      <c r="E23" s="10"/>
      <c r="F23" s="10"/>
      <c r="G23" s="11"/>
      <c r="H23" s="12">
        <v>850</v>
      </c>
      <c r="I23" s="7" t="s">
        <v>2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4">
        <f t="shared" si="0"/>
        <v>850</v>
      </c>
      <c r="Q23" s="1" t="s">
        <v>14</v>
      </c>
      <c r="R23" s="44">
        <v>0</v>
      </c>
      <c r="S23" s="46"/>
      <c r="T23" s="4"/>
    </row>
    <row r="24" spans="1:20" x14ac:dyDescent="0.25">
      <c r="A24" s="7">
        <v>21</v>
      </c>
      <c r="D24" s="16" t="s">
        <v>140</v>
      </c>
      <c r="E24" s="17"/>
      <c r="F24" s="17"/>
      <c r="G24" s="18"/>
      <c r="H24" s="12">
        <v>232</v>
      </c>
      <c r="I24" s="7" t="s">
        <v>2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4">
        <f t="shared" si="0"/>
        <v>232</v>
      </c>
      <c r="Q24" s="1" t="s">
        <v>14</v>
      </c>
      <c r="R24" s="44">
        <v>0</v>
      </c>
      <c r="S24" s="46"/>
      <c r="T24" s="4"/>
    </row>
    <row r="25" spans="1:20" x14ac:dyDescent="0.25">
      <c r="A25" s="7">
        <v>22</v>
      </c>
      <c r="D25" s="9" t="s">
        <v>34</v>
      </c>
      <c r="E25" s="10"/>
      <c r="F25" s="10"/>
      <c r="G25" s="11"/>
      <c r="H25" s="12">
        <v>0</v>
      </c>
      <c r="I25" s="7" t="s">
        <v>2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4">
        <f t="shared" si="0"/>
        <v>0</v>
      </c>
      <c r="Q25" s="1" t="s">
        <v>14</v>
      </c>
      <c r="R25" s="44">
        <v>0</v>
      </c>
      <c r="S25" s="46"/>
      <c r="T25" s="4"/>
    </row>
    <row r="26" spans="1:20" x14ac:dyDescent="0.25">
      <c r="A26" s="7">
        <v>23</v>
      </c>
      <c r="D26" s="16" t="s">
        <v>142</v>
      </c>
      <c r="E26" s="17"/>
      <c r="F26" s="17"/>
      <c r="G26" s="18"/>
      <c r="H26" s="12">
        <v>77</v>
      </c>
      <c r="I26" s="7" t="s">
        <v>2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4">
        <f t="shared" si="0"/>
        <v>77</v>
      </c>
      <c r="Q26" s="1" t="s">
        <v>14</v>
      </c>
      <c r="R26" s="44">
        <v>20</v>
      </c>
      <c r="S26" s="47">
        <v>50</v>
      </c>
      <c r="T26" s="4"/>
    </row>
    <row r="27" spans="1:20" x14ac:dyDescent="0.25">
      <c r="A27" s="7">
        <v>24</v>
      </c>
      <c r="D27" s="9" t="s">
        <v>141</v>
      </c>
      <c r="E27" s="10"/>
      <c r="F27" s="10"/>
      <c r="G27" s="11"/>
      <c r="H27" s="12">
        <v>0</v>
      </c>
      <c r="I27" s="7" t="s">
        <v>2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  <c r="P27" s="4">
        <f t="shared" si="0"/>
        <v>0</v>
      </c>
      <c r="Q27" s="1"/>
      <c r="R27" s="44">
        <v>20</v>
      </c>
      <c r="S27" s="47">
        <v>50</v>
      </c>
      <c r="T27" s="4"/>
    </row>
    <row r="28" spans="1:20" x14ac:dyDescent="0.25">
      <c r="A28" s="7">
        <v>25</v>
      </c>
      <c r="D28" s="9" t="s">
        <v>137</v>
      </c>
      <c r="E28" s="10"/>
      <c r="F28" s="10"/>
      <c r="G28" s="11"/>
      <c r="H28" s="12">
        <v>123</v>
      </c>
      <c r="I28" s="7" t="s">
        <v>2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4">
        <f t="shared" si="0"/>
        <v>123</v>
      </c>
      <c r="Q28" s="1" t="s">
        <v>14</v>
      </c>
      <c r="R28" s="44">
        <v>20</v>
      </c>
      <c r="S28" s="47">
        <v>50</v>
      </c>
      <c r="T28" s="4"/>
    </row>
    <row r="29" spans="1:20" x14ac:dyDescent="0.25">
      <c r="A29" s="7">
        <v>26</v>
      </c>
      <c r="D29" s="9" t="s">
        <v>138</v>
      </c>
      <c r="E29" s="10"/>
      <c r="F29" s="10"/>
      <c r="G29" s="11"/>
      <c r="H29" s="12">
        <v>168</v>
      </c>
      <c r="I29" s="7" t="s">
        <v>2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4">
        <f t="shared" si="0"/>
        <v>168</v>
      </c>
      <c r="Q29" s="1"/>
      <c r="R29" s="44"/>
      <c r="S29" s="47"/>
      <c r="T29" s="4"/>
    </row>
    <row r="30" spans="1:20" x14ac:dyDescent="0.25">
      <c r="A30" s="7">
        <v>27</v>
      </c>
      <c r="D30" s="16" t="s">
        <v>35</v>
      </c>
      <c r="E30" s="17"/>
      <c r="F30" s="17"/>
      <c r="G30" s="18"/>
      <c r="H30" s="12">
        <v>420</v>
      </c>
      <c r="I30" s="7" t="s">
        <v>2</v>
      </c>
      <c r="J30" s="3">
        <v>0</v>
      </c>
      <c r="K30" s="3">
        <v>0</v>
      </c>
      <c r="L30" s="3">
        <v>0</v>
      </c>
      <c r="M30" s="3">
        <v>0</v>
      </c>
      <c r="N30" s="3">
        <v>1</v>
      </c>
      <c r="O30" s="3">
        <v>0</v>
      </c>
      <c r="P30" s="4">
        <f t="shared" si="0"/>
        <v>419</v>
      </c>
      <c r="Q30" s="1" t="s">
        <v>14</v>
      </c>
      <c r="R30" s="44">
        <v>50</v>
      </c>
      <c r="S30" s="47">
        <v>100</v>
      </c>
      <c r="T30" s="4"/>
    </row>
    <row r="31" spans="1:20" x14ac:dyDescent="0.25">
      <c r="A31" s="7">
        <v>28</v>
      </c>
      <c r="D31" s="9" t="s">
        <v>36</v>
      </c>
      <c r="E31" s="10"/>
      <c r="F31" s="10"/>
      <c r="G31" s="11"/>
      <c r="H31" s="12">
        <v>175</v>
      </c>
      <c r="I31" s="7" t="s">
        <v>2</v>
      </c>
      <c r="J31" s="3">
        <v>0</v>
      </c>
      <c r="K31" s="3">
        <v>0</v>
      </c>
      <c r="L31" s="3">
        <v>0</v>
      </c>
      <c r="M31" s="3">
        <v>0</v>
      </c>
      <c r="N31" s="3">
        <v>1</v>
      </c>
      <c r="O31" s="3">
        <v>0</v>
      </c>
      <c r="P31" s="4">
        <f t="shared" si="0"/>
        <v>174</v>
      </c>
      <c r="Q31" s="1" t="s">
        <v>14</v>
      </c>
      <c r="R31" s="44">
        <v>50</v>
      </c>
      <c r="S31" s="47">
        <v>100</v>
      </c>
      <c r="T31" s="4"/>
    </row>
    <row r="32" spans="1:20" x14ac:dyDescent="0.25">
      <c r="A32" s="7">
        <v>29</v>
      </c>
      <c r="D32" s="16" t="s">
        <v>37</v>
      </c>
      <c r="E32" s="17"/>
      <c r="F32" s="17"/>
      <c r="G32" s="18"/>
      <c r="H32" s="12">
        <v>255</v>
      </c>
      <c r="I32" s="7" t="s">
        <v>2</v>
      </c>
      <c r="J32" s="3">
        <v>0</v>
      </c>
      <c r="K32" s="3">
        <v>0</v>
      </c>
      <c r="L32" s="3">
        <v>0</v>
      </c>
      <c r="M32" s="3">
        <v>0</v>
      </c>
      <c r="N32" s="3">
        <v>35</v>
      </c>
      <c r="O32" s="3">
        <v>0</v>
      </c>
      <c r="P32" s="4">
        <f t="shared" si="0"/>
        <v>220</v>
      </c>
      <c r="Q32" s="1" t="s">
        <v>14</v>
      </c>
      <c r="R32" s="44">
        <v>20</v>
      </c>
      <c r="S32" s="47">
        <v>50</v>
      </c>
      <c r="T32" s="4"/>
    </row>
    <row r="33" spans="1:20" x14ac:dyDescent="0.25">
      <c r="A33" s="7">
        <v>30</v>
      </c>
      <c r="D33" s="9" t="s">
        <v>38</v>
      </c>
      <c r="E33" s="10"/>
      <c r="F33" s="10"/>
      <c r="G33" s="11"/>
      <c r="H33" s="12">
        <v>0</v>
      </c>
      <c r="I33" s="7" t="s">
        <v>2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4">
        <f t="shared" si="0"/>
        <v>0</v>
      </c>
      <c r="Q33" s="1" t="s">
        <v>14</v>
      </c>
      <c r="R33" s="44">
        <v>50</v>
      </c>
      <c r="S33" s="47">
        <v>100</v>
      </c>
      <c r="T33" s="4"/>
    </row>
    <row r="34" spans="1:20" x14ac:dyDescent="0.25">
      <c r="A34" s="7">
        <v>31</v>
      </c>
      <c r="D34" s="16" t="s">
        <v>39</v>
      </c>
      <c r="E34" s="17"/>
      <c r="F34" s="17"/>
      <c r="G34" s="18"/>
      <c r="H34" s="12">
        <v>4</v>
      </c>
      <c r="I34" s="7" t="s">
        <v>2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4">
        <f t="shared" si="0"/>
        <v>4</v>
      </c>
      <c r="Q34" s="1" t="s">
        <v>14</v>
      </c>
      <c r="R34" s="44">
        <v>20</v>
      </c>
      <c r="S34" s="47">
        <v>50</v>
      </c>
      <c r="T34" s="4"/>
    </row>
    <row r="35" spans="1:20" x14ac:dyDescent="0.25">
      <c r="A35" s="7">
        <v>32</v>
      </c>
      <c r="D35" s="9" t="s">
        <v>40</v>
      </c>
      <c r="E35" s="10"/>
      <c r="F35" s="10"/>
      <c r="G35" s="11"/>
      <c r="H35" s="12">
        <f>'ARALIK 3 HAFTA '!P33</f>
        <v>1075</v>
      </c>
      <c r="I35" s="7" t="s">
        <v>2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4">
        <f t="shared" si="0"/>
        <v>1075</v>
      </c>
      <c r="Q35" s="1" t="s">
        <v>14</v>
      </c>
      <c r="R35" s="44">
        <v>0</v>
      </c>
      <c r="S35" s="46"/>
      <c r="T35" s="4"/>
    </row>
    <row r="36" spans="1:20" x14ac:dyDescent="0.25">
      <c r="A36" s="7">
        <v>33</v>
      </c>
      <c r="D36" s="9" t="s">
        <v>9</v>
      </c>
      <c r="E36" s="10"/>
      <c r="F36" s="10"/>
      <c r="G36" s="11"/>
      <c r="H36" s="83">
        <v>95</v>
      </c>
      <c r="I36" s="7" t="s">
        <v>132</v>
      </c>
      <c r="J36" s="3">
        <v>100</v>
      </c>
      <c r="K36" s="3">
        <v>0</v>
      </c>
      <c r="L36" s="3">
        <v>2</v>
      </c>
      <c r="M36" s="3">
        <v>16</v>
      </c>
      <c r="N36" s="3">
        <v>17</v>
      </c>
      <c r="O36" s="3">
        <v>0</v>
      </c>
      <c r="P36" s="4">
        <f t="shared" si="0"/>
        <v>160</v>
      </c>
      <c r="Q36" s="1" t="s">
        <v>14</v>
      </c>
      <c r="R36" s="44">
        <v>50</v>
      </c>
      <c r="S36" s="47">
        <v>100</v>
      </c>
      <c r="T36" s="4"/>
    </row>
    <row r="37" spans="1:20" x14ac:dyDescent="0.25">
      <c r="A37" s="7">
        <v>34</v>
      </c>
      <c r="D37" s="19" t="s">
        <v>166</v>
      </c>
      <c r="E37" s="20"/>
      <c r="F37" s="20"/>
      <c r="G37" s="21"/>
      <c r="H37" s="69">
        <v>0</v>
      </c>
      <c r="I37" s="7" t="s">
        <v>2</v>
      </c>
      <c r="J37" s="3">
        <v>100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4">
        <f t="shared" si="0"/>
        <v>100</v>
      </c>
      <c r="Q37" s="1" t="s">
        <v>14</v>
      </c>
      <c r="R37" s="44">
        <v>0</v>
      </c>
      <c r="S37" s="46"/>
      <c r="T37" s="4"/>
    </row>
    <row r="38" spans="1:20" x14ac:dyDescent="0.25">
      <c r="A38" s="7">
        <v>35</v>
      </c>
      <c r="D38" s="16" t="s">
        <v>143</v>
      </c>
      <c r="E38" s="17"/>
      <c r="F38" s="17"/>
      <c r="G38" s="18"/>
      <c r="H38" s="12">
        <v>89</v>
      </c>
      <c r="I38" s="7" t="s">
        <v>2</v>
      </c>
      <c r="J38" s="3">
        <v>100</v>
      </c>
      <c r="K38" s="3">
        <v>0</v>
      </c>
      <c r="L38" s="3">
        <v>1</v>
      </c>
      <c r="M38" s="3">
        <v>8</v>
      </c>
      <c r="N38" s="3">
        <v>5</v>
      </c>
      <c r="O38" s="3">
        <v>0</v>
      </c>
      <c r="P38" s="4">
        <f t="shared" si="0"/>
        <v>175</v>
      </c>
      <c r="Q38" s="1" t="s">
        <v>14</v>
      </c>
      <c r="R38" s="44">
        <v>50</v>
      </c>
      <c r="S38" s="46">
        <v>100</v>
      </c>
      <c r="T38" s="4"/>
    </row>
    <row r="39" spans="1:20" x14ac:dyDescent="0.25">
      <c r="A39" s="7">
        <v>36</v>
      </c>
      <c r="D39" s="9" t="s">
        <v>144</v>
      </c>
      <c r="E39" s="10"/>
      <c r="F39" s="10"/>
      <c r="G39" s="11"/>
      <c r="H39" s="12">
        <v>168</v>
      </c>
      <c r="I39" s="7" t="s">
        <v>2</v>
      </c>
      <c r="J39" s="3">
        <v>100</v>
      </c>
      <c r="K39" s="3">
        <v>5</v>
      </c>
      <c r="L39" s="3">
        <v>1</v>
      </c>
      <c r="M39" s="3">
        <v>12</v>
      </c>
      <c r="N39" s="3">
        <v>5</v>
      </c>
      <c r="O39" s="3">
        <v>0</v>
      </c>
      <c r="P39" s="4">
        <f t="shared" si="0"/>
        <v>245</v>
      </c>
      <c r="Q39" s="1" t="s">
        <v>14</v>
      </c>
      <c r="R39" s="44">
        <v>50</v>
      </c>
      <c r="S39" s="47">
        <v>100</v>
      </c>
      <c r="T39" s="4"/>
    </row>
    <row r="40" spans="1:20" x14ac:dyDescent="0.25">
      <c r="A40" s="7">
        <v>37</v>
      </c>
      <c r="D40" s="16" t="s">
        <v>42</v>
      </c>
      <c r="E40" s="17"/>
      <c r="F40" s="17"/>
      <c r="G40" s="18"/>
      <c r="H40" s="12">
        <v>123</v>
      </c>
      <c r="I40" s="7" t="s">
        <v>2</v>
      </c>
      <c r="J40" s="3">
        <v>100</v>
      </c>
      <c r="K40" s="3">
        <v>0</v>
      </c>
      <c r="L40" s="3">
        <v>1</v>
      </c>
      <c r="M40" s="3">
        <v>8</v>
      </c>
      <c r="N40" s="3">
        <v>5</v>
      </c>
      <c r="O40" s="3">
        <v>0</v>
      </c>
      <c r="P40" s="4">
        <f t="shared" si="0"/>
        <v>209</v>
      </c>
      <c r="Q40" s="1" t="s">
        <v>14</v>
      </c>
      <c r="R40" s="44">
        <v>50</v>
      </c>
      <c r="S40" s="47">
        <v>100</v>
      </c>
      <c r="T40" s="4"/>
    </row>
    <row r="41" spans="1:20" x14ac:dyDescent="0.25">
      <c r="A41" s="7">
        <v>38</v>
      </c>
      <c r="D41" s="9" t="s">
        <v>133</v>
      </c>
      <c r="E41" s="10"/>
      <c r="F41" s="10"/>
      <c r="G41" s="11"/>
      <c r="H41" s="12">
        <v>0</v>
      </c>
      <c r="I41" s="7" t="s">
        <v>2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4">
        <f t="shared" si="0"/>
        <v>0</v>
      </c>
      <c r="Q41" s="1" t="s">
        <v>14</v>
      </c>
      <c r="R41" s="44">
        <v>20</v>
      </c>
      <c r="S41" s="47">
        <v>50</v>
      </c>
      <c r="T41" s="4"/>
    </row>
    <row r="42" spans="1:20" x14ac:dyDescent="0.25">
      <c r="A42" s="7">
        <v>39</v>
      </c>
      <c r="D42" s="16" t="s">
        <v>145</v>
      </c>
      <c r="E42" s="17"/>
      <c r="F42" s="17"/>
      <c r="G42" s="18"/>
      <c r="H42" s="12">
        <v>17</v>
      </c>
      <c r="I42" s="7" t="s">
        <v>2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4">
        <f t="shared" si="0"/>
        <v>17</v>
      </c>
      <c r="Q42" s="1" t="s">
        <v>14</v>
      </c>
      <c r="R42" s="44">
        <v>20</v>
      </c>
      <c r="S42" s="46">
        <v>50</v>
      </c>
      <c r="T42" s="4"/>
    </row>
    <row r="43" spans="1:20" x14ac:dyDescent="0.25">
      <c r="A43" s="7">
        <v>40</v>
      </c>
      <c r="D43" s="9" t="s">
        <v>71</v>
      </c>
      <c r="E43" s="10"/>
      <c r="F43" s="10"/>
      <c r="G43" s="11"/>
      <c r="H43" s="12">
        <v>0</v>
      </c>
      <c r="I43" s="7" t="s">
        <v>2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4">
        <f t="shared" si="0"/>
        <v>0</v>
      </c>
      <c r="Q43" s="1" t="s">
        <v>14</v>
      </c>
      <c r="R43" s="44">
        <v>5</v>
      </c>
      <c r="S43" s="47">
        <v>10</v>
      </c>
      <c r="T43" s="4"/>
    </row>
    <row r="44" spans="1:20" x14ac:dyDescent="0.25">
      <c r="A44" s="7">
        <v>41</v>
      </c>
      <c r="D44" s="16" t="s">
        <v>10</v>
      </c>
      <c r="E44" s="17"/>
      <c r="F44" s="17"/>
      <c r="G44" s="18"/>
      <c r="H44" s="12">
        <v>343</v>
      </c>
      <c r="I44" s="7" t="s">
        <v>2</v>
      </c>
      <c r="J44" s="3">
        <v>0</v>
      </c>
      <c r="K44" s="3">
        <v>22</v>
      </c>
      <c r="L44" s="3">
        <v>0</v>
      </c>
      <c r="M44" s="3">
        <v>0</v>
      </c>
      <c r="N44" s="3">
        <v>0</v>
      </c>
      <c r="O44" s="3">
        <v>0</v>
      </c>
      <c r="P44" s="4">
        <f t="shared" si="0"/>
        <v>321</v>
      </c>
      <c r="Q44" s="1" t="s">
        <v>14</v>
      </c>
      <c r="R44" s="44">
        <v>40</v>
      </c>
      <c r="S44" s="47">
        <v>100</v>
      </c>
      <c r="T44" s="4"/>
    </row>
    <row r="45" spans="1:20" x14ac:dyDescent="0.25">
      <c r="A45" s="7">
        <v>42</v>
      </c>
      <c r="D45" s="9" t="s">
        <v>45</v>
      </c>
      <c r="E45" s="10"/>
      <c r="F45" s="10"/>
      <c r="G45" s="11"/>
      <c r="H45" s="12">
        <v>170</v>
      </c>
      <c r="I45" s="7" t="s">
        <v>2</v>
      </c>
      <c r="J45" s="3">
        <v>0</v>
      </c>
      <c r="K45" s="3">
        <v>11</v>
      </c>
      <c r="L45" s="3">
        <v>0</v>
      </c>
      <c r="M45" s="3">
        <v>0</v>
      </c>
      <c r="N45" s="3">
        <v>0</v>
      </c>
      <c r="O45" s="3">
        <v>2</v>
      </c>
      <c r="P45" s="4">
        <f t="shared" si="0"/>
        <v>157</v>
      </c>
      <c r="Q45" s="1" t="s">
        <v>14</v>
      </c>
      <c r="R45" s="44">
        <v>20</v>
      </c>
      <c r="S45" s="47">
        <v>50</v>
      </c>
      <c r="T45" s="4"/>
    </row>
    <row r="46" spans="1:20" x14ac:dyDescent="0.25">
      <c r="A46" s="7">
        <v>43</v>
      </c>
      <c r="D46" s="16" t="s">
        <v>46</v>
      </c>
      <c r="E46" s="17"/>
      <c r="F46" s="17"/>
      <c r="G46" s="18"/>
      <c r="H46" s="12">
        <v>154</v>
      </c>
      <c r="I46" s="7" t="s">
        <v>2</v>
      </c>
      <c r="J46" s="3">
        <v>0</v>
      </c>
      <c r="K46" s="3">
        <v>11</v>
      </c>
      <c r="L46" s="3">
        <v>0</v>
      </c>
      <c r="M46" s="3">
        <v>0</v>
      </c>
      <c r="N46" s="3">
        <v>0</v>
      </c>
      <c r="O46" s="3">
        <v>0</v>
      </c>
      <c r="P46" s="4">
        <f t="shared" si="0"/>
        <v>143</v>
      </c>
      <c r="Q46" s="1" t="s">
        <v>14</v>
      </c>
      <c r="R46" s="44">
        <v>20</v>
      </c>
      <c r="S46" s="47">
        <v>50</v>
      </c>
      <c r="T46" s="4"/>
    </row>
    <row r="47" spans="1:20" x14ac:dyDescent="0.25">
      <c r="A47" s="7">
        <v>44</v>
      </c>
      <c r="D47" s="9" t="s">
        <v>47</v>
      </c>
      <c r="E47" s="10"/>
      <c r="F47" s="10"/>
      <c r="G47" s="11"/>
      <c r="H47" s="12">
        <v>215</v>
      </c>
      <c r="I47" s="7" t="s">
        <v>2</v>
      </c>
      <c r="J47" s="3">
        <v>0</v>
      </c>
      <c r="K47" s="3">
        <v>11</v>
      </c>
      <c r="L47" s="3">
        <v>0</v>
      </c>
      <c r="M47" s="3">
        <v>0</v>
      </c>
      <c r="N47" s="3">
        <v>0</v>
      </c>
      <c r="O47" s="3">
        <v>0</v>
      </c>
      <c r="P47" s="4">
        <f t="shared" si="0"/>
        <v>204</v>
      </c>
      <c r="Q47" s="1" t="s">
        <v>14</v>
      </c>
      <c r="R47" s="44">
        <v>20</v>
      </c>
      <c r="S47" s="47">
        <v>50</v>
      </c>
      <c r="T47" s="4"/>
    </row>
    <row r="48" spans="1:20" x14ac:dyDescent="0.25">
      <c r="A48" s="7">
        <v>45</v>
      </c>
      <c r="D48" s="16" t="s">
        <v>79</v>
      </c>
      <c r="E48" s="17"/>
      <c r="F48" s="17"/>
      <c r="G48" s="18"/>
      <c r="H48" s="12">
        <v>15</v>
      </c>
      <c r="I48" s="7" t="s">
        <v>2</v>
      </c>
      <c r="J48" s="3">
        <v>0</v>
      </c>
      <c r="K48" s="3">
        <v>8</v>
      </c>
      <c r="L48" s="3">
        <v>0</v>
      </c>
      <c r="M48" s="3">
        <v>0</v>
      </c>
      <c r="N48" s="3">
        <v>0</v>
      </c>
      <c r="O48" s="3">
        <v>0</v>
      </c>
      <c r="P48" s="4">
        <f t="shared" si="0"/>
        <v>7</v>
      </c>
      <c r="Q48" s="1" t="s">
        <v>14</v>
      </c>
      <c r="R48" s="44">
        <v>10</v>
      </c>
      <c r="S48" s="47">
        <v>20</v>
      </c>
      <c r="T48" s="4"/>
    </row>
    <row r="49" spans="1:20" x14ac:dyDescent="0.25">
      <c r="A49" s="7">
        <v>46</v>
      </c>
      <c r="D49" s="9" t="s">
        <v>48</v>
      </c>
      <c r="E49" s="10"/>
      <c r="F49" s="10"/>
      <c r="G49" s="11"/>
      <c r="H49" s="12">
        <v>12</v>
      </c>
      <c r="I49" s="7" t="s">
        <v>2</v>
      </c>
      <c r="J49" s="3">
        <v>100</v>
      </c>
      <c r="K49" s="3">
        <v>8</v>
      </c>
      <c r="L49" s="3">
        <v>0</v>
      </c>
      <c r="M49" s="3">
        <v>0</v>
      </c>
      <c r="N49" s="3">
        <v>0</v>
      </c>
      <c r="O49" s="3">
        <v>0</v>
      </c>
      <c r="P49" s="4">
        <f t="shared" si="0"/>
        <v>104</v>
      </c>
      <c r="Q49" s="1" t="s">
        <v>14</v>
      </c>
      <c r="R49" s="44">
        <v>10</v>
      </c>
      <c r="S49" s="47">
        <v>20</v>
      </c>
      <c r="T49" s="4" t="s">
        <v>14</v>
      </c>
    </row>
    <row r="50" spans="1:20" x14ac:dyDescent="0.25">
      <c r="A50" s="7">
        <v>47</v>
      </c>
      <c r="D50" s="16" t="s">
        <v>49</v>
      </c>
      <c r="E50" s="17"/>
      <c r="F50" s="17"/>
      <c r="G50" s="18"/>
      <c r="H50" s="12">
        <v>0</v>
      </c>
      <c r="I50" s="7" t="s">
        <v>2</v>
      </c>
      <c r="J50" s="3">
        <v>140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4">
        <f t="shared" si="0"/>
        <v>140</v>
      </c>
      <c r="Q50" s="1" t="s">
        <v>14</v>
      </c>
      <c r="R50" s="44">
        <v>10</v>
      </c>
      <c r="S50" s="47">
        <v>20</v>
      </c>
      <c r="T50" s="4"/>
    </row>
    <row r="51" spans="1:20" x14ac:dyDescent="0.25">
      <c r="A51" s="7">
        <v>48</v>
      </c>
      <c r="D51" s="9" t="s">
        <v>159</v>
      </c>
      <c r="E51" s="10"/>
      <c r="F51" s="10"/>
      <c r="G51" s="11"/>
      <c r="H51" s="12">
        <v>30</v>
      </c>
      <c r="I51" s="7" t="s">
        <v>1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4">
        <f t="shared" si="0"/>
        <v>30</v>
      </c>
      <c r="Q51" s="1" t="s">
        <v>14</v>
      </c>
      <c r="R51" s="44">
        <v>20</v>
      </c>
      <c r="S51" s="47">
        <v>100</v>
      </c>
      <c r="T51" s="4"/>
    </row>
    <row r="52" spans="1:20" x14ac:dyDescent="0.25">
      <c r="A52" s="7">
        <v>49</v>
      </c>
      <c r="D52" s="85"/>
      <c r="E52" s="86"/>
      <c r="F52" s="84" t="s">
        <v>111</v>
      </c>
      <c r="G52" s="87"/>
      <c r="H52" s="12">
        <v>66</v>
      </c>
      <c r="I52" s="7" t="s">
        <v>2</v>
      </c>
      <c r="J52" s="3">
        <v>0</v>
      </c>
      <c r="K52" s="3">
        <v>0</v>
      </c>
      <c r="L52" s="3">
        <v>1</v>
      </c>
      <c r="M52" s="3">
        <v>3</v>
      </c>
      <c r="N52" s="3">
        <v>0</v>
      </c>
      <c r="O52" s="3">
        <v>0</v>
      </c>
      <c r="P52" s="4">
        <f t="shared" si="0"/>
        <v>62</v>
      </c>
      <c r="Q52" s="1" t="s">
        <v>14</v>
      </c>
      <c r="R52" s="44">
        <v>30</v>
      </c>
      <c r="S52" s="47">
        <v>100</v>
      </c>
      <c r="T52" s="4"/>
    </row>
    <row r="53" spans="1:20" x14ac:dyDescent="0.25">
      <c r="A53" s="7">
        <v>50</v>
      </c>
      <c r="D53" s="9" t="s">
        <v>51</v>
      </c>
      <c r="E53" s="10"/>
      <c r="F53" s="10"/>
      <c r="G53" s="11"/>
      <c r="H53" s="12">
        <v>28</v>
      </c>
      <c r="I53" s="7" t="s">
        <v>2</v>
      </c>
      <c r="J53" s="3">
        <v>0</v>
      </c>
      <c r="K53" s="3">
        <v>1</v>
      </c>
      <c r="L53" s="3">
        <v>1</v>
      </c>
      <c r="M53" s="3">
        <v>2</v>
      </c>
      <c r="N53" s="3">
        <v>1</v>
      </c>
      <c r="O53" s="3">
        <v>0</v>
      </c>
      <c r="P53" s="4">
        <f t="shared" si="0"/>
        <v>23</v>
      </c>
      <c r="Q53" s="1" t="s">
        <v>14</v>
      </c>
      <c r="R53" s="44">
        <v>20</v>
      </c>
      <c r="S53" s="47">
        <v>50</v>
      </c>
      <c r="T53" s="4"/>
    </row>
    <row r="54" spans="1:20" x14ac:dyDescent="0.25">
      <c r="A54" s="7">
        <v>51</v>
      </c>
      <c r="D54" s="16" t="s">
        <v>52</v>
      </c>
      <c r="E54" s="17"/>
      <c r="F54" s="17"/>
      <c r="G54" s="18"/>
      <c r="H54" s="12">
        <v>18</v>
      </c>
      <c r="I54" s="7" t="s">
        <v>2</v>
      </c>
      <c r="J54" s="3">
        <v>0</v>
      </c>
      <c r="K54" s="3">
        <v>1</v>
      </c>
      <c r="L54" s="3">
        <v>1</v>
      </c>
      <c r="M54" s="3">
        <v>2</v>
      </c>
      <c r="N54" s="3">
        <v>1</v>
      </c>
      <c r="O54" s="3">
        <v>0</v>
      </c>
      <c r="P54" s="4">
        <f t="shared" si="0"/>
        <v>13</v>
      </c>
      <c r="Q54" s="1" t="s">
        <v>14</v>
      </c>
      <c r="R54" s="44">
        <v>20</v>
      </c>
      <c r="S54" s="47">
        <v>50</v>
      </c>
      <c r="T54" s="4" t="s">
        <v>14</v>
      </c>
    </row>
    <row r="55" spans="1:20" x14ac:dyDescent="0.25">
      <c r="A55" s="7">
        <v>52</v>
      </c>
      <c r="D55" s="9" t="s">
        <v>53</v>
      </c>
      <c r="E55" s="10"/>
      <c r="F55" s="10"/>
      <c r="G55" s="11"/>
      <c r="H55" s="12">
        <v>17</v>
      </c>
      <c r="I55" s="7" t="s">
        <v>2</v>
      </c>
      <c r="J55" s="3">
        <v>0</v>
      </c>
      <c r="K55" s="3">
        <v>1</v>
      </c>
      <c r="L55" s="3">
        <v>1</v>
      </c>
      <c r="M55" s="3">
        <v>2</v>
      </c>
      <c r="N55" s="3">
        <v>2</v>
      </c>
      <c r="O55" s="3">
        <v>0</v>
      </c>
      <c r="P55" s="4">
        <f t="shared" si="0"/>
        <v>11</v>
      </c>
      <c r="Q55" s="1" t="s">
        <v>14</v>
      </c>
      <c r="R55" s="44">
        <v>20</v>
      </c>
      <c r="S55" s="47">
        <v>50</v>
      </c>
      <c r="T55" s="4"/>
    </row>
    <row r="56" spans="1:20" x14ac:dyDescent="0.25">
      <c r="A56" s="7">
        <v>53</v>
      </c>
      <c r="D56" s="70" t="s">
        <v>54</v>
      </c>
      <c r="E56" s="71"/>
      <c r="F56" s="71"/>
      <c r="G56" s="72"/>
      <c r="H56" s="12">
        <v>600</v>
      </c>
      <c r="I56" s="7" t="s">
        <v>1</v>
      </c>
      <c r="J56" s="3">
        <v>720</v>
      </c>
      <c r="K56" s="3">
        <v>150</v>
      </c>
      <c r="L56" s="3">
        <v>45</v>
      </c>
      <c r="M56" s="3">
        <v>90</v>
      </c>
      <c r="N56" s="3">
        <v>75</v>
      </c>
      <c r="O56" s="3">
        <v>135</v>
      </c>
      <c r="P56" s="4">
        <f t="shared" si="0"/>
        <v>825</v>
      </c>
      <c r="Q56" s="1" t="s">
        <v>120</v>
      </c>
      <c r="R56" s="44">
        <v>250</v>
      </c>
      <c r="S56" s="47">
        <v>750</v>
      </c>
      <c r="T56" s="4"/>
    </row>
    <row r="57" spans="1:20" x14ac:dyDescent="0.25">
      <c r="A57" s="7">
        <v>54</v>
      </c>
      <c r="D57" s="16" t="s">
        <v>61</v>
      </c>
      <c r="E57" s="17"/>
      <c r="F57" s="17"/>
      <c r="G57" s="18"/>
      <c r="H57" s="12">
        <v>246</v>
      </c>
      <c r="I57" s="7" t="s">
        <v>2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  <c r="P57" s="4">
        <f t="shared" si="0"/>
        <v>246</v>
      </c>
      <c r="Q57" s="1" t="s">
        <v>14</v>
      </c>
      <c r="R57" s="44">
        <v>0</v>
      </c>
      <c r="S57" s="46"/>
      <c r="T57" s="4"/>
    </row>
    <row r="58" spans="1:20" x14ac:dyDescent="0.25">
      <c r="A58" s="7">
        <v>55</v>
      </c>
      <c r="D58" s="9" t="s">
        <v>62</v>
      </c>
      <c r="E58" s="10"/>
      <c r="F58" s="10"/>
      <c r="G58" s="11"/>
      <c r="H58" s="12">
        <v>1100</v>
      </c>
      <c r="I58" s="7" t="s">
        <v>2</v>
      </c>
      <c r="J58" s="3">
        <v>0</v>
      </c>
      <c r="K58" s="3">
        <v>159</v>
      </c>
      <c r="L58" s="3">
        <v>28</v>
      </c>
      <c r="M58" s="3">
        <v>0</v>
      </c>
      <c r="N58" s="3">
        <v>15</v>
      </c>
      <c r="O58" s="3">
        <v>136</v>
      </c>
      <c r="P58" s="4">
        <f t="shared" si="0"/>
        <v>762</v>
      </c>
      <c r="Q58" s="1" t="s">
        <v>14</v>
      </c>
      <c r="R58" s="44">
        <v>200</v>
      </c>
      <c r="S58" s="47">
        <v>1000</v>
      </c>
      <c r="T58" s="4"/>
    </row>
    <row r="59" spans="1:20" x14ac:dyDescent="0.25">
      <c r="A59" s="7">
        <v>56</v>
      </c>
      <c r="D59" s="16" t="s">
        <v>13</v>
      </c>
      <c r="E59" s="17"/>
      <c r="F59" s="17"/>
      <c r="G59" s="18"/>
      <c r="H59" s="12">
        <v>85</v>
      </c>
      <c r="I59" s="7" t="s">
        <v>2</v>
      </c>
      <c r="J59" s="3">
        <v>0</v>
      </c>
      <c r="K59" s="3">
        <v>26</v>
      </c>
      <c r="L59" s="3">
        <v>0</v>
      </c>
      <c r="M59" s="3">
        <v>0</v>
      </c>
      <c r="N59" s="3">
        <v>0</v>
      </c>
      <c r="O59" s="3">
        <v>0</v>
      </c>
      <c r="P59" s="4">
        <f t="shared" si="0"/>
        <v>59</v>
      </c>
      <c r="Q59" s="1" t="s">
        <v>14</v>
      </c>
      <c r="R59" s="44">
        <v>100</v>
      </c>
      <c r="S59" s="47">
        <v>300</v>
      </c>
      <c r="T59" s="4"/>
    </row>
    <row r="60" spans="1:20" x14ac:dyDescent="0.25">
      <c r="A60" s="7">
        <v>57</v>
      </c>
      <c r="D60" s="9" t="s">
        <v>72</v>
      </c>
      <c r="E60" s="10"/>
      <c r="F60" s="10"/>
      <c r="G60" s="11"/>
      <c r="H60" s="12">
        <v>150</v>
      </c>
      <c r="I60" s="7" t="s">
        <v>2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4">
        <f t="shared" si="0"/>
        <v>150</v>
      </c>
      <c r="Q60" s="1" t="s">
        <v>14</v>
      </c>
      <c r="R60" s="44">
        <v>100</v>
      </c>
      <c r="S60" s="47">
        <v>300</v>
      </c>
      <c r="T60" s="4"/>
    </row>
    <row r="61" spans="1:20" x14ac:dyDescent="0.25">
      <c r="A61" s="7">
        <v>58</v>
      </c>
      <c r="D61" s="16" t="s">
        <v>63</v>
      </c>
      <c r="E61" s="17"/>
      <c r="F61" s="17"/>
      <c r="G61" s="18"/>
      <c r="H61" s="12">
        <v>130</v>
      </c>
      <c r="I61" s="7" t="s">
        <v>2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30</v>
      </c>
      <c r="P61" s="4">
        <f t="shared" si="0"/>
        <v>100</v>
      </c>
      <c r="Q61" s="1" t="s">
        <v>14</v>
      </c>
      <c r="R61" s="44">
        <v>100</v>
      </c>
      <c r="S61" s="47">
        <v>300</v>
      </c>
      <c r="T61" s="4"/>
    </row>
    <row r="62" spans="1:20" x14ac:dyDescent="0.25">
      <c r="A62" s="7">
        <v>59</v>
      </c>
      <c r="D62" s="9" t="s">
        <v>77</v>
      </c>
      <c r="E62" s="10"/>
      <c r="F62" s="10"/>
      <c r="G62" s="11"/>
      <c r="H62" s="12">
        <v>750</v>
      </c>
      <c r="I62" s="7" t="s">
        <v>2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4">
        <f t="shared" si="0"/>
        <v>750</v>
      </c>
      <c r="Q62" s="1" t="s">
        <v>14</v>
      </c>
      <c r="R62" s="44">
        <v>100</v>
      </c>
      <c r="S62" s="47">
        <v>300</v>
      </c>
      <c r="T62" s="4"/>
    </row>
    <row r="63" spans="1:20" x14ac:dyDescent="0.25">
      <c r="A63" s="7">
        <v>60</v>
      </c>
      <c r="D63" s="16" t="s">
        <v>130</v>
      </c>
      <c r="E63" s="17"/>
      <c r="F63" s="17"/>
      <c r="G63" s="18"/>
      <c r="H63" s="12">
        <v>216</v>
      </c>
      <c r="I63" s="7" t="s">
        <v>2</v>
      </c>
      <c r="J63" s="3">
        <v>0</v>
      </c>
      <c r="K63" s="3">
        <v>1</v>
      </c>
      <c r="L63" s="3">
        <v>0</v>
      </c>
      <c r="M63" s="3">
        <v>0</v>
      </c>
      <c r="N63" s="3">
        <v>50</v>
      </c>
      <c r="O63" s="3">
        <v>51</v>
      </c>
      <c r="P63" s="4">
        <f t="shared" si="0"/>
        <v>114</v>
      </c>
      <c r="Q63" s="1" t="s">
        <v>14</v>
      </c>
      <c r="R63" s="44">
        <v>0</v>
      </c>
      <c r="S63" s="46"/>
      <c r="T63" s="4"/>
    </row>
    <row r="64" spans="1:20" x14ac:dyDescent="0.25">
      <c r="A64" s="7">
        <v>61</v>
      </c>
      <c r="D64" s="26" t="s">
        <v>146</v>
      </c>
      <c r="E64" s="27"/>
      <c r="F64" s="27"/>
      <c r="G64" s="28"/>
      <c r="H64" s="12">
        <v>60</v>
      </c>
      <c r="I64" s="30" t="s">
        <v>2</v>
      </c>
      <c r="J64" s="3">
        <v>0</v>
      </c>
      <c r="K64" s="3">
        <v>0</v>
      </c>
      <c r="L64" s="3">
        <v>0</v>
      </c>
      <c r="M64" s="3">
        <v>1</v>
      </c>
      <c r="N64" s="3">
        <v>39</v>
      </c>
      <c r="O64" s="3">
        <v>0</v>
      </c>
      <c r="P64" s="4">
        <f t="shared" si="0"/>
        <v>20</v>
      </c>
      <c r="Q64" s="1" t="s">
        <v>14</v>
      </c>
      <c r="R64" s="44">
        <v>50</v>
      </c>
      <c r="S64" s="47">
        <v>100</v>
      </c>
      <c r="T64" s="4"/>
    </row>
    <row r="65" spans="1:20" x14ac:dyDescent="0.25">
      <c r="A65" s="7">
        <v>62</v>
      </c>
      <c r="D65" s="16" t="s">
        <v>65</v>
      </c>
      <c r="E65" s="17"/>
      <c r="F65" s="17"/>
      <c r="G65" s="18"/>
      <c r="H65" s="12">
        <v>59</v>
      </c>
      <c r="I65" s="7" t="s">
        <v>2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4">
        <f t="shared" si="0"/>
        <v>59</v>
      </c>
      <c r="Q65" s="1" t="s">
        <v>14</v>
      </c>
      <c r="R65" s="44">
        <v>0</v>
      </c>
      <c r="S65" s="46"/>
      <c r="T65" s="4"/>
    </row>
    <row r="66" spans="1:20" x14ac:dyDescent="0.25">
      <c r="A66" s="7">
        <v>63</v>
      </c>
      <c r="D66" s="9" t="s">
        <v>66</v>
      </c>
      <c r="E66" s="10"/>
      <c r="F66" s="10"/>
      <c r="G66" s="11"/>
      <c r="H66" s="12">
        <v>50</v>
      </c>
      <c r="I66" s="7" t="s">
        <v>2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  <c r="P66" s="4">
        <f t="shared" si="0"/>
        <v>50</v>
      </c>
      <c r="Q66" s="1" t="s">
        <v>14</v>
      </c>
      <c r="R66" s="44">
        <v>300</v>
      </c>
      <c r="S66" s="47">
        <v>1000</v>
      </c>
      <c r="T66" s="4"/>
    </row>
    <row r="67" spans="1:20" x14ac:dyDescent="0.25">
      <c r="A67" s="7">
        <v>64</v>
      </c>
      <c r="D67" s="19" t="s">
        <v>165</v>
      </c>
      <c r="E67" s="20"/>
      <c r="F67" s="20"/>
      <c r="G67" s="21"/>
      <c r="H67" s="12">
        <v>0</v>
      </c>
      <c r="I67" s="7" t="s">
        <v>2</v>
      </c>
      <c r="J67" s="3">
        <v>100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  <c r="P67" s="4">
        <f t="shared" si="0"/>
        <v>100</v>
      </c>
      <c r="Q67" s="1" t="s">
        <v>14</v>
      </c>
      <c r="R67" s="44">
        <v>50</v>
      </c>
      <c r="S67" s="47">
        <v>150</v>
      </c>
      <c r="T67" s="4"/>
    </row>
    <row r="68" spans="1:20" x14ac:dyDescent="0.25">
      <c r="A68" s="7">
        <v>65</v>
      </c>
      <c r="D68" s="22" t="s">
        <v>74</v>
      </c>
      <c r="E68" s="10"/>
      <c r="F68" s="10"/>
      <c r="G68" s="11"/>
      <c r="H68" s="12">
        <v>250</v>
      </c>
      <c r="I68" s="8" t="s">
        <v>75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4">
        <f t="shared" ref="P68:P89" si="1">+H68+J68-K68-L68-M68-N68-O68</f>
        <v>250</v>
      </c>
      <c r="Q68" s="1" t="s">
        <v>91</v>
      </c>
      <c r="R68" s="44">
        <v>65</v>
      </c>
      <c r="S68" s="47">
        <v>150</v>
      </c>
      <c r="T68" s="4"/>
    </row>
    <row r="69" spans="1:20" x14ac:dyDescent="0.25">
      <c r="A69" s="7">
        <v>66</v>
      </c>
      <c r="C69" s="1" t="s">
        <v>14</v>
      </c>
      <c r="D69" s="22" t="s">
        <v>76</v>
      </c>
      <c r="E69" s="10"/>
      <c r="F69" s="10"/>
      <c r="G69" s="11"/>
      <c r="H69" s="12">
        <v>240</v>
      </c>
      <c r="I69" s="8" t="s">
        <v>2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4">
        <f t="shared" si="1"/>
        <v>240</v>
      </c>
      <c r="Q69" s="1" t="s">
        <v>14</v>
      </c>
      <c r="R69" s="44">
        <v>50</v>
      </c>
      <c r="S69" s="47">
        <v>100</v>
      </c>
      <c r="T69" s="4"/>
    </row>
    <row r="70" spans="1:20" x14ac:dyDescent="0.25">
      <c r="A70" s="7">
        <v>67</v>
      </c>
      <c r="D70" s="25" t="s">
        <v>147</v>
      </c>
      <c r="H70" s="12">
        <v>58</v>
      </c>
      <c r="I70" s="30" t="s">
        <v>2</v>
      </c>
      <c r="J70" s="3">
        <v>100</v>
      </c>
      <c r="K70" s="3">
        <v>4</v>
      </c>
      <c r="L70" s="3">
        <v>0</v>
      </c>
      <c r="M70" s="3">
        <v>1</v>
      </c>
      <c r="N70" s="3">
        <v>39</v>
      </c>
      <c r="O70" s="3">
        <v>0</v>
      </c>
      <c r="P70" s="4">
        <f t="shared" si="1"/>
        <v>114</v>
      </c>
      <c r="Q70" s="1" t="s">
        <v>14</v>
      </c>
      <c r="R70" s="44">
        <v>50</v>
      </c>
      <c r="S70" s="47">
        <v>100</v>
      </c>
      <c r="T70" s="4"/>
    </row>
    <row r="71" spans="1:20" x14ac:dyDescent="0.25">
      <c r="A71" s="7">
        <v>68</v>
      </c>
      <c r="D71" s="26" t="s">
        <v>80</v>
      </c>
      <c r="E71" s="27"/>
      <c r="F71" s="27"/>
      <c r="G71" s="28"/>
      <c r="H71" s="12">
        <v>44</v>
      </c>
      <c r="I71" s="8" t="s">
        <v>2</v>
      </c>
      <c r="J71" s="3">
        <v>100</v>
      </c>
      <c r="K71" s="3">
        <v>5</v>
      </c>
      <c r="L71" s="3">
        <v>0</v>
      </c>
      <c r="M71" s="3">
        <v>0</v>
      </c>
      <c r="N71" s="3">
        <v>0</v>
      </c>
      <c r="O71" s="3">
        <v>0</v>
      </c>
      <c r="P71" s="4">
        <f t="shared" si="1"/>
        <v>139</v>
      </c>
      <c r="Q71" s="1" t="s">
        <v>14</v>
      </c>
      <c r="R71" s="44">
        <v>0</v>
      </c>
      <c r="S71" s="46"/>
      <c r="T71" s="4"/>
    </row>
    <row r="72" spans="1:20" x14ac:dyDescent="0.25">
      <c r="A72" s="7">
        <v>69</v>
      </c>
      <c r="D72" s="26" t="s">
        <v>84</v>
      </c>
      <c r="E72" s="27"/>
      <c r="F72" s="27"/>
      <c r="G72" s="28"/>
      <c r="H72" s="12">
        <v>450</v>
      </c>
      <c r="I72" s="8" t="s">
        <v>2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  <c r="P72" s="4">
        <f t="shared" si="1"/>
        <v>450</v>
      </c>
      <c r="Q72" s="1" t="s">
        <v>14</v>
      </c>
      <c r="R72" s="44">
        <v>100</v>
      </c>
      <c r="S72" s="47">
        <v>200</v>
      </c>
      <c r="T72" s="4"/>
    </row>
    <row r="73" spans="1:20" x14ac:dyDescent="0.25">
      <c r="A73" s="7">
        <v>70</v>
      </c>
      <c r="D73" s="26" t="s">
        <v>167</v>
      </c>
      <c r="E73" s="27"/>
      <c r="F73" s="27"/>
      <c r="G73" s="28"/>
      <c r="H73" s="12">
        <f>'ARALIK 3 HAFTA '!P78</f>
        <v>0</v>
      </c>
      <c r="I73" s="8" t="s">
        <v>2</v>
      </c>
      <c r="J73" s="3">
        <v>200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4">
        <f t="shared" si="1"/>
        <v>200</v>
      </c>
      <c r="R73" s="44">
        <v>0</v>
      </c>
      <c r="S73" s="46"/>
      <c r="T73" s="4"/>
    </row>
    <row r="74" spans="1:20" x14ac:dyDescent="0.25">
      <c r="A74" s="7">
        <v>71</v>
      </c>
      <c r="D74" s="37" t="s">
        <v>99</v>
      </c>
      <c r="E74" s="17"/>
      <c r="F74" s="33"/>
      <c r="G74" s="33"/>
      <c r="H74" s="12">
        <v>0</v>
      </c>
      <c r="I74" s="8" t="s">
        <v>2</v>
      </c>
      <c r="J74" s="3">
        <v>457.6</v>
      </c>
      <c r="K74" s="3">
        <v>75</v>
      </c>
      <c r="L74" s="3">
        <v>25</v>
      </c>
      <c r="M74" s="3">
        <v>25</v>
      </c>
      <c r="N74" s="3">
        <v>25</v>
      </c>
      <c r="O74" s="3">
        <v>0</v>
      </c>
      <c r="P74" s="4">
        <f t="shared" si="1"/>
        <v>307.60000000000002</v>
      </c>
      <c r="Q74" s="1" t="s">
        <v>163</v>
      </c>
      <c r="R74" s="44">
        <v>100</v>
      </c>
      <c r="S74" s="47">
        <v>500</v>
      </c>
      <c r="T74" s="4"/>
    </row>
    <row r="75" spans="1:20" x14ac:dyDescent="0.25">
      <c r="A75" s="7">
        <v>72</v>
      </c>
      <c r="D75" s="22" t="s">
        <v>100</v>
      </c>
      <c r="E75" s="10"/>
      <c r="F75" s="10"/>
      <c r="G75" s="28"/>
      <c r="H75" s="12">
        <v>0</v>
      </c>
      <c r="I75" s="8" t="s">
        <v>2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4">
        <f t="shared" si="1"/>
        <v>0</v>
      </c>
      <c r="R75" s="44">
        <v>0</v>
      </c>
      <c r="S75" s="46"/>
      <c r="T75" s="4"/>
    </row>
    <row r="76" spans="1:20" x14ac:dyDescent="0.25">
      <c r="A76" s="7">
        <v>73</v>
      </c>
      <c r="D76" s="37" t="s">
        <v>113</v>
      </c>
      <c r="E76" s="17"/>
      <c r="F76" s="17"/>
      <c r="G76" s="33"/>
      <c r="H76" s="12">
        <v>386</v>
      </c>
      <c r="I76" s="8" t="s">
        <v>97</v>
      </c>
      <c r="J76" s="3">
        <v>825</v>
      </c>
      <c r="K76" s="3">
        <v>33</v>
      </c>
      <c r="L76" s="3">
        <v>0</v>
      </c>
      <c r="M76" s="3">
        <v>37</v>
      </c>
      <c r="N76" s="3">
        <v>0</v>
      </c>
      <c r="O76" s="3">
        <v>32.200000000000003</v>
      </c>
      <c r="P76" s="4">
        <f t="shared" si="1"/>
        <v>1108.8</v>
      </c>
      <c r="Q76" s="65" t="s">
        <v>121</v>
      </c>
      <c r="R76" s="44">
        <v>30</v>
      </c>
      <c r="S76" s="47">
        <v>100</v>
      </c>
      <c r="T76" s="4"/>
    </row>
    <row r="77" spans="1:20" x14ac:dyDescent="0.25">
      <c r="A77" s="7">
        <v>74</v>
      </c>
      <c r="D77" s="22" t="s">
        <v>103</v>
      </c>
      <c r="E77" s="10"/>
      <c r="F77" s="10"/>
      <c r="G77" s="28"/>
      <c r="H77" s="12">
        <v>120</v>
      </c>
      <c r="I77" s="8" t="s">
        <v>2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4">
        <f t="shared" si="1"/>
        <v>120</v>
      </c>
      <c r="R77" s="44">
        <v>60</v>
      </c>
      <c r="S77" s="47">
        <v>100</v>
      </c>
      <c r="T77" s="4"/>
    </row>
    <row r="78" spans="1:20" x14ac:dyDescent="0.25">
      <c r="A78" s="8">
        <v>75</v>
      </c>
      <c r="D78" s="49" t="s">
        <v>108</v>
      </c>
      <c r="E78" s="20"/>
      <c r="F78" s="20"/>
      <c r="G78" s="20"/>
      <c r="H78" s="12">
        <v>500</v>
      </c>
      <c r="I78" s="8" t="s">
        <v>110</v>
      </c>
      <c r="J78" s="3">
        <v>36000</v>
      </c>
      <c r="K78" s="3">
        <v>0</v>
      </c>
      <c r="L78" s="3">
        <v>0</v>
      </c>
      <c r="M78" s="3">
        <v>500</v>
      </c>
      <c r="N78" s="3">
        <v>0</v>
      </c>
      <c r="O78" s="3">
        <v>1500</v>
      </c>
      <c r="P78" s="4">
        <f t="shared" si="1"/>
        <v>34500</v>
      </c>
      <c r="R78" s="43">
        <v>1000</v>
      </c>
      <c r="S78" s="46">
        <v>10000</v>
      </c>
      <c r="T78" s="4"/>
    </row>
    <row r="79" spans="1:20" x14ac:dyDescent="0.25">
      <c r="A79" s="48">
        <v>76</v>
      </c>
      <c r="B79" s="41"/>
      <c r="C79" s="41"/>
      <c r="D79" s="22" t="s">
        <v>115</v>
      </c>
      <c r="E79" s="10"/>
      <c r="F79" s="10"/>
      <c r="G79" s="11"/>
      <c r="H79" s="12">
        <v>79</v>
      </c>
      <c r="I79" s="62" t="s">
        <v>2</v>
      </c>
      <c r="J79" s="3">
        <v>100</v>
      </c>
      <c r="K79" s="3">
        <v>0</v>
      </c>
      <c r="L79" s="3">
        <v>0</v>
      </c>
      <c r="M79" s="3">
        <v>1</v>
      </c>
      <c r="N79" s="3">
        <v>39</v>
      </c>
      <c r="O79" s="3">
        <v>0</v>
      </c>
      <c r="P79" s="64">
        <f t="shared" si="1"/>
        <v>139</v>
      </c>
      <c r="R79" s="64">
        <v>50</v>
      </c>
      <c r="S79" s="64">
        <v>100</v>
      </c>
      <c r="T79" s="4" t="s">
        <v>14</v>
      </c>
    </row>
    <row r="80" spans="1:20" x14ac:dyDescent="0.25">
      <c r="A80" s="73">
        <v>77</v>
      </c>
      <c r="B80" s="41"/>
      <c r="C80" s="41"/>
      <c r="D80" s="49" t="s">
        <v>134</v>
      </c>
      <c r="E80" s="35"/>
      <c r="F80" s="35"/>
      <c r="G80" s="60"/>
      <c r="H80" s="12">
        <v>325</v>
      </c>
      <c r="I80" s="8" t="s">
        <v>2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  <c r="P80" s="4">
        <f t="shared" si="1"/>
        <v>325</v>
      </c>
      <c r="Q80" s="4"/>
      <c r="R80" s="4">
        <v>20</v>
      </c>
      <c r="S80" s="4">
        <v>50</v>
      </c>
      <c r="T80" s="4"/>
    </row>
    <row r="81" spans="1:20" x14ac:dyDescent="0.25">
      <c r="A81" s="8">
        <v>78</v>
      </c>
      <c r="D81" s="22" t="s">
        <v>123</v>
      </c>
      <c r="E81" s="10"/>
      <c r="F81" s="10"/>
      <c r="G81" s="11"/>
      <c r="H81" s="12">
        <v>2500</v>
      </c>
      <c r="I81" s="8" t="s">
        <v>2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  <c r="P81" s="4">
        <f t="shared" si="1"/>
        <v>2500</v>
      </c>
      <c r="Q81" s="4"/>
      <c r="R81" s="4">
        <v>100</v>
      </c>
      <c r="S81" s="4">
        <v>500</v>
      </c>
      <c r="T81" s="4"/>
    </row>
    <row r="82" spans="1:20" x14ac:dyDescent="0.25">
      <c r="A82" s="48">
        <v>79</v>
      </c>
      <c r="B82" s="41"/>
      <c r="C82" s="41"/>
      <c r="D82" s="22" t="s">
        <v>154</v>
      </c>
      <c r="E82" s="10"/>
      <c r="F82" s="10"/>
      <c r="G82" s="11"/>
      <c r="H82" s="4">
        <v>15</v>
      </c>
      <c r="I82" s="8" t="s">
        <v>2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  <c r="P82" s="4">
        <f t="shared" si="1"/>
        <v>15</v>
      </c>
      <c r="Q82" s="4"/>
      <c r="R82" s="4"/>
      <c r="S82" s="4"/>
      <c r="T82" s="4"/>
    </row>
    <row r="83" spans="1:20" x14ac:dyDescent="0.25">
      <c r="A83" s="48">
        <v>80</v>
      </c>
      <c r="B83" s="41"/>
      <c r="C83" s="41"/>
      <c r="D83" s="37" t="s">
        <v>155</v>
      </c>
      <c r="E83" s="17"/>
      <c r="F83" s="17"/>
      <c r="G83" s="18"/>
      <c r="H83" s="64">
        <v>15</v>
      </c>
      <c r="I83" s="62" t="s">
        <v>2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64">
        <f t="shared" si="1"/>
        <v>15</v>
      </c>
      <c r="Q83" s="64"/>
      <c r="R83" s="64"/>
      <c r="S83" s="64"/>
      <c r="T83" s="4"/>
    </row>
    <row r="84" spans="1:20" x14ac:dyDescent="0.25">
      <c r="A84" s="48">
        <v>81</v>
      </c>
      <c r="B84" s="11"/>
      <c r="C84" s="23"/>
      <c r="D84" s="23" t="s">
        <v>149</v>
      </c>
      <c r="E84" s="23"/>
      <c r="F84" s="23"/>
      <c r="G84" s="23"/>
      <c r="H84" s="23">
        <v>12</v>
      </c>
      <c r="I84" s="8" t="s">
        <v>2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4">
        <f t="shared" si="1"/>
        <v>12</v>
      </c>
      <c r="Q84" s="4"/>
      <c r="R84" s="4"/>
      <c r="S84" s="4"/>
      <c r="T84" s="4"/>
    </row>
    <row r="85" spans="1:20" x14ac:dyDescent="0.25">
      <c r="A85" s="8">
        <v>82</v>
      </c>
      <c r="D85" s="68" t="s">
        <v>148</v>
      </c>
      <c r="E85" s="27"/>
      <c r="F85" s="27"/>
      <c r="G85" s="28"/>
      <c r="H85" s="4">
        <v>103</v>
      </c>
      <c r="I85" s="8" t="s">
        <v>2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4">
        <f t="shared" si="1"/>
        <v>103</v>
      </c>
      <c r="Q85" s="4"/>
      <c r="R85" s="4"/>
      <c r="S85" s="4"/>
      <c r="T85" s="4"/>
    </row>
    <row r="86" spans="1:20" ht="15.75" customHeight="1" x14ac:dyDescent="0.25">
      <c r="A86" s="8">
        <v>83</v>
      </c>
      <c r="D86" s="79" t="s">
        <v>150</v>
      </c>
      <c r="E86" s="80"/>
      <c r="F86" s="81"/>
      <c r="G86" s="82"/>
      <c r="H86" s="4">
        <v>538</v>
      </c>
      <c r="I86" s="8" t="s">
        <v>2</v>
      </c>
      <c r="J86" s="3">
        <v>0</v>
      </c>
      <c r="K86" s="3">
        <v>46</v>
      </c>
      <c r="L86" s="3">
        <v>0</v>
      </c>
      <c r="M86" s="3">
        <v>20</v>
      </c>
      <c r="N86" s="3">
        <v>20</v>
      </c>
      <c r="O86" s="3">
        <v>8</v>
      </c>
      <c r="P86" s="4">
        <f t="shared" si="1"/>
        <v>444</v>
      </c>
      <c r="Q86" s="4"/>
      <c r="R86" s="4">
        <v>50</v>
      </c>
      <c r="S86" s="4">
        <v>300</v>
      </c>
      <c r="T86" s="4"/>
    </row>
    <row r="87" spans="1:20" x14ac:dyDescent="0.25">
      <c r="A87" s="8">
        <v>84</v>
      </c>
      <c r="D87" s="22" t="s">
        <v>160</v>
      </c>
      <c r="E87" s="10"/>
      <c r="F87" s="10"/>
      <c r="G87" s="11"/>
      <c r="H87" s="23">
        <v>962</v>
      </c>
      <c r="I87" s="8" t="s">
        <v>2</v>
      </c>
      <c r="J87" s="3">
        <v>0</v>
      </c>
      <c r="K87" s="3">
        <v>7</v>
      </c>
      <c r="L87" s="3">
        <v>100</v>
      </c>
      <c r="M87" s="3">
        <v>0</v>
      </c>
      <c r="N87" s="3">
        <v>6</v>
      </c>
      <c r="O87" s="3">
        <v>0</v>
      </c>
      <c r="P87" s="4">
        <f t="shared" si="1"/>
        <v>849</v>
      </c>
      <c r="Q87" s="4"/>
      <c r="R87" s="4"/>
      <c r="S87" s="4"/>
      <c r="T87" s="4"/>
    </row>
    <row r="88" spans="1:20" x14ac:dyDescent="0.25">
      <c r="A88" s="8">
        <v>85</v>
      </c>
      <c r="D88" s="49" t="s">
        <v>153</v>
      </c>
      <c r="E88" s="20"/>
      <c r="F88" s="20"/>
      <c r="G88" s="21"/>
      <c r="H88" s="23">
        <v>88</v>
      </c>
      <c r="I88" s="8" t="s">
        <v>2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4">
        <f t="shared" si="1"/>
        <v>88</v>
      </c>
      <c r="Q88" s="4"/>
      <c r="R88" s="4"/>
      <c r="S88" s="4"/>
      <c r="T88" s="4"/>
    </row>
    <row r="89" spans="1:20" x14ac:dyDescent="0.25">
      <c r="A89" s="77">
        <v>86</v>
      </c>
      <c r="D89" s="68" t="s">
        <v>162</v>
      </c>
      <c r="E89" s="27"/>
      <c r="F89" s="27"/>
      <c r="G89" s="28"/>
      <c r="H89" s="74">
        <v>110</v>
      </c>
      <c r="I89" s="75" t="s">
        <v>2</v>
      </c>
      <c r="J89" s="3">
        <v>0</v>
      </c>
      <c r="K89" s="3">
        <v>0</v>
      </c>
      <c r="L89" s="3">
        <v>0</v>
      </c>
      <c r="M89" s="3">
        <v>0</v>
      </c>
      <c r="N89" s="3">
        <v>0</v>
      </c>
      <c r="O89" s="3">
        <v>0</v>
      </c>
      <c r="P89" s="4">
        <f t="shared" si="1"/>
        <v>110</v>
      </c>
      <c r="Q89" s="4"/>
      <c r="R89" s="4"/>
      <c r="S89" s="4"/>
      <c r="T89" s="4"/>
    </row>
  </sheetData>
  <pageMargins left="0.75" right="0.75" top="1" bottom="1" header="0.5" footer="0.5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T89"/>
  <sheetViews>
    <sheetView topLeftCell="A40" workbookViewId="0">
      <selection activeCell="O63" sqref="O63"/>
    </sheetView>
  </sheetViews>
  <sheetFormatPr defaultRowHeight="15" x14ac:dyDescent="0.25"/>
  <cols>
    <col min="1" max="1" width="5.5703125" customWidth="1"/>
    <col min="2" max="3" width="9.140625" hidden="1" customWidth="1"/>
    <col min="8" max="8" width="10.140625" customWidth="1"/>
    <col min="9" max="9" width="10" customWidth="1"/>
    <col min="10" max="10" width="7.7109375" customWidth="1"/>
    <col min="11" max="11" width="10.7109375" customWidth="1"/>
    <col min="12" max="12" width="10.140625" customWidth="1"/>
    <col min="13" max="13" width="11.85546875" customWidth="1"/>
    <col min="14" max="15" width="11.7109375" customWidth="1"/>
    <col min="16" max="16" width="10.140625" customWidth="1"/>
    <col min="17" max="17" width="4.7109375" customWidth="1"/>
    <col min="18" max="18" width="12.140625" customWidth="1"/>
    <col min="19" max="19" width="10.85546875" customWidth="1"/>
    <col min="20" max="20" width="13.85546875" customWidth="1"/>
  </cols>
  <sheetData>
    <row r="1" spans="1:20" x14ac:dyDescent="0.25">
      <c r="G1" s="1"/>
      <c r="P1">
        <f>+H1+J1-K1-L1-M1-N1-O1</f>
        <v>0</v>
      </c>
    </row>
    <row r="2" spans="1:20" x14ac:dyDescent="0.25">
      <c r="A2" t="s">
        <v>14</v>
      </c>
      <c r="D2" s="78" t="s">
        <v>168</v>
      </c>
      <c r="O2" s="38" t="s">
        <v>14</v>
      </c>
      <c r="S2" s="50">
        <v>44837</v>
      </c>
    </row>
    <row r="3" spans="1:20" x14ac:dyDescent="0.25">
      <c r="A3" s="3" t="s">
        <v>15</v>
      </c>
      <c r="D3" s="9" t="s">
        <v>17</v>
      </c>
      <c r="E3" s="10"/>
      <c r="F3" s="10"/>
      <c r="G3" s="11"/>
      <c r="H3" s="12" t="s">
        <v>18</v>
      </c>
      <c r="I3" s="4" t="s">
        <v>19</v>
      </c>
      <c r="J3" s="3" t="s">
        <v>20</v>
      </c>
      <c r="K3" s="5">
        <v>45203</v>
      </c>
      <c r="L3" s="6">
        <v>45209</v>
      </c>
      <c r="M3" s="5">
        <v>45222</v>
      </c>
      <c r="N3" s="5">
        <v>45223</v>
      </c>
      <c r="O3" s="6">
        <v>45230</v>
      </c>
      <c r="P3" s="3" t="s">
        <v>21</v>
      </c>
      <c r="R3" s="42" t="s">
        <v>105</v>
      </c>
      <c r="S3" s="45" t="s">
        <v>104</v>
      </c>
      <c r="T3" s="4"/>
    </row>
    <row r="4" spans="1:20" x14ac:dyDescent="0.25">
      <c r="A4" s="7">
        <v>1</v>
      </c>
      <c r="D4" s="13" t="s">
        <v>16</v>
      </c>
      <c r="E4" s="14"/>
      <c r="F4" s="14"/>
      <c r="G4" s="15"/>
      <c r="H4" s="12">
        <v>509</v>
      </c>
      <c r="I4" s="7" t="s">
        <v>1</v>
      </c>
      <c r="J4" s="3">
        <v>0</v>
      </c>
      <c r="K4" s="3">
        <v>17</v>
      </c>
      <c r="L4" s="3">
        <v>0</v>
      </c>
      <c r="M4" s="3">
        <v>51</v>
      </c>
      <c r="N4" s="3">
        <v>0</v>
      </c>
      <c r="O4" s="3">
        <v>0</v>
      </c>
      <c r="P4" s="4">
        <f t="shared" ref="P4:P67" si="0">+H4+J4-K4-L4-M4-N4-O4</f>
        <v>441</v>
      </c>
      <c r="Q4" t="s">
        <v>67</v>
      </c>
      <c r="R4" s="43">
        <v>100</v>
      </c>
      <c r="S4" s="46">
        <v>500</v>
      </c>
      <c r="T4" s="4" t="s">
        <v>14</v>
      </c>
    </row>
    <row r="5" spans="1:20" x14ac:dyDescent="0.25">
      <c r="A5" s="7">
        <v>2</v>
      </c>
      <c r="D5" s="9" t="s">
        <v>22</v>
      </c>
      <c r="E5" s="10"/>
      <c r="F5" s="10"/>
      <c r="G5" s="11"/>
      <c r="H5" s="12">
        <v>15</v>
      </c>
      <c r="I5" s="7" t="s">
        <v>2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4">
        <f t="shared" si="0"/>
        <v>15</v>
      </c>
      <c r="Q5" s="1" t="s">
        <v>14</v>
      </c>
      <c r="R5" s="44">
        <v>6</v>
      </c>
      <c r="S5" s="47">
        <v>10</v>
      </c>
      <c r="T5" s="4"/>
    </row>
    <row r="6" spans="1:20" x14ac:dyDescent="0.25">
      <c r="A6" s="7">
        <v>3</v>
      </c>
      <c r="D6" s="16" t="s">
        <v>23</v>
      </c>
      <c r="E6" s="17"/>
      <c r="F6" s="17"/>
      <c r="G6" s="18"/>
      <c r="H6" s="12">
        <v>54</v>
      </c>
      <c r="I6" s="7" t="s">
        <v>2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4">
        <f t="shared" si="0"/>
        <v>54</v>
      </c>
      <c r="Q6" s="1" t="s">
        <v>14</v>
      </c>
      <c r="R6" s="44">
        <v>6</v>
      </c>
      <c r="S6" s="47">
        <v>10</v>
      </c>
      <c r="T6" s="4"/>
    </row>
    <row r="7" spans="1:20" x14ac:dyDescent="0.25">
      <c r="A7" s="7">
        <v>4</v>
      </c>
      <c r="D7" s="9" t="s">
        <v>3</v>
      </c>
      <c r="E7" s="10"/>
      <c r="F7" s="10"/>
      <c r="G7" s="11"/>
      <c r="H7" s="12">
        <v>30</v>
      </c>
      <c r="I7" s="7" t="s">
        <v>2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4">
        <f t="shared" si="0"/>
        <v>30</v>
      </c>
      <c r="Q7" s="1" t="s">
        <v>14</v>
      </c>
      <c r="R7" s="44">
        <v>6</v>
      </c>
      <c r="S7" s="47">
        <v>10</v>
      </c>
      <c r="T7" s="4"/>
    </row>
    <row r="8" spans="1:20" x14ac:dyDescent="0.25">
      <c r="A8" s="7">
        <v>5</v>
      </c>
      <c r="D8" s="16" t="s">
        <v>139</v>
      </c>
      <c r="E8" s="17"/>
      <c r="F8" s="17"/>
      <c r="G8" s="18"/>
      <c r="H8" s="12">
        <v>271</v>
      </c>
      <c r="I8" s="7" t="s">
        <v>2</v>
      </c>
      <c r="J8" s="3">
        <v>0</v>
      </c>
      <c r="K8" s="3">
        <v>30</v>
      </c>
      <c r="L8" s="3">
        <v>0</v>
      </c>
      <c r="M8" s="3">
        <v>140</v>
      </c>
      <c r="N8" s="3">
        <v>0</v>
      </c>
      <c r="O8" s="3">
        <v>0</v>
      </c>
      <c r="P8" s="4">
        <f t="shared" si="0"/>
        <v>101</v>
      </c>
      <c r="Q8" s="1" t="s">
        <v>14</v>
      </c>
      <c r="R8" s="44">
        <v>100</v>
      </c>
      <c r="S8" s="47">
        <v>400</v>
      </c>
      <c r="T8" s="4"/>
    </row>
    <row r="9" spans="1:20" x14ac:dyDescent="0.25">
      <c r="A9" s="7">
        <v>6</v>
      </c>
      <c r="D9" s="9" t="s">
        <v>24</v>
      </c>
      <c r="E9" s="10"/>
      <c r="F9" s="10"/>
      <c r="G9" s="11"/>
      <c r="H9" s="12">
        <v>306</v>
      </c>
      <c r="I9" s="7" t="s">
        <v>2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4">
        <f t="shared" si="0"/>
        <v>306</v>
      </c>
      <c r="Q9" s="1" t="s">
        <v>14</v>
      </c>
      <c r="R9" s="44">
        <v>60</v>
      </c>
      <c r="S9" s="47">
        <v>200</v>
      </c>
      <c r="T9" s="4"/>
    </row>
    <row r="10" spans="1:20" x14ac:dyDescent="0.25">
      <c r="A10" s="7">
        <v>7</v>
      </c>
      <c r="D10" s="16" t="s">
        <v>101</v>
      </c>
      <c r="E10" s="17"/>
      <c r="F10" s="17"/>
      <c r="G10" s="18"/>
      <c r="H10" s="12">
        <v>1400</v>
      </c>
      <c r="I10" s="7" t="s">
        <v>2</v>
      </c>
      <c r="J10" s="3">
        <v>0</v>
      </c>
      <c r="K10" s="3">
        <v>120</v>
      </c>
      <c r="L10" s="3">
        <v>320</v>
      </c>
      <c r="M10" s="3">
        <v>20</v>
      </c>
      <c r="N10" s="3">
        <v>0</v>
      </c>
      <c r="O10" s="3">
        <v>60</v>
      </c>
      <c r="P10" s="4">
        <f t="shared" si="0"/>
        <v>880</v>
      </c>
      <c r="Q10" s="1" t="s">
        <v>14</v>
      </c>
      <c r="R10" s="44">
        <v>200</v>
      </c>
      <c r="S10" s="47">
        <v>500</v>
      </c>
      <c r="T10" s="4"/>
    </row>
    <row r="11" spans="1:20" x14ac:dyDescent="0.25">
      <c r="A11" s="7">
        <v>8</v>
      </c>
      <c r="D11" s="9" t="s">
        <v>25</v>
      </c>
      <c r="E11" s="10"/>
      <c r="F11" s="10"/>
      <c r="G11" s="11"/>
      <c r="H11" s="12">
        <v>364</v>
      </c>
      <c r="I11" s="7" t="s">
        <v>2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4">
        <f t="shared" si="0"/>
        <v>364</v>
      </c>
      <c r="Q11" s="1" t="s">
        <v>14</v>
      </c>
      <c r="R11" s="44">
        <v>0</v>
      </c>
      <c r="S11" s="47">
        <v>0</v>
      </c>
      <c r="T11" s="4"/>
    </row>
    <row r="12" spans="1:20" x14ac:dyDescent="0.25">
      <c r="A12" s="7">
        <v>9</v>
      </c>
      <c r="D12" s="16" t="s">
        <v>26</v>
      </c>
      <c r="E12" s="17"/>
      <c r="F12" s="17"/>
      <c r="G12" s="18"/>
      <c r="H12" s="12">
        <v>0</v>
      </c>
      <c r="I12" s="7" t="s">
        <v>2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4">
        <f t="shared" si="0"/>
        <v>0</v>
      </c>
      <c r="Q12" s="1" t="s">
        <v>14</v>
      </c>
      <c r="R12" s="44">
        <v>200</v>
      </c>
      <c r="S12" s="47">
        <v>400</v>
      </c>
      <c r="T12" s="4"/>
    </row>
    <row r="13" spans="1:20" x14ac:dyDescent="0.25">
      <c r="A13" s="7">
        <v>10</v>
      </c>
      <c r="D13" s="9" t="s">
        <v>6</v>
      </c>
      <c r="E13" s="10"/>
      <c r="F13" s="10"/>
      <c r="G13" s="11"/>
      <c r="H13" s="12">
        <v>60</v>
      </c>
      <c r="I13" s="7" t="s">
        <v>2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4">
        <f t="shared" si="0"/>
        <v>60</v>
      </c>
      <c r="Q13" s="1" t="s">
        <v>14</v>
      </c>
      <c r="R13" s="44">
        <v>0</v>
      </c>
      <c r="S13" s="46"/>
      <c r="T13" s="4"/>
    </row>
    <row r="14" spans="1:20" x14ac:dyDescent="0.25">
      <c r="A14" s="7">
        <v>11</v>
      </c>
      <c r="D14" s="16" t="s">
        <v>7</v>
      </c>
      <c r="E14" s="17"/>
      <c r="F14" s="17"/>
      <c r="G14" s="18"/>
      <c r="H14" s="12">
        <v>6</v>
      </c>
      <c r="I14" s="7" t="s">
        <v>2</v>
      </c>
      <c r="J14" s="3">
        <v>0</v>
      </c>
      <c r="K14" s="3">
        <v>0</v>
      </c>
      <c r="L14" s="3">
        <v>4</v>
      </c>
      <c r="M14" s="3">
        <v>0</v>
      </c>
      <c r="N14" s="3">
        <v>0</v>
      </c>
      <c r="O14" s="3">
        <v>0</v>
      </c>
      <c r="P14" s="4">
        <f t="shared" si="0"/>
        <v>2</v>
      </c>
      <c r="Q14" s="1" t="s">
        <v>14</v>
      </c>
      <c r="R14" s="44">
        <v>20</v>
      </c>
      <c r="S14" s="47">
        <v>50</v>
      </c>
      <c r="T14" s="4"/>
    </row>
    <row r="15" spans="1:20" x14ac:dyDescent="0.25">
      <c r="A15" s="7">
        <v>12</v>
      </c>
      <c r="D15" s="9" t="s">
        <v>69</v>
      </c>
      <c r="E15" s="10"/>
      <c r="F15" s="10"/>
      <c r="G15" s="11"/>
      <c r="H15" s="12">
        <v>24</v>
      </c>
      <c r="I15" s="7" t="s">
        <v>2</v>
      </c>
      <c r="J15" s="3">
        <v>0</v>
      </c>
      <c r="K15" s="3">
        <v>0</v>
      </c>
      <c r="L15" s="3">
        <v>0</v>
      </c>
      <c r="M15" s="3">
        <v>6</v>
      </c>
      <c r="N15" s="3">
        <v>0</v>
      </c>
      <c r="O15" s="3">
        <v>0</v>
      </c>
      <c r="P15" s="4">
        <f t="shared" si="0"/>
        <v>18</v>
      </c>
      <c r="Q15" s="1" t="s">
        <v>14</v>
      </c>
      <c r="R15" s="44">
        <v>100</v>
      </c>
      <c r="S15" s="47">
        <v>200</v>
      </c>
      <c r="T15" s="4"/>
    </row>
    <row r="16" spans="1:20" x14ac:dyDescent="0.25">
      <c r="A16" s="7">
        <v>13</v>
      </c>
      <c r="D16" s="16" t="s">
        <v>27</v>
      </c>
      <c r="E16" s="17"/>
      <c r="F16" s="17"/>
      <c r="G16" s="18"/>
      <c r="H16" s="12">
        <v>0</v>
      </c>
      <c r="I16" s="7" t="s">
        <v>2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4">
        <f t="shared" si="0"/>
        <v>0</v>
      </c>
      <c r="Q16" s="1" t="s">
        <v>14</v>
      </c>
      <c r="R16" s="44">
        <v>0</v>
      </c>
      <c r="S16" s="46"/>
      <c r="T16" s="4"/>
    </row>
    <row r="17" spans="1:20" x14ac:dyDescent="0.25">
      <c r="A17" s="7">
        <v>14</v>
      </c>
      <c r="D17" s="9" t="s">
        <v>73</v>
      </c>
      <c r="E17" s="10"/>
      <c r="F17" s="10"/>
      <c r="G17" s="11"/>
      <c r="H17" s="12">
        <v>794</v>
      </c>
      <c r="I17" s="7" t="s">
        <v>2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4">
        <f t="shared" si="0"/>
        <v>794</v>
      </c>
      <c r="Q17" s="1" t="s">
        <v>14</v>
      </c>
      <c r="R17" s="44">
        <v>0</v>
      </c>
      <c r="S17" s="46"/>
      <c r="T17" s="4"/>
    </row>
    <row r="18" spans="1:20" x14ac:dyDescent="0.25">
      <c r="A18" s="7">
        <v>15</v>
      </c>
      <c r="D18" s="16" t="s">
        <v>28</v>
      </c>
      <c r="E18" s="17"/>
      <c r="F18" s="17"/>
      <c r="G18" s="18"/>
      <c r="H18" s="12">
        <v>57</v>
      </c>
      <c r="I18" s="7" t="s">
        <v>2</v>
      </c>
      <c r="J18" s="3">
        <v>153</v>
      </c>
      <c r="K18" s="3">
        <v>23</v>
      </c>
      <c r="L18" s="3">
        <v>0</v>
      </c>
      <c r="M18" s="3">
        <v>107</v>
      </c>
      <c r="N18" s="3">
        <v>0</v>
      </c>
      <c r="O18" s="3">
        <v>2</v>
      </c>
      <c r="P18" s="4">
        <f t="shared" si="0"/>
        <v>78</v>
      </c>
      <c r="Q18" s="1" t="s">
        <v>14</v>
      </c>
      <c r="R18" s="44">
        <v>20</v>
      </c>
      <c r="S18" s="47">
        <v>50</v>
      </c>
      <c r="T18" s="4"/>
    </row>
    <row r="19" spans="1:20" x14ac:dyDescent="0.25">
      <c r="A19" s="7">
        <v>16</v>
      </c>
      <c r="D19" s="9" t="s">
        <v>29</v>
      </c>
      <c r="E19" s="10"/>
      <c r="F19" s="10"/>
      <c r="G19" s="11"/>
      <c r="H19" s="12">
        <v>57</v>
      </c>
      <c r="I19" s="7" t="s">
        <v>2</v>
      </c>
      <c r="J19" s="3">
        <v>153</v>
      </c>
      <c r="K19" s="3">
        <v>23</v>
      </c>
      <c r="L19" s="3">
        <v>0</v>
      </c>
      <c r="M19" s="3">
        <v>107</v>
      </c>
      <c r="N19" s="3">
        <v>0</v>
      </c>
      <c r="O19" s="3">
        <v>2</v>
      </c>
      <c r="P19" s="4">
        <f t="shared" si="0"/>
        <v>78</v>
      </c>
      <c r="Q19" s="1" t="s">
        <v>14</v>
      </c>
      <c r="R19" s="44">
        <v>20</v>
      </c>
      <c r="S19" s="47">
        <v>50</v>
      </c>
      <c r="T19" s="4"/>
    </row>
    <row r="20" spans="1:20" x14ac:dyDescent="0.25">
      <c r="A20" s="7">
        <v>17</v>
      </c>
      <c r="D20" s="16" t="s">
        <v>30</v>
      </c>
      <c r="E20" s="17"/>
      <c r="F20" s="17"/>
      <c r="G20" s="18"/>
      <c r="H20" s="12">
        <v>58</v>
      </c>
      <c r="I20" s="7" t="s">
        <v>2</v>
      </c>
      <c r="J20" s="3">
        <v>153</v>
      </c>
      <c r="K20" s="3">
        <v>23</v>
      </c>
      <c r="L20" s="3">
        <v>0</v>
      </c>
      <c r="M20" s="3">
        <v>107</v>
      </c>
      <c r="N20" s="3">
        <v>0</v>
      </c>
      <c r="O20" s="3">
        <v>2</v>
      </c>
      <c r="P20" s="4">
        <f t="shared" si="0"/>
        <v>79</v>
      </c>
      <c r="Q20" s="1" t="s">
        <v>14</v>
      </c>
      <c r="R20" s="44">
        <v>20</v>
      </c>
      <c r="S20" s="47">
        <v>50</v>
      </c>
      <c r="T20" s="4"/>
    </row>
    <row r="21" spans="1:20" x14ac:dyDescent="0.25">
      <c r="A21" s="7">
        <v>18</v>
      </c>
      <c r="D21" s="9" t="s">
        <v>129</v>
      </c>
      <c r="E21" s="10"/>
      <c r="F21" s="10"/>
      <c r="G21" s="11"/>
      <c r="H21" s="12">
        <v>2</v>
      </c>
      <c r="I21" s="7" t="s">
        <v>2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4">
        <f t="shared" si="0"/>
        <v>2</v>
      </c>
      <c r="Q21" s="1" t="s">
        <v>14</v>
      </c>
      <c r="R21" s="44">
        <v>0</v>
      </c>
      <c r="S21" s="46"/>
      <c r="T21" s="4"/>
    </row>
    <row r="22" spans="1:20" x14ac:dyDescent="0.25">
      <c r="A22" s="7">
        <v>19</v>
      </c>
      <c r="D22" s="55" t="s">
        <v>164</v>
      </c>
      <c r="E22" s="56"/>
      <c r="F22" s="56"/>
      <c r="G22" s="57"/>
      <c r="H22" s="12">
        <v>175</v>
      </c>
      <c r="I22" s="59" t="s">
        <v>1</v>
      </c>
      <c r="J22" s="3">
        <v>0</v>
      </c>
      <c r="K22" s="3">
        <v>0</v>
      </c>
      <c r="L22" s="3">
        <v>30</v>
      </c>
      <c r="M22" s="3">
        <v>60</v>
      </c>
      <c r="N22" s="3">
        <v>0</v>
      </c>
      <c r="O22" s="3">
        <v>20</v>
      </c>
      <c r="P22" s="46">
        <f t="shared" si="0"/>
        <v>65</v>
      </c>
      <c r="Q22" s="1" t="s">
        <v>14</v>
      </c>
      <c r="R22" s="44">
        <v>50</v>
      </c>
      <c r="S22" s="47">
        <v>200</v>
      </c>
      <c r="T22" s="4"/>
    </row>
    <row r="23" spans="1:20" x14ac:dyDescent="0.25">
      <c r="A23" s="7">
        <v>20</v>
      </c>
      <c r="D23" s="9" t="s">
        <v>32</v>
      </c>
      <c r="E23" s="10"/>
      <c r="F23" s="10"/>
      <c r="G23" s="11"/>
      <c r="H23" s="12">
        <v>850</v>
      </c>
      <c r="I23" s="7" t="s">
        <v>2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4">
        <f t="shared" si="0"/>
        <v>850</v>
      </c>
      <c r="Q23" s="1" t="s">
        <v>14</v>
      </c>
      <c r="R23" s="44">
        <v>0</v>
      </c>
      <c r="S23" s="46"/>
      <c r="T23" s="4"/>
    </row>
    <row r="24" spans="1:20" x14ac:dyDescent="0.25">
      <c r="A24" s="7">
        <v>21</v>
      </c>
      <c r="D24" s="16" t="s">
        <v>140</v>
      </c>
      <c r="E24" s="17"/>
      <c r="F24" s="17"/>
      <c r="G24" s="18"/>
      <c r="H24" s="12">
        <v>232</v>
      </c>
      <c r="I24" s="7" t="s">
        <v>2</v>
      </c>
      <c r="J24" s="3">
        <v>0</v>
      </c>
      <c r="K24" s="3">
        <v>30</v>
      </c>
      <c r="L24" s="3">
        <v>0</v>
      </c>
      <c r="M24" s="3">
        <v>0</v>
      </c>
      <c r="N24" s="3">
        <v>0</v>
      </c>
      <c r="O24" s="3">
        <v>0</v>
      </c>
      <c r="P24" s="4">
        <f t="shared" si="0"/>
        <v>202</v>
      </c>
      <c r="Q24" s="1" t="s">
        <v>14</v>
      </c>
      <c r="R24" s="44">
        <v>0</v>
      </c>
      <c r="S24" s="46"/>
      <c r="T24" s="4"/>
    </row>
    <row r="25" spans="1:20" x14ac:dyDescent="0.25">
      <c r="A25" s="7">
        <v>22</v>
      </c>
      <c r="D25" s="9" t="s">
        <v>34</v>
      </c>
      <c r="E25" s="10"/>
      <c r="F25" s="10"/>
      <c r="G25" s="11"/>
      <c r="H25" s="12">
        <v>0</v>
      </c>
      <c r="I25" s="7" t="s">
        <v>2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4">
        <f t="shared" si="0"/>
        <v>0</v>
      </c>
      <c r="Q25" s="1" t="s">
        <v>14</v>
      </c>
      <c r="R25" s="44">
        <v>0</v>
      </c>
      <c r="S25" s="46"/>
      <c r="T25" s="4"/>
    </row>
    <row r="26" spans="1:20" x14ac:dyDescent="0.25">
      <c r="A26" s="7">
        <v>23</v>
      </c>
      <c r="D26" s="16" t="s">
        <v>142</v>
      </c>
      <c r="E26" s="17"/>
      <c r="F26" s="17"/>
      <c r="G26" s="18"/>
      <c r="H26" s="12">
        <v>77</v>
      </c>
      <c r="I26" s="7" t="s">
        <v>2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4">
        <f t="shared" si="0"/>
        <v>77</v>
      </c>
      <c r="Q26" s="1" t="s">
        <v>14</v>
      </c>
      <c r="R26" s="44">
        <v>20</v>
      </c>
      <c r="S26" s="47">
        <v>50</v>
      </c>
      <c r="T26" s="4"/>
    </row>
    <row r="27" spans="1:20" x14ac:dyDescent="0.25">
      <c r="A27" s="7">
        <v>24</v>
      </c>
      <c r="D27" s="9" t="s">
        <v>141</v>
      </c>
      <c r="E27" s="10"/>
      <c r="F27" s="10"/>
      <c r="G27" s="11"/>
      <c r="H27" s="12">
        <v>0</v>
      </c>
      <c r="I27" s="7" t="s">
        <v>2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  <c r="P27" s="4">
        <f t="shared" si="0"/>
        <v>0</v>
      </c>
      <c r="Q27" s="1"/>
      <c r="R27" s="44">
        <v>20</v>
      </c>
      <c r="S27" s="47">
        <v>50</v>
      </c>
      <c r="T27" s="4"/>
    </row>
    <row r="28" spans="1:20" x14ac:dyDescent="0.25">
      <c r="A28" s="7">
        <v>25</v>
      </c>
      <c r="D28" s="9" t="s">
        <v>137</v>
      </c>
      <c r="E28" s="10"/>
      <c r="F28" s="10"/>
      <c r="G28" s="11"/>
      <c r="H28" s="12">
        <v>123</v>
      </c>
      <c r="I28" s="7" t="s">
        <v>2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6</v>
      </c>
      <c r="P28" s="4">
        <f t="shared" si="0"/>
        <v>117</v>
      </c>
      <c r="Q28" s="1" t="s">
        <v>14</v>
      </c>
      <c r="R28" s="44">
        <v>20</v>
      </c>
      <c r="S28" s="47">
        <v>50</v>
      </c>
      <c r="T28" s="4"/>
    </row>
    <row r="29" spans="1:20" x14ac:dyDescent="0.25">
      <c r="A29" s="7">
        <v>26</v>
      </c>
      <c r="D29" s="9" t="s">
        <v>138</v>
      </c>
      <c r="E29" s="10"/>
      <c r="F29" s="10"/>
      <c r="G29" s="11"/>
      <c r="H29" s="12">
        <v>168</v>
      </c>
      <c r="I29" s="7" t="s">
        <v>2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6</v>
      </c>
      <c r="P29" s="4">
        <f t="shared" si="0"/>
        <v>162</v>
      </c>
      <c r="Q29" s="1"/>
      <c r="R29" s="44"/>
      <c r="S29" s="47"/>
      <c r="T29" s="4"/>
    </row>
    <row r="30" spans="1:20" x14ac:dyDescent="0.25">
      <c r="A30" s="7">
        <v>27</v>
      </c>
      <c r="D30" s="16" t="s">
        <v>35</v>
      </c>
      <c r="E30" s="17"/>
      <c r="F30" s="17"/>
      <c r="G30" s="18"/>
      <c r="H30" s="12">
        <v>419</v>
      </c>
      <c r="I30" s="7" t="s">
        <v>2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4">
        <f t="shared" si="0"/>
        <v>419</v>
      </c>
      <c r="Q30" s="1" t="s">
        <v>14</v>
      </c>
      <c r="R30" s="44">
        <v>50</v>
      </c>
      <c r="S30" s="47">
        <v>100</v>
      </c>
      <c r="T30" s="4"/>
    </row>
    <row r="31" spans="1:20" x14ac:dyDescent="0.25">
      <c r="A31" s="7">
        <v>28</v>
      </c>
      <c r="D31" s="9" t="s">
        <v>36</v>
      </c>
      <c r="E31" s="10"/>
      <c r="F31" s="10"/>
      <c r="G31" s="11"/>
      <c r="H31" s="12">
        <v>174</v>
      </c>
      <c r="I31" s="7" t="s">
        <v>2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4">
        <f t="shared" si="0"/>
        <v>174</v>
      </c>
      <c r="Q31" s="1" t="s">
        <v>14</v>
      </c>
      <c r="R31" s="44">
        <v>50</v>
      </c>
      <c r="S31" s="47">
        <v>100</v>
      </c>
      <c r="T31" s="4"/>
    </row>
    <row r="32" spans="1:20" x14ac:dyDescent="0.25">
      <c r="A32" s="7">
        <v>29</v>
      </c>
      <c r="D32" s="16" t="s">
        <v>37</v>
      </c>
      <c r="E32" s="17"/>
      <c r="F32" s="17"/>
      <c r="G32" s="18"/>
      <c r="H32" s="12">
        <v>220</v>
      </c>
      <c r="I32" s="7" t="s">
        <v>2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4">
        <f t="shared" si="0"/>
        <v>220</v>
      </c>
      <c r="Q32" s="1" t="s">
        <v>14</v>
      </c>
      <c r="R32" s="44">
        <v>20</v>
      </c>
      <c r="S32" s="47">
        <v>50</v>
      </c>
      <c r="T32" s="4"/>
    </row>
    <row r="33" spans="1:20" x14ac:dyDescent="0.25">
      <c r="A33" s="7">
        <v>30</v>
      </c>
      <c r="D33" s="9" t="s">
        <v>38</v>
      </c>
      <c r="E33" s="10"/>
      <c r="F33" s="10"/>
      <c r="G33" s="11"/>
      <c r="H33" s="12">
        <v>130</v>
      </c>
      <c r="I33" s="7" t="s">
        <v>2</v>
      </c>
      <c r="J33" s="3">
        <v>0</v>
      </c>
      <c r="K33" s="3">
        <v>70</v>
      </c>
      <c r="L33" s="3">
        <v>4</v>
      </c>
      <c r="M33" s="3">
        <v>8</v>
      </c>
      <c r="N33" s="3">
        <v>0</v>
      </c>
      <c r="O33" s="3">
        <v>9</v>
      </c>
      <c r="P33" s="4">
        <f t="shared" si="0"/>
        <v>39</v>
      </c>
      <c r="Q33" s="1" t="s">
        <v>14</v>
      </c>
      <c r="R33" s="44">
        <v>50</v>
      </c>
      <c r="S33" s="47">
        <v>100</v>
      </c>
      <c r="T33" s="4"/>
    </row>
    <row r="34" spans="1:20" x14ac:dyDescent="0.25">
      <c r="A34" s="7">
        <v>31</v>
      </c>
      <c r="D34" s="16" t="s">
        <v>39</v>
      </c>
      <c r="E34" s="17"/>
      <c r="F34" s="17"/>
      <c r="G34" s="18"/>
      <c r="H34" s="12">
        <v>4</v>
      </c>
      <c r="I34" s="7" t="s">
        <v>2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4">
        <f t="shared" si="0"/>
        <v>4</v>
      </c>
      <c r="Q34" s="1" t="s">
        <v>14</v>
      </c>
      <c r="R34" s="44">
        <v>20</v>
      </c>
      <c r="S34" s="47">
        <v>50</v>
      </c>
      <c r="T34" s="4"/>
    </row>
    <row r="35" spans="1:20" x14ac:dyDescent="0.25">
      <c r="A35" s="7">
        <v>32</v>
      </c>
      <c r="D35" s="9" t="s">
        <v>40</v>
      </c>
      <c r="E35" s="10"/>
      <c r="F35" s="10"/>
      <c r="G35" s="11"/>
      <c r="H35" s="12">
        <f>'ARALIK 3 HAFTA '!P33</f>
        <v>1075</v>
      </c>
      <c r="I35" s="7" t="s">
        <v>2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4">
        <f t="shared" si="0"/>
        <v>1075</v>
      </c>
      <c r="Q35" s="1" t="s">
        <v>14</v>
      </c>
      <c r="R35" s="44">
        <v>0</v>
      </c>
      <c r="S35" s="46"/>
      <c r="T35" s="4"/>
    </row>
    <row r="36" spans="1:20" x14ac:dyDescent="0.25">
      <c r="A36" s="7">
        <v>33</v>
      </c>
      <c r="D36" s="9" t="s">
        <v>9</v>
      </c>
      <c r="E36" s="10"/>
      <c r="F36" s="10"/>
      <c r="G36" s="11"/>
      <c r="H36" s="83">
        <v>125</v>
      </c>
      <c r="I36" s="7" t="s">
        <v>132</v>
      </c>
      <c r="J36" s="3">
        <v>75</v>
      </c>
      <c r="K36" s="3">
        <v>0</v>
      </c>
      <c r="L36" s="3">
        <v>0</v>
      </c>
      <c r="M36" s="3">
        <v>0</v>
      </c>
      <c r="N36" s="3">
        <v>0</v>
      </c>
      <c r="O36" s="3">
        <v>40</v>
      </c>
      <c r="P36" s="4">
        <f t="shared" si="0"/>
        <v>160</v>
      </c>
      <c r="Q36" s="1" t="s">
        <v>14</v>
      </c>
      <c r="R36" s="44">
        <v>50</v>
      </c>
      <c r="S36" s="47">
        <v>100</v>
      </c>
      <c r="T36" s="4"/>
    </row>
    <row r="37" spans="1:20" x14ac:dyDescent="0.25">
      <c r="A37" s="7">
        <v>34</v>
      </c>
      <c r="D37" s="19" t="s">
        <v>166</v>
      </c>
      <c r="E37" s="20"/>
      <c r="F37" s="20"/>
      <c r="G37" s="21"/>
      <c r="H37" s="69">
        <v>100</v>
      </c>
      <c r="I37" s="7" t="s">
        <v>2</v>
      </c>
      <c r="J37" s="3">
        <v>100</v>
      </c>
      <c r="K37" s="3">
        <v>0</v>
      </c>
      <c r="L37" s="3">
        <v>0</v>
      </c>
      <c r="M37" s="3">
        <v>0</v>
      </c>
      <c r="N37" s="3">
        <v>0</v>
      </c>
      <c r="O37" s="3">
        <v>40</v>
      </c>
      <c r="P37" s="4">
        <f t="shared" si="0"/>
        <v>160</v>
      </c>
      <c r="Q37" s="1" t="s">
        <v>14</v>
      </c>
      <c r="R37" s="44">
        <v>0</v>
      </c>
      <c r="S37" s="46"/>
      <c r="T37" s="4"/>
    </row>
    <row r="38" spans="1:20" x14ac:dyDescent="0.25">
      <c r="A38" s="7">
        <v>35</v>
      </c>
      <c r="D38" s="16" t="s">
        <v>143</v>
      </c>
      <c r="E38" s="17"/>
      <c r="F38" s="17"/>
      <c r="G38" s="18"/>
      <c r="H38" s="12">
        <v>141</v>
      </c>
      <c r="I38" s="7" t="s">
        <v>2</v>
      </c>
      <c r="J38" s="3">
        <v>160</v>
      </c>
      <c r="K38" s="3">
        <v>0</v>
      </c>
      <c r="L38" s="3">
        <v>0</v>
      </c>
      <c r="M38" s="3">
        <v>0</v>
      </c>
      <c r="N38" s="3">
        <v>0</v>
      </c>
      <c r="O38" s="3">
        <v>40</v>
      </c>
      <c r="P38" s="4">
        <f t="shared" si="0"/>
        <v>261</v>
      </c>
      <c r="Q38" s="1" t="s">
        <v>14</v>
      </c>
      <c r="R38" s="44">
        <v>50</v>
      </c>
      <c r="S38" s="46">
        <v>100</v>
      </c>
      <c r="T38" s="4"/>
    </row>
    <row r="39" spans="1:20" x14ac:dyDescent="0.25">
      <c r="A39" s="7">
        <v>36</v>
      </c>
      <c r="D39" s="9" t="s">
        <v>144</v>
      </c>
      <c r="E39" s="10"/>
      <c r="F39" s="10"/>
      <c r="G39" s="11"/>
      <c r="H39" s="12">
        <v>172</v>
      </c>
      <c r="I39" s="7" t="s">
        <v>2</v>
      </c>
      <c r="J39" s="3">
        <v>30</v>
      </c>
      <c r="K39" s="3">
        <v>0</v>
      </c>
      <c r="L39" s="3">
        <v>0</v>
      </c>
      <c r="M39" s="3">
        <v>0</v>
      </c>
      <c r="N39" s="3">
        <v>0</v>
      </c>
      <c r="O39" s="3">
        <v>40</v>
      </c>
      <c r="P39" s="4">
        <f t="shared" si="0"/>
        <v>162</v>
      </c>
      <c r="Q39" s="1" t="s">
        <v>14</v>
      </c>
      <c r="R39" s="44">
        <v>50</v>
      </c>
      <c r="S39" s="47">
        <v>100</v>
      </c>
      <c r="T39" s="4"/>
    </row>
    <row r="40" spans="1:20" x14ac:dyDescent="0.25">
      <c r="A40" s="7">
        <v>37</v>
      </c>
      <c r="D40" s="16" t="s">
        <v>42</v>
      </c>
      <c r="E40" s="17"/>
      <c r="F40" s="17"/>
      <c r="G40" s="18"/>
      <c r="H40" s="12">
        <v>165</v>
      </c>
      <c r="I40" s="7" t="s">
        <v>2</v>
      </c>
      <c r="J40" s="3">
        <v>40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4">
        <f t="shared" si="0"/>
        <v>205</v>
      </c>
      <c r="Q40" s="1" t="s">
        <v>14</v>
      </c>
      <c r="R40" s="44">
        <v>50</v>
      </c>
      <c r="S40" s="47">
        <v>100</v>
      </c>
      <c r="T40" s="4"/>
    </row>
    <row r="41" spans="1:20" x14ac:dyDescent="0.25">
      <c r="A41" s="7">
        <v>38</v>
      </c>
      <c r="D41" s="9" t="s">
        <v>133</v>
      </c>
      <c r="E41" s="10"/>
      <c r="F41" s="10"/>
      <c r="G41" s="11"/>
      <c r="H41" s="12">
        <v>0</v>
      </c>
      <c r="I41" s="7" t="s">
        <v>2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4">
        <f t="shared" si="0"/>
        <v>0</v>
      </c>
      <c r="Q41" s="1" t="s">
        <v>14</v>
      </c>
      <c r="R41" s="44">
        <v>20</v>
      </c>
      <c r="S41" s="47">
        <v>50</v>
      </c>
      <c r="T41" s="4"/>
    </row>
    <row r="42" spans="1:20" x14ac:dyDescent="0.25">
      <c r="A42" s="7">
        <v>39</v>
      </c>
      <c r="D42" s="16" t="s">
        <v>145</v>
      </c>
      <c r="E42" s="17"/>
      <c r="F42" s="17"/>
      <c r="G42" s="18"/>
      <c r="H42" s="12">
        <v>17</v>
      </c>
      <c r="I42" s="7" t="s">
        <v>2</v>
      </c>
      <c r="J42" s="3">
        <v>0</v>
      </c>
      <c r="K42" s="3">
        <v>0</v>
      </c>
      <c r="L42" s="3">
        <v>4</v>
      </c>
      <c r="M42" s="3">
        <v>0</v>
      </c>
      <c r="N42" s="3">
        <v>0</v>
      </c>
      <c r="O42" s="3">
        <v>0</v>
      </c>
      <c r="P42" s="4">
        <f t="shared" si="0"/>
        <v>13</v>
      </c>
      <c r="Q42" s="1" t="s">
        <v>14</v>
      </c>
      <c r="R42" s="44">
        <v>20</v>
      </c>
      <c r="S42" s="46">
        <v>50</v>
      </c>
      <c r="T42" s="4"/>
    </row>
    <row r="43" spans="1:20" x14ac:dyDescent="0.25">
      <c r="A43" s="7">
        <v>40</v>
      </c>
      <c r="D43" s="9" t="s">
        <v>71</v>
      </c>
      <c r="E43" s="10"/>
      <c r="F43" s="10"/>
      <c r="G43" s="11"/>
      <c r="H43" s="12">
        <v>0</v>
      </c>
      <c r="I43" s="7" t="s">
        <v>2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4">
        <f t="shared" si="0"/>
        <v>0</v>
      </c>
      <c r="Q43" s="1" t="s">
        <v>14</v>
      </c>
      <c r="R43" s="44">
        <v>5</v>
      </c>
      <c r="S43" s="47">
        <v>10</v>
      </c>
      <c r="T43" s="4"/>
    </row>
    <row r="44" spans="1:20" x14ac:dyDescent="0.25">
      <c r="A44" s="7">
        <v>41</v>
      </c>
      <c r="D44" s="16" t="s">
        <v>10</v>
      </c>
      <c r="E44" s="17"/>
      <c r="F44" s="17"/>
      <c r="G44" s="18"/>
      <c r="H44" s="12">
        <v>321</v>
      </c>
      <c r="I44" s="7" t="s">
        <v>2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24</v>
      </c>
      <c r="P44" s="4">
        <f t="shared" si="0"/>
        <v>297</v>
      </c>
      <c r="Q44" s="1" t="s">
        <v>14</v>
      </c>
      <c r="R44" s="44">
        <v>40</v>
      </c>
      <c r="S44" s="47">
        <v>100</v>
      </c>
      <c r="T44" s="4"/>
    </row>
    <row r="45" spans="1:20" x14ac:dyDescent="0.25">
      <c r="A45" s="7">
        <v>42</v>
      </c>
      <c r="D45" s="9" t="s">
        <v>45</v>
      </c>
      <c r="E45" s="10"/>
      <c r="F45" s="10"/>
      <c r="G45" s="11"/>
      <c r="H45" s="12">
        <v>157</v>
      </c>
      <c r="I45" s="7" t="s">
        <v>2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24</v>
      </c>
      <c r="P45" s="4">
        <f t="shared" si="0"/>
        <v>133</v>
      </c>
      <c r="Q45" s="1" t="s">
        <v>14</v>
      </c>
      <c r="R45" s="44">
        <v>20</v>
      </c>
      <c r="S45" s="47">
        <v>50</v>
      </c>
      <c r="T45" s="4"/>
    </row>
    <row r="46" spans="1:20" x14ac:dyDescent="0.25">
      <c r="A46" s="7">
        <v>43</v>
      </c>
      <c r="D46" s="16" t="s">
        <v>46</v>
      </c>
      <c r="E46" s="17"/>
      <c r="F46" s="17"/>
      <c r="G46" s="18"/>
      <c r="H46" s="12">
        <v>143</v>
      </c>
      <c r="I46" s="7" t="s">
        <v>2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24</v>
      </c>
      <c r="P46" s="4">
        <f t="shared" si="0"/>
        <v>119</v>
      </c>
      <c r="Q46" s="1" t="s">
        <v>14</v>
      </c>
      <c r="R46" s="44">
        <v>20</v>
      </c>
      <c r="S46" s="47">
        <v>50</v>
      </c>
      <c r="T46" s="4"/>
    </row>
    <row r="47" spans="1:20" x14ac:dyDescent="0.25">
      <c r="A47" s="7">
        <v>44</v>
      </c>
      <c r="D47" s="9" t="s">
        <v>47</v>
      </c>
      <c r="E47" s="10"/>
      <c r="F47" s="10"/>
      <c r="G47" s="11"/>
      <c r="H47" s="12">
        <v>204</v>
      </c>
      <c r="I47" s="7" t="s">
        <v>2</v>
      </c>
      <c r="J47" s="3">
        <v>0</v>
      </c>
      <c r="K47" s="3">
        <v>0</v>
      </c>
      <c r="L47" s="3">
        <v>105</v>
      </c>
      <c r="M47" s="3">
        <v>0</v>
      </c>
      <c r="N47" s="3">
        <v>0</v>
      </c>
      <c r="O47" s="3">
        <v>24</v>
      </c>
      <c r="P47" s="4">
        <f t="shared" si="0"/>
        <v>75</v>
      </c>
      <c r="Q47" s="1" t="s">
        <v>14</v>
      </c>
      <c r="R47" s="44">
        <v>20</v>
      </c>
      <c r="S47" s="47">
        <v>50</v>
      </c>
      <c r="T47" s="4"/>
    </row>
    <row r="48" spans="1:20" x14ac:dyDescent="0.25">
      <c r="A48" s="7">
        <v>45</v>
      </c>
      <c r="D48" s="16" t="s">
        <v>79</v>
      </c>
      <c r="E48" s="17"/>
      <c r="F48" s="17"/>
      <c r="G48" s="18"/>
      <c r="H48" s="12">
        <v>7</v>
      </c>
      <c r="I48" s="7" t="s">
        <v>2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4">
        <f t="shared" si="0"/>
        <v>7</v>
      </c>
      <c r="Q48" s="1" t="s">
        <v>14</v>
      </c>
      <c r="R48" s="44">
        <v>10</v>
      </c>
      <c r="S48" s="47">
        <v>20</v>
      </c>
      <c r="T48" s="4"/>
    </row>
    <row r="49" spans="1:20" x14ac:dyDescent="0.25">
      <c r="A49" s="7">
        <v>46</v>
      </c>
      <c r="D49" s="9" t="s">
        <v>48</v>
      </c>
      <c r="E49" s="10"/>
      <c r="F49" s="10"/>
      <c r="G49" s="11"/>
      <c r="H49" s="12">
        <v>104</v>
      </c>
      <c r="I49" s="7" t="s">
        <v>2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26</v>
      </c>
      <c r="P49" s="4">
        <f t="shared" si="0"/>
        <v>78</v>
      </c>
      <c r="Q49" s="1" t="s">
        <v>14</v>
      </c>
      <c r="R49" s="44">
        <v>10</v>
      </c>
      <c r="S49" s="47">
        <v>20</v>
      </c>
      <c r="T49" s="4" t="s">
        <v>14</v>
      </c>
    </row>
    <row r="50" spans="1:20" x14ac:dyDescent="0.25">
      <c r="A50" s="7">
        <v>47</v>
      </c>
      <c r="D50" s="16" t="s">
        <v>49</v>
      </c>
      <c r="E50" s="17"/>
      <c r="F50" s="17"/>
      <c r="G50" s="18"/>
      <c r="H50" s="12">
        <v>140</v>
      </c>
      <c r="I50" s="7" t="s">
        <v>2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26</v>
      </c>
      <c r="P50" s="4">
        <f t="shared" si="0"/>
        <v>114</v>
      </c>
      <c r="Q50" s="1" t="s">
        <v>14</v>
      </c>
      <c r="R50" s="44">
        <v>10</v>
      </c>
      <c r="S50" s="47">
        <v>20</v>
      </c>
      <c r="T50" s="4"/>
    </row>
    <row r="51" spans="1:20" x14ac:dyDescent="0.25">
      <c r="A51" s="7">
        <v>48</v>
      </c>
      <c r="D51" s="9" t="s">
        <v>159</v>
      </c>
      <c r="E51" s="10"/>
      <c r="F51" s="10"/>
      <c r="G51" s="11"/>
      <c r="H51" s="12">
        <v>30</v>
      </c>
      <c r="I51" s="7" t="s">
        <v>1</v>
      </c>
      <c r="J51" s="3">
        <v>0</v>
      </c>
      <c r="K51" s="3">
        <v>0</v>
      </c>
      <c r="L51" s="3">
        <v>0</v>
      </c>
      <c r="M51" s="3">
        <v>15</v>
      </c>
      <c r="N51" s="3">
        <v>0</v>
      </c>
      <c r="O51" s="3">
        <v>0</v>
      </c>
      <c r="P51" s="4">
        <f t="shared" si="0"/>
        <v>15</v>
      </c>
      <c r="Q51" s="1" t="s">
        <v>14</v>
      </c>
      <c r="R51" s="44">
        <v>20</v>
      </c>
      <c r="S51" s="47">
        <v>100</v>
      </c>
      <c r="T51" s="4"/>
    </row>
    <row r="52" spans="1:20" x14ac:dyDescent="0.25">
      <c r="A52" s="7">
        <v>49</v>
      </c>
      <c r="D52" s="85"/>
      <c r="E52" s="86"/>
      <c r="F52" s="84" t="s">
        <v>111</v>
      </c>
      <c r="G52" s="87"/>
      <c r="H52" s="12">
        <v>62</v>
      </c>
      <c r="I52" s="7" t="s">
        <v>2</v>
      </c>
      <c r="J52" s="3">
        <v>0</v>
      </c>
      <c r="K52" s="3">
        <v>2</v>
      </c>
      <c r="L52" s="3">
        <v>0</v>
      </c>
      <c r="M52" s="3">
        <v>0</v>
      </c>
      <c r="N52" s="3">
        <v>0</v>
      </c>
      <c r="O52" s="3">
        <v>0</v>
      </c>
      <c r="P52" s="4">
        <f t="shared" si="0"/>
        <v>60</v>
      </c>
      <c r="Q52" s="1" t="s">
        <v>14</v>
      </c>
      <c r="R52" s="44">
        <v>30</v>
      </c>
      <c r="S52" s="47">
        <v>100</v>
      </c>
      <c r="T52" s="4"/>
    </row>
    <row r="53" spans="1:20" x14ac:dyDescent="0.25">
      <c r="A53" s="7">
        <v>50</v>
      </c>
      <c r="D53" s="9" t="s">
        <v>51</v>
      </c>
      <c r="E53" s="10"/>
      <c r="F53" s="10"/>
      <c r="G53" s="11"/>
      <c r="H53" s="12">
        <v>23</v>
      </c>
      <c r="I53" s="7" t="s">
        <v>2</v>
      </c>
      <c r="J53" s="3">
        <v>100</v>
      </c>
      <c r="K53" s="3">
        <v>0</v>
      </c>
      <c r="L53" s="3">
        <v>2</v>
      </c>
      <c r="M53" s="3">
        <v>8</v>
      </c>
      <c r="N53" s="3">
        <v>0</v>
      </c>
      <c r="O53" s="3">
        <v>2</v>
      </c>
      <c r="P53" s="4">
        <f t="shared" si="0"/>
        <v>111</v>
      </c>
      <c r="Q53" s="1" t="s">
        <v>14</v>
      </c>
      <c r="R53" s="44">
        <v>20</v>
      </c>
      <c r="S53" s="47">
        <v>50</v>
      </c>
      <c r="T53" s="4"/>
    </row>
    <row r="54" spans="1:20" x14ac:dyDescent="0.25">
      <c r="A54" s="7">
        <v>51</v>
      </c>
      <c r="D54" s="16" t="s">
        <v>52</v>
      </c>
      <c r="E54" s="17"/>
      <c r="F54" s="17"/>
      <c r="G54" s="18"/>
      <c r="H54" s="12">
        <v>13</v>
      </c>
      <c r="I54" s="7" t="s">
        <v>2</v>
      </c>
      <c r="J54" s="3">
        <v>100</v>
      </c>
      <c r="K54" s="3">
        <v>0</v>
      </c>
      <c r="L54" s="3">
        <v>2</v>
      </c>
      <c r="M54" s="3">
        <v>8</v>
      </c>
      <c r="N54" s="3">
        <v>0</v>
      </c>
      <c r="O54" s="3">
        <v>2</v>
      </c>
      <c r="P54" s="4">
        <f t="shared" si="0"/>
        <v>101</v>
      </c>
      <c r="Q54" s="1" t="s">
        <v>14</v>
      </c>
      <c r="R54" s="44">
        <v>20</v>
      </c>
      <c r="S54" s="47">
        <v>50</v>
      </c>
      <c r="T54" s="4" t="s">
        <v>14</v>
      </c>
    </row>
    <row r="55" spans="1:20" x14ac:dyDescent="0.25">
      <c r="A55" s="7">
        <v>52</v>
      </c>
      <c r="D55" s="9" t="s">
        <v>53</v>
      </c>
      <c r="E55" s="10"/>
      <c r="F55" s="10"/>
      <c r="G55" s="11"/>
      <c r="H55" s="12">
        <v>11</v>
      </c>
      <c r="I55" s="7" t="s">
        <v>2</v>
      </c>
      <c r="J55" s="3">
        <v>100</v>
      </c>
      <c r="K55" s="3">
        <v>0</v>
      </c>
      <c r="L55" s="3">
        <v>2</v>
      </c>
      <c r="M55" s="3">
        <v>8</v>
      </c>
      <c r="N55" s="3">
        <v>0</v>
      </c>
      <c r="O55" s="3">
        <v>2</v>
      </c>
      <c r="P55" s="4">
        <f t="shared" si="0"/>
        <v>99</v>
      </c>
      <c r="Q55" s="1" t="s">
        <v>14</v>
      </c>
      <c r="R55" s="44">
        <v>20</v>
      </c>
      <c r="S55" s="47">
        <v>50</v>
      </c>
      <c r="T55" s="4"/>
    </row>
    <row r="56" spans="1:20" x14ac:dyDescent="0.25">
      <c r="A56" s="7">
        <v>53</v>
      </c>
      <c r="D56" s="70" t="s">
        <v>54</v>
      </c>
      <c r="E56" s="71"/>
      <c r="F56" s="71"/>
      <c r="G56" s="72"/>
      <c r="H56" s="12">
        <v>825</v>
      </c>
      <c r="I56" s="7" t="s">
        <v>1</v>
      </c>
      <c r="J56" s="3">
        <v>0</v>
      </c>
      <c r="K56" s="3">
        <v>45</v>
      </c>
      <c r="L56" s="3">
        <v>75</v>
      </c>
      <c r="M56" s="3">
        <v>195</v>
      </c>
      <c r="N56" s="3">
        <v>0</v>
      </c>
      <c r="O56" s="3">
        <v>150</v>
      </c>
      <c r="P56" s="4">
        <f t="shared" si="0"/>
        <v>360</v>
      </c>
      <c r="Q56" s="1" t="s">
        <v>120</v>
      </c>
      <c r="R56" s="44">
        <v>250</v>
      </c>
      <c r="S56" s="47">
        <v>750</v>
      </c>
      <c r="T56" s="4"/>
    </row>
    <row r="57" spans="1:20" x14ac:dyDescent="0.25">
      <c r="A57" s="7">
        <v>54</v>
      </c>
      <c r="D57" s="16" t="s">
        <v>61</v>
      </c>
      <c r="E57" s="17"/>
      <c r="F57" s="17"/>
      <c r="G57" s="18"/>
      <c r="H57" s="12">
        <v>246</v>
      </c>
      <c r="I57" s="7" t="s">
        <v>2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  <c r="P57" s="4">
        <f t="shared" si="0"/>
        <v>246</v>
      </c>
      <c r="Q57" s="1" t="s">
        <v>14</v>
      </c>
      <c r="R57" s="44">
        <v>0</v>
      </c>
      <c r="S57" s="46"/>
      <c r="T57" s="4"/>
    </row>
    <row r="58" spans="1:20" x14ac:dyDescent="0.25">
      <c r="A58" s="7">
        <v>55</v>
      </c>
      <c r="D58" s="9" t="s">
        <v>62</v>
      </c>
      <c r="E58" s="10"/>
      <c r="F58" s="10"/>
      <c r="G58" s="11"/>
      <c r="H58" s="12">
        <v>762</v>
      </c>
      <c r="I58" s="7" t="s">
        <v>2</v>
      </c>
      <c r="J58" s="3">
        <v>200</v>
      </c>
      <c r="K58" s="3">
        <v>0</v>
      </c>
      <c r="L58" s="3">
        <v>0</v>
      </c>
      <c r="M58" s="3">
        <v>226</v>
      </c>
      <c r="N58" s="3">
        <v>0</v>
      </c>
      <c r="O58" s="3">
        <v>241</v>
      </c>
      <c r="P58" s="4">
        <f t="shared" si="0"/>
        <v>495</v>
      </c>
      <c r="Q58" s="1" t="s">
        <v>14</v>
      </c>
      <c r="R58" s="44">
        <v>200</v>
      </c>
      <c r="S58" s="47">
        <v>1000</v>
      </c>
      <c r="T58" s="4"/>
    </row>
    <row r="59" spans="1:20" x14ac:dyDescent="0.25">
      <c r="A59" s="7">
        <v>56</v>
      </c>
      <c r="D59" s="16" t="s">
        <v>13</v>
      </c>
      <c r="E59" s="17"/>
      <c r="F59" s="17"/>
      <c r="G59" s="18"/>
      <c r="H59" s="12">
        <v>59</v>
      </c>
      <c r="I59" s="7" t="s">
        <v>2</v>
      </c>
      <c r="J59" s="3">
        <v>300</v>
      </c>
      <c r="K59" s="3">
        <v>0</v>
      </c>
      <c r="L59" s="3">
        <v>0</v>
      </c>
      <c r="M59" s="3">
        <v>0</v>
      </c>
      <c r="N59" s="3">
        <v>0</v>
      </c>
      <c r="O59" s="3">
        <v>123</v>
      </c>
      <c r="P59" s="4">
        <f t="shared" si="0"/>
        <v>236</v>
      </c>
      <c r="Q59" s="1" t="s">
        <v>14</v>
      </c>
      <c r="R59" s="44">
        <v>100</v>
      </c>
      <c r="S59" s="47">
        <v>300</v>
      </c>
      <c r="T59" s="4"/>
    </row>
    <row r="60" spans="1:20" x14ac:dyDescent="0.25">
      <c r="A60" s="7">
        <v>57</v>
      </c>
      <c r="D60" s="9" t="s">
        <v>72</v>
      </c>
      <c r="E60" s="10"/>
      <c r="F60" s="10"/>
      <c r="G60" s="11"/>
      <c r="H60" s="12">
        <v>150</v>
      </c>
      <c r="I60" s="7" t="s">
        <v>2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4">
        <f t="shared" si="0"/>
        <v>150</v>
      </c>
      <c r="Q60" s="1" t="s">
        <v>14</v>
      </c>
      <c r="R60" s="44">
        <v>100</v>
      </c>
      <c r="S60" s="47">
        <v>300</v>
      </c>
      <c r="T60" s="4"/>
    </row>
    <row r="61" spans="1:20" x14ac:dyDescent="0.25">
      <c r="A61" s="7">
        <v>58</v>
      </c>
      <c r="D61" s="16" t="s">
        <v>63</v>
      </c>
      <c r="E61" s="17"/>
      <c r="F61" s="17"/>
      <c r="G61" s="18"/>
      <c r="H61" s="12">
        <v>100</v>
      </c>
      <c r="I61" s="7" t="s">
        <v>2</v>
      </c>
      <c r="J61" s="3">
        <v>150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4">
        <f t="shared" si="0"/>
        <v>250</v>
      </c>
      <c r="Q61" s="1" t="s">
        <v>14</v>
      </c>
      <c r="R61" s="44">
        <v>100</v>
      </c>
      <c r="S61" s="47">
        <v>300</v>
      </c>
      <c r="T61" s="4"/>
    </row>
    <row r="62" spans="1:20" x14ac:dyDescent="0.25">
      <c r="A62" s="7">
        <v>59</v>
      </c>
      <c r="D62" s="9" t="s">
        <v>77</v>
      </c>
      <c r="E62" s="10"/>
      <c r="F62" s="10"/>
      <c r="G62" s="11"/>
      <c r="H62" s="12">
        <v>750</v>
      </c>
      <c r="I62" s="7" t="s">
        <v>2</v>
      </c>
      <c r="J62" s="3">
        <v>0</v>
      </c>
      <c r="K62" s="3">
        <v>0</v>
      </c>
      <c r="L62" s="3">
        <v>0</v>
      </c>
      <c r="M62" s="3">
        <v>240</v>
      </c>
      <c r="N62" s="3">
        <v>0</v>
      </c>
      <c r="O62" s="3">
        <v>0</v>
      </c>
      <c r="P62" s="4">
        <f t="shared" si="0"/>
        <v>510</v>
      </c>
      <c r="Q62" s="1" t="s">
        <v>14</v>
      </c>
      <c r="R62" s="44">
        <v>100</v>
      </c>
      <c r="S62" s="47">
        <v>300</v>
      </c>
      <c r="T62" s="4"/>
    </row>
    <row r="63" spans="1:20" x14ac:dyDescent="0.25">
      <c r="A63" s="7">
        <v>60</v>
      </c>
      <c r="D63" s="16" t="s">
        <v>130</v>
      </c>
      <c r="E63" s="17"/>
      <c r="F63" s="17"/>
      <c r="G63" s="18"/>
      <c r="H63" s="12">
        <v>114</v>
      </c>
      <c r="I63" s="7" t="s">
        <v>2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1</v>
      </c>
      <c r="P63" s="4">
        <f t="shared" si="0"/>
        <v>113</v>
      </c>
      <c r="Q63" s="1" t="s">
        <v>14</v>
      </c>
      <c r="R63" s="44">
        <v>0</v>
      </c>
      <c r="S63" s="46"/>
      <c r="T63" s="4"/>
    </row>
    <row r="64" spans="1:20" x14ac:dyDescent="0.25">
      <c r="A64" s="7">
        <v>61</v>
      </c>
      <c r="D64" s="26" t="s">
        <v>146</v>
      </c>
      <c r="E64" s="27"/>
      <c r="F64" s="27"/>
      <c r="G64" s="28"/>
      <c r="H64" s="12">
        <v>20</v>
      </c>
      <c r="I64" s="30" t="s">
        <v>2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9</v>
      </c>
      <c r="P64" s="4">
        <f t="shared" si="0"/>
        <v>11</v>
      </c>
      <c r="Q64" s="1" t="s">
        <v>14</v>
      </c>
      <c r="R64" s="44">
        <v>50</v>
      </c>
      <c r="S64" s="47">
        <v>100</v>
      </c>
      <c r="T64" s="4"/>
    </row>
    <row r="65" spans="1:20" x14ac:dyDescent="0.25">
      <c r="A65" s="7">
        <v>62</v>
      </c>
      <c r="D65" s="16" t="s">
        <v>65</v>
      </c>
      <c r="E65" s="17"/>
      <c r="F65" s="17"/>
      <c r="G65" s="18"/>
      <c r="H65" s="12">
        <v>59</v>
      </c>
      <c r="I65" s="7" t="s">
        <v>2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4">
        <f t="shared" si="0"/>
        <v>59</v>
      </c>
      <c r="Q65" s="1" t="s">
        <v>14</v>
      </c>
      <c r="R65" s="44">
        <v>0</v>
      </c>
      <c r="S65" s="46"/>
      <c r="T65" s="4"/>
    </row>
    <row r="66" spans="1:20" x14ac:dyDescent="0.25">
      <c r="A66" s="7">
        <v>63</v>
      </c>
      <c r="D66" s="9" t="s">
        <v>66</v>
      </c>
      <c r="E66" s="10"/>
      <c r="F66" s="10"/>
      <c r="G66" s="11"/>
      <c r="H66" s="12">
        <v>50</v>
      </c>
      <c r="I66" s="7" t="s">
        <v>2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  <c r="P66" s="4">
        <f t="shared" si="0"/>
        <v>50</v>
      </c>
      <c r="Q66" s="1" t="s">
        <v>14</v>
      </c>
      <c r="R66" s="44">
        <v>300</v>
      </c>
      <c r="S66" s="47">
        <v>1000</v>
      </c>
      <c r="T66" s="4"/>
    </row>
    <row r="67" spans="1:20" x14ac:dyDescent="0.25">
      <c r="A67" s="7">
        <v>64</v>
      </c>
      <c r="D67" s="19" t="s">
        <v>165</v>
      </c>
      <c r="E67" s="20"/>
      <c r="F67" s="20"/>
      <c r="G67" s="21"/>
      <c r="H67" s="12">
        <v>100</v>
      </c>
      <c r="I67" s="7" t="s">
        <v>2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  <c r="P67" s="4">
        <f t="shared" si="0"/>
        <v>100</v>
      </c>
      <c r="Q67" s="1" t="s">
        <v>14</v>
      </c>
      <c r="R67" s="44">
        <v>50</v>
      </c>
      <c r="S67" s="47">
        <v>150</v>
      </c>
      <c r="T67" s="4"/>
    </row>
    <row r="68" spans="1:20" x14ac:dyDescent="0.25">
      <c r="A68" s="7">
        <v>65</v>
      </c>
      <c r="D68" s="22" t="s">
        <v>74</v>
      </c>
      <c r="E68" s="10"/>
      <c r="F68" s="10"/>
      <c r="G68" s="11"/>
      <c r="H68" s="12">
        <v>250</v>
      </c>
      <c r="I68" s="8" t="s">
        <v>75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4">
        <f t="shared" ref="P68:P89" si="1">+H68+J68-K68-L68-M68-N68-O68</f>
        <v>250</v>
      </c>
      <c r="Q68" s="1" t="s">
        <v>91</v>
      </c>
      <c r="R68" s="44">
        <v>65</v>
      </c>
      <c r="S68" s="47">
        <v>150</v>
      </c>
      <c r="T68" s="4"/>
    </row>
    <row r="69" spans="1:20" x14ac:dyDescent="0.25">
      <c r="A69" s="7">
        <v>66</v>
      </c>
      <c r="C69" s="1" t="s">
        <v>14</v>
      </c>
      <c r="D69" s="22" t="s">
        <v>76</v>
      </c>
      <c r="E69" s="10"/>
      <c r="F69" s="10"/>
      <c r="G69" s="11"/>
      <c r="H69" s="12">
        <v>240</v>
      </c>
      <c r="I69" s="8" t="s">
        <v>2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4">
        <f t="shared" si="1"/>
        <v>240</v>
      </c>
      <c r="Q69" s="1" t="s">
        <v>14</v>
      </c>
      <c r="R69" s="44">
        <v>50</v>
      </c>
      <c r="S69" s="47">
        <v>100</v>
      </c>
      <c r="T69" s="4"/>
    </row>
    <row r="70" spans="1:20" x14ac:dyDescent="0.25">
      <c r="A70" s="7">
        <v>67</v>
      </c>
      <c r="D70" s="25" t="s">
        <v>147</v>
      </c>
      <c r="H70" s="12">
        <v>114</v>
      </c>
      <c r="I70" s="30" t="s">
        <v>2</v>
      </c>
      <c r="J70" s="3">
        <v>100</v>
      </c>
      <c r="K70" s="3">
        <v>0</v>
      </c>
      <c r="L70" s="3">
        <v>0</v>
      </c>
      <c r="M70" s="3">
        <v>0</v>
      </c>
      <c r="N70" s="3">
        <v>0</v>
      </c>
      <c r="O70" s="3">
        <v>9</v>
      </c>
      <c r="P70" s="4">
        <f t="shared" si="1"/>
        <v>205</v>
      </c>
      <c r="Q70" s="1" t="s">
        <v>14</v>
      </c>
      <c r="R70" s="44">
        <v>50</v>
      </c>
      <c r="S70" s="47">
        <v>100</v>
      </c>
      <c r="T70" s="4"/>
    </row>
    <row r="71" spans="1:20" x14ac:dyDescent="0.25">
      <c r="A71" s="7">
        <v>68</v>
      </c>
      <c r="D71" s="26" t="s">
        <v>80</v>
      </c>
      <c r="E71" s="27"/>
      <c r="F71" s="27"/>
      <c r="G71" s="28"/>
      <c r="H71" s="12">
        <v>139</v>
      </c>
      <c r="I71" s="8" t="s">
        <v>2</v>
      </c>
      <c r="J71" s="3">
        <v>0</v>
      </c>
      <c r="K71" s="3">
        <v>0</v>
      </c>
      <c r="L71" s="3">
        <v>100</v>
      </c>
      <c r="M71" s="3">
        <v>0</v>
      </c>
      <c r="N71" s="3">
        <v>0</v>
      </c>
      <c r="O71" s="3">
        <v>2</v>
      </c>
      <c r="P71" s="4">
        <f t="shared" si="1"/>
        <v>37</v>
      </c>
      <c r="Q71" s="1" t="s">
        <v>14</v>
      </c>
      <c r="R71" s="44">
        <v>0</v>
      </c>
      <c r="S71" s="46"/>
      <c r="T71" s="4"/>
    </row>
    <row r="72" spans="1:20" x14ac:dyDescent="0.25">
      <c r="A72" s="7">
        <v>69</v>
      </c>
      <c r="D72" s="26" t="s">
        <v>84</v>
      </c>
      <c r="E72" s="27"/>
      <c r="F72" s="27"/>
      <c r="G72" s="28"/>
      <c r="H72" s="12">
        <v>450</v>
      </c>
      <c r="I72" s="8" t="s">
        <v>2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  <c r="P72" s="4">
        <f t="shared" si="1"/>
        <v>450</v>
      </c>
      <c r="Q72" s="1" t="s">
        <v>14</v>
      </c>
      <c r="R72" s="44">
        <v>100</v>
      </c>
      <c r="S72" s="47">
        <v>200</v>
      </c>
      <c r="T72" s="4"/>
    </row>
    <row r="73" spans="1:20" x14ac:dyDescent="0.25">
      <c r="A73" s="7">
        <v>70</v>
      </c>
      <c r="D73" s="26" t="s">
        <v>167</v>
      </c>
      <c r="E73" s="27"/>
      <c r="F73" s="27"/>
      <c r="G73" s="28"/>
      <c r="H73" s="12">
        <v>200</v>
      </c>
      <c r="I73" s="8" t="s">
        <v>2</v>
      </c>
      <c r="J73" s="3">
        <v>0</v>
      </c>
      <c r="K73" s="3">
        <v>0</v>
      </c>
      <c r="L73" s="3">
        <v>103</v>
      </c>
      <c r="M73" s="3">
        <v>0</v>
      </c>
      <c r="N73" s="3">
        <v>0</v>
      </c>
      <c r="O73" s="3">
        <v>2</v>
      </c>
      <c r="P73" s="4">
        <f t="shared" si="1"/>
        <v>95</v>
      </c>
      <c r="R73" s="44">
        <v>0</v>
      </c>
      <c r="S73" s="46"/>
      <c r="T73" s="4"/>
    </row>
    <row r="74" spans="1:20" x14ac:dyDescent="0.25">
      <c r="A74" s="7">
        <v>71</v>
      </c>
      <c r="D74" s="37" t="s">
        <v>99</v>
      </c>
      <c r="E74" s="17"/>
      <c r="F74" s="33"/>
      <c r="G74" s="33"/>
      <c r="H74" s="12">
        <v>307.60000000000002</v>
      </c>
      <c r="I74" s="8" t="s">
        <v>75</v>
      </c>
      <c r="J74" s="3">
        <v>0</v>
      </c>
      <c r="K74" s="3">
        <v>0</v>
      </c>
      <c r="L74" s="3">
        <v>50</v>
      </c>
      <c r="M74" s="3">
        <v>100</v>
      </c>
      <c r="N74" s="3">
        <v>0</v>
      </c>
      <c r="O74" s="3">
        <v>25</v>
      </c>
      <c r="P74" s="4">
        <f t="shared" si="1"/>
        <v>132.60000000000002</v>
      </c>
      <c r="Q74" s="1" t="s">
        <v>163</v>
      </c>
      <c r="R74" s="44">
        <v>100</v>
      </c>
      <c r="S74" s="47">
        <v>500</v>
      </c>
      <c r="T74" s="4"/>
    </row>
    <row r="75" spans="1:20" x14ac:dyDescent="0.25">
      <c r="A75" s="7">
        <v>72</v>
      </c>
      <c r="D75" s="22" t="s">
        <v>100</v>
      </c>
      <c r="E75" s="10"/>
      <c r="F75" s="10"/>
      <c r="G75" s="28"/>
      <c r="H75" s="12">
        <v>0</v>
      </c>
      <c r="I75" s="8" t="s">
        <v>2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4">
        <f t="shared" si="1"/>
        <v>0</v>
      </c>
      <c r="R75" s="44">
        <v>0</v>
      </c>
      <c r="S75" s="46"/>
      <c r="T75" s="4"/>
    </row>
    <row r="76" spans="1:20" x14ac:dyDescent="0.25">
      <c r="A76" s="7">
        <v>73</v>
      </c>
      <c r="D76" s="37" t="s">
        <v>113</v>
      </c>
      <c r="E76" s="17"/>
      <c r="F76" s="17"/>
      <c r="G76" s="33"/>
      <c r="H76" s="12">
        <v>1108.8</v>
      </c>
      <c r="I76" s="8" t="s">
        <v>97</v>
      </c>
      <c r="J76" s="3">
        <v>0</v>
      </c>
      <c r="K76" s="3">
        <v>0</v>
      </c>
      <c r="L76" s="3">
        <v>29.7</v>
      </c>
      <c r="M76" s="3">
        <v>23</v>
      </c>
      <c r="N76" s="3">
        <v>0</v>
      </c>
      <c r="O76" s="3">
        <v>50.6</v>
      </c>
      <c r="P76" s="4">
        <f t="shared" si="1"/>
        <v>1005.4999999999999</v>
      </c>
      <c r="Q76" s="65" t="s">
        <v>121</v>
      </c>
      <c r="R76" s="44">
        <v>30</v>
      </c>
      <c r="S76" s="47">
        <v>100</v>
      </c>
      <c r="T76" s="4"/>
    </row>
    <row r="77" spans="1:20" x14ac:dyDescent="0.25">
      <c r="A77" s="7">
        <v>74</v>
      </c>
      <c r="D77" s="22" t="s">
        <v>103</v>
      </c>
      <c r="E77" s="10"/>
      <c r="F77" s="10"/>
      <c r="G77" s="28"/>
      <c r="H77" s="12">
        <v>120</v>
      </c>
      <c r="I77" s="8" t="s">
        <v>2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4">
        <f t="shared" si="1"/>
        <v>120</v>
      </c>
      <c r="R77" s="44">
        <v>60</v>
      </c>
      <c r="S77" s="47">
        <v>100</v>
      </c>
      <c r="T77" s="4"/>
    </row>
    <row r="78" spans="1:20" x14ac:dyDescent="0.25">
      <c r="A78" s="8">
        <v>75</v>
      </c>
      <c r="D78" s="49" t="s">
        <v>108</v>
      </c>
      <c r="E78" s="20"/>
      <c r="F78" s="20"/>
      <c r="G78" s="20"/>
      <c r="H78" s="12">
        <v>34500</v>
      </c>
      <c r="I78" s="8" t="s">
        <v>110</v>
      </c>
      <c r="J78" s="3">
        <v>0</v>
      </c>
      <c r="K78" s="3">
        <v>500</v>
      </c>
      <c r="L78" s="3">
        <v>1000</v>
      </c>
      <c r="M78" s="3">
        <v>4500</v>
      </c>
      <c r="N78" s="3">
        <v>0</v>
      </c>
      <c r="O78" s="3">
        <v>3500</v>
      </c>
      <c r="P78" s="4">
        <f t="shared" si="1"/>
        <v>25000</v>
      </c>
      <c r="R78" s="43">
        <v>1000</v>
      </c>
      <c r="S78" s="46">
        <v>10000</v>
      </c>
      <c r="T78" s="4"/>
    </row>
    <row r="79" spans="1:20" x14ac:dyDescent="0.25">
      <c r="A79" s="48">
        <v>76</v>
      </c>
      <c r="B79" s="41"/>
      <c r="C79" s="41"/>
      <c r="D79" s="22" t="s">
        <v>115</v>
      </c>
      <c r="E79" s="10"/>
      <c r="F79" s="10"/>
      <c r="G79" s="11"/>
      <c r="H79" s="12">
        <v>139</v>
      </c>
      <c r="I79" s="62" t="s">
        <v>2</v>
      </c>
      <c r="J79" s="3">
        <v>0</v>
      </c>
      <c r="K79" s="3">
        <v>70</v>
      </c>
      <c r="L79" s="3">
        <v>0</v>
      </c>
      <c r="M79" s="3">
        <v>3</v>
      </c>
      <c r="N79" s="3">
        <v>0</v>
      </c>
      <c r="O79" s="3">
        <v>17</v>
      </c>
      <c r="P79" s="64">
        <f t="shared" si="1"/>
        <v>49</v>
      </c>
      <c r="R79" s="64">
        <v>50</v>
      </c>
      <c r="S79" s="64">
        <v>100</v>
      </c>
      <c r="T79" s="4" t="s">
        <v>14</v>
      </c>
    </row>
    <row r="80" spans="1:20" x14ac:dyDescent="0.25">
      <c r="A80" s="73">
        <v>77</v>
      </c>
      <c r="B80" s="41"/>
      <c r="C80" s="41"/>
      <c r="D80" s="49" t="s">
        <v>134</v>
      </c>
      <c r="E80" s="35"/>
      <c r="F80" s="35"/>
      <c r="G80" s="60"/>
      <c r="H80" s="12">
        <v>325</v>
      </c>
      <c r="I80" s="8" t="s">
        <v>2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  <c r="P80" s="4">
        <f t="shared" si="1"/>
        <v>325</v>
      </c>
      <c r="Q80" s="4"/>
      <c r="R80" s="4">
        <v>20</v>
      </c>
      <c r="S80" s="4">
        <v>50</v>
      </c>
      <c r="T80" s="4"/>
    </row>
    <row r="81" spans="1:20" x14ac:dyDescent="0.25">
      <c r="A81" s="8">
        <v>78</v>
      </c>
      <c r="D81" s="22" t="s">
        <v>123</v>
      </c>
      <c r="E81" s="10"/>
      <c r="F81" s="10"/>
      <c r="G81" s="11"/>
      <c r="H81" s="12">
        <v>2500</v>
      </c>
      <c r="I81" s="8" t="s">
        <v>2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  <c r="P81" s="4">
        <f t="shared" si="1"/>
        <v>2500</v>
      </c>
      <c r="Q81" s="4"/>
      <c r="R81" s="4">
        <v>100</v>
      </c>
      <c r="S81" s="4">
        <v>500</v>
      </c>
      <c r="T81" s="4"/>
    </row>
    <row r="82" spans="1:20" x14ac:dyDescent="0.25">
      <c r="A82" s="48">
        <v>79</v>
      </c>
      <c r="B82" s="41"/>
      <c r="C82" s="41"/>
      <c r="D82" s="22" t="s">
        <v>154</v>
      </c>
      <c r="E82" s="10"/>
      <c r="F82" s="10"/>
      <c r="G82" s="11"/>
      <c r="H82" s="4">
        <v>15</v>
      </c>
      <c r="I82" s="8" t="s">
        <v>2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  <c r="P82" s="4">
        <f t="shared" si="1"/>
        <v>15</v>
      </c>
      <c r="Q82" s="4"/>
      <c r="R82" s="4"/>
      <c r="S82" s="4"/>
      <c r="T82" s="4"/>
    </row>
    <row r="83" spans="1:20" x14ac:dyDescent="0.25">
      <c r="A83" s="48">
        <v>80</v>
      </c>
      <c r="B83" s="41"/>
      <c r="C83" s="41"/>
      <c r="D83" s="37" t="s">
        <v>155</v>
      </c>
      <c r="E83" s="17"/>
      <c r="F83" s="17"/>
      <c r="G83" s="18"/>
      <c r="H83" s="64">
        <v>15</v>
      </c>
      <c r="I83" s="62" t="s">
        <v>2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64">
        <f t="shared" si="1"/>
        <v>15</v>
      </c>
      <c r="Q83" s="64"/>
      <c r="R83" s="64"/>
      <c r="S83" s="64"/>
      <c r="T83" s="4"/>
    </row>
    <row r="84" spans="1:20" x14ac:dyDescent="0.25">
      <c r="A84" s="48">
        <v>81</v>
      </c>
      <c r="B84" s="11"/>
      <c r="C84" s="23"/>
      <c r="D84" s="23" t="s">
        <v>149</v>
      </c>
      <c r="E84" s="23"/>
      <c r="F84" s="23"/>
      <c r="G84" s="23"/>
      <c r="H84" s="23">
        <v>12</v>
      </c>
      <c r="I84" s="8" t="s">
        <v>2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4">
        <f t="shared" si="1"/>
        <v>12</v>
      </c>
      <c r="Q84" s="4"/>
      <c r="R84" s="4"/>
      <c r="S84" s="4"/>
      <c r="T84" s="4"/>
    </row>
    <row r="85" spans="1:20" x14ac:dyDescent="0.25">
      <c r="A85" s="8">
        <v>82</v>
      </c>
      <c r="D85" s="68" t="s">
        <v>148</v>
      </c>
      <c r="E85" s="27"/>
      <c r="F85" s="27"/>
      <c r="G85" s="28"/>
      <c r="H85" s="4">
        <v>103</v>
      </c>
      <c r="I85" s="8" t="s">
        <v>2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5</v>
      </c>
      <c r="P85" s="4">
        <f t="shared" si="1"/>
        <v>98</v>
      </c>
      <c r="Q85" s="4"/>
      <c r="R85" s="4"/>
      <c r="S85" s="4"/>
      <c r="T85" s="4"/>
    </row>
    <row r="86" spans="1:20" ht="15.75" customHeight="1" x14ac:dyDescent="0.25">
      <c r="A86" s="8">
        <v>83</v>
      </c>
      <c r="D86" s="79" t="s">
        <v>150</v>
      </c>
      <c r="E86" s="80"/>
      <c r="F86" s="81"/>
      <c r="G86" s="82"/>
      <c r="H86" s="4">
        <v>444</v>
      </c>
      <c r="I86" s="8" t="s">
        <v>2</v>
      </c>
      <c r="J86" s="3">
        <v>0</v>
      </c>
      <c r="K86" s="3">
        <v>19</v>
      </c>
      <c r="L86" s="3">
        <v>0</v>
      </c>
      <c r="M86" s="3">
        <v>5</v>
      </c>
      <c r="N86" s="3">
        <v>0</v>
      </c>
      <c r="O86" s="3">
        <v>160</v>
      </c>
      <c r="P86" s="4">
        <f t="shared" si="1"/>
        <v>260</v>
      </c>
      <c r="Q86" s="4"/>
      <c r="R86" s="4">
        <v>50</v>
      </c>
      <c r="S86" s="4">
        <v>300</v>
      </c>
      <c r="T86" s="4"/>
    </row>
    <row r="87" spans="1:20" x14ac:dyDescent="0.25">
      <c r="A87" s="8">
        <v>84</v>
      </c>
      <c r="D87" s="22" t="s">
        <v>160</v>
      </c>
      <c r="E87" s="10"/>
      <c r="F87" s="10"/>
      <c r="G87" s="11"/>
      <c r="H87" s="23">
        <v>849</v>
      </c>
      <c r="I87" s="8" t="s">
        <v>2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8</v>
      </c>
      <c r="P87" s="4">
        <f t="shared" si="1"/>
        <v>841</v>
      </c>
      <c r="Q87" s="4"/>
      <c r="R87" s="4"/>
      <c r="S87" s="4"/>
      <c r="T87" s="4"/>
    </row>
    <row r="88" spans="1:20" x14ac:dyDescent="0.25">
      <c r="A88" s="8">
        <v>85</v>
      </c>
      <c r="D88" s="49" t="s">
        <v>153</v>
      </c>
      <c r="E88" s="20"/>
      <c r="F88" s="20"/>
      <c r="G88" s="21"/>
      <c r="H88" s="23">
        <v>88</v>
      </c>
      <c r="I88" s="8" t="s">
        <v>2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4">
        <f t="shared" si="1"/>
        <v>88</v>
      </c>
      <c r="Q88" s="4"/>
      <c r="R88" s="4"/>
      <c r="S88" s="4"/>
      <c r="T88" s="4"/>
    </row>
    <row r="89" spans="1:20" x14ac:dyDescent="0.25">
      <c r="A89" s="77">
        <v>86</v>
      </c>
      <c r="D89" s="68" t="s">
        <v>162</v>
      </c>
      <c r="E89" s="27"/>
      <c r="F89" s="27"/>
      <c r="G89" s="28"/>
      <c r="H89" s="74">
        <v>110</v>
      </c>
      <c r="I89" s="75" t="s">
        <v>2</v>
      </c>
      <c r="J89" s="3">
        <v>0</v>
      </c>
      <c r="K89" s="3">
        <v>0</v>
      </c>
      <c r="L89" s="3">
        <v>0</v>
      </c>
      <c r="M89" s="3">
        <v>0</v>
      </c>
      <c r="N89" s="3">
        <v>0</v>
      </c>
      <c r="O89" s="3">
        <v>0</v>
      </c>
      <c r="P89" s="4">
        <f t="shared" si="1"/>
        <v>110</v>
      </c>
      <c r="Q89" s="4"/>
      <c r="R89" s="4"/>
      <c r="S89" s="4"/>
      <c r="T89" s="4"/>
    </row>
  </sheetData>
  <pageMargins left="0.75" right="0.75" top="1" bottom="1" header="0.5" footer="0.5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T89"/>
  <sheetViews>
    <sheetView topLeftCell="A10" workbookViewId="0">
      <selection activeCell="O66" sqref="O66"/>
    </sheetView>
  </sheetViews>
  <sheetFormatPr defaultRowHeight="15" x14ac:dyDescent="0.25"/>
  <cols>
    <col min="1" max="1" width="5.5703125" customWidth="1"/>
    <col min="2" max="3" width="9.140625" hidden="1" customWidth="1"/>
    <col min="8" max="8" width="10.140625" customWidth="1"/>
    <col min="9" max="9" width="10" customWidth="1"/>
    <col min="10" max="10" width="7.7109375" customWidth="1"/>
    <col min="11" max="11" width="10.7109375" customWidth="1"/>
    <col min="12" max="12" width="10.140625" customWidth="1"/>
    <col min="13" max="13" width="11.85546875" customWidth="1"/>
    <col min="14" max="15" width="11.7109375" customWidth="1"/>
    <col min="16" max="16" width="10.140625" customWidth="1"/>
    <col min="17" max="17" width="4.7109375" customWidth="1"/>
    <col min="18" max="18" width="12.140625" customWidth="1"/>
    <col min="19" max="19" width="10.85546875" customWidth="1"/>
    <col min="20" max="20" width="13.85546875" customWidth="1"/>
  </cols>
  <sheetData>
    <row r="1" spans="1:20" x14ac:dyDescent="0.25">
      <c r="G1" s="1"/>
      <c r="P1">
        <f>+H1+J1-K1-L1-M1-N1-O1</f>
        <v>0</v>
      </c>
    </row>
    <row r="2" spans="1:20" x14ac:dyDescent="0.25">
      <c r="A2" t="s">
        <v>14</v>
      </c>
      <c r="D2" s="78">
        <v>45231</v>
      </c>
      <c r="O2" s="38" t="s">
        <v>14</v>
      </c>
      <c r="S2" s="50">
        <v>44837</v>
      </c>
    </row>
    <row r="3" spans="1:20" x14ac:dyDescent="0.25">
      <c r="A3" s="3" t="s">
        <v>15</v>
      </c>
      <c r="D3" s="9" t="s">
        <v>17</v>
      </c>
      <c r="E3" s="10"/>
      <c r="F3" s="10"/>
      <c r="G3" s="11"/>
      <c r="H3" s="12" t="s">
        <v>18</v>
      </c>
      <c r="I3" s="4" t="s">
        <v>19</v>
      </c>
      <c r="J3" s="3" t="s">
        <v>20</v>
      </c>
      <c r="K3" s="5">
        <v>45237</v>
      </c>
      <c r="L3" s="6">
        <v>45244</v>
      </c>
      <c r="M3" s="5">
        <v>45250</v>
      </c>
      <c r="N3" s="5">
        <v>45257</v>
      </c>
      <c r="O3" s="6">
        <v>45260</v>
      </c>
      <c r="P3" s="3" t="s">
        <v>21</v>
      </c>
      <c r="R3" s="42" t="s">
        <v>105</v>
      </c>
      <c r="S3" s="45" t="s">
        <v>104</v>
      </c>
      <c r="T3" s="4"/>
    </row>
    <row r="4" spans="1:20" x14ac:dyDescent="0.25">
      <c r="A4" s="7">
        <v>1</v>
      </c>
      <c r="D4" s="13" t="s">
        <v>16</v>
      </c>
      <c r="E4" s="14"/>
      <c r="F4" s="14"/>
      <c r="G4" s="15"/>
      <c r="H4" s="12">
        <v>441</v>
      </c>
      <c r="I4" s="7" t="s">
        <v>1</v>
      </c>
      <c r="J4" s="3">
        <v>0</v>
      </c>
      <c r="K4" s="3">
        <v>0</v>
      </c>
      <c r="L4" s="3">
        <v>34</v>
      </c>
      <c r="M4" s="3">
        <v>17</v>
      </c>
      <c r="N4" s="3">
        <v>0</v>
      </c>
      <c r="O4" s="3">
        <v>0</v>
      </c>
      <c r="P4" s="4">
        <f t="shared" ref="P4:P67" si="0">+H4+J4-K4-L4-M4-N4-O4</f>
        <v>390</v>
      </c>
      <c r="Q4" t="s">
        <v>67</v>
      </c>
      <c r="R4" s="43">
        <v>100</v>
      </c>
      <c r="S4" s="46">
        <v>500</v>
      </c>
      <c r="T4" s="4" t="s">
        <v>14</v>
      </c>
    </row>
    <row r="5" spans="1:20" x14ac:dyDescent="0.25">
      <c r="A5" s="7">
        <v>2</v>
      </c>
      <c r="D5" s="9" t="s">
        <v>22</v>
      </c>
      <c r="E5" s="10"/>
      <c r="F5" s="10"/>
      <c r="G5" s="11"/>
      <c r="H5" s="12">
        <v>15</v>
      </c>
      <c r="I5" s="7" t="s">
        <v>2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4">
        <f t="shared" si="0"/>
        <v>15</v>
      </c>
      <c r="Q5" s="1" t="s">
        <v>14</v>
      </c>
      <c r="R5" s="44">
        <v>6</v>
      </c>
      <c r="S5" s="47">
        <v>10</v>
      </c>
      <c r="T5" s="4"/>
    </row>
    <row r="6" spans="1:20" x14ac:dyDescent="0.25">
      <c r="A6" s="7">
        <v>3</v>
      </c>
      <c r="D6" s="16" t="s">
        <v>23</v>
      </c>
      <c r="E6" s="17"/>
      <c r="F6" s="17"/>
      <c r="G6" s="18"/>
      <c r="H6" s="12">
        <v>54</v>
      </c>
      <c r="I6" s="7" t="s">
        <v>2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4">
        <f t="shared" si="0"/>
        <v>54</v>
      </c>
      <c r="Q6" s="1" t="s">
        <v>14</v>
      </c>
      <c r="R6" s="44">
        <v>6</v>
      </c>
      <c r="S6" s="47">
        <v>10</v>
      </c>
      <c r="T6" s="4"/>
    </row>
    <row r="7" spans="1:20" x14ac:dyDescent="0.25">
      <c r="A7" s="7">
        <v>4</v>
      </c>
      <c r="D7" s="9" t="s">
        <v>3</v>
      </c>
      <c r="E7" s="10"/>
      <c r="F7" s="10"/>
      <c r="G7" s="11"/>
      <c r="H7" s="12">
        <v>30</v>
      </c>
      <c r="I7" s="7" t="s">
        <v>2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4">
        <f t="shared" si="0"/>
        <v>30</v>
      </c>
      <c r="Q7" s="1" t="s">
        <v>14</v>
      </c>
      <c r="R7" s="44">
        <v>6</v>
      </c>
      <c r="S7" s="47">
        <v>10</v>
      </c>
      <c r="T7" s="4"/>
    </row>
    <row r="8" spans="1:20" x14ac:dyDescent="0.25">
      <c r="A8" s="7">
        <v>5</v>
      </c>
      <c r="D8" s="16" t="s">
        <v>139</v>
      </c>
      <c r="E8" s="17"/>
      <c r="F8" s="17"/>
      <c r="G8" s="18"/>
      <c r="H8" s="12">
        <v>101</v>
      </c>
      <c r="I8" s="7" t="s">
        <v>2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4">
        <f t="shared" si="0"/>
        <v>101</v>
      </c>
      <c r="Q8" s="1" t="s">
        <v>14</v>
      </c>
      <c r="R8" s="44">
        <v>100</v>
      </c>
      <c r="S8" s="47">
        <v>400</v>
      </c>
      <c r="T8" s="4"/>
    </row>
    <row r="9" spans="1:20" x14ac:dyDescent="0.25">
      <c r="A9" s="7">
        <v>6</v>
      </c>
      <c r="D9" s="9" t="s">
        <v>24</v>
      </c>
      <c r="E9" s="10"/>
      <c r="F9" s="10"/>
      <c r="G9" s="11"/>
      <c r="H9" s="12">
        <v>306</v>
      </c>
      <c r="I9" s="7" t="s">
        <v>2</v>
      </c>
      <c r="J9" s="3">
        <v>100</v>
      </c>
      <c r="K9" s="3">
        <v>4</v>
      </c>
      <c r="L9" s="3">
        <v>0</v>
      </c>
      <c r="M9" s="3">
        <v>40</v>
      </c>
      <c r="N9" s="3">
        <v>0</v>
      </c>
      <c r="O9" s="3">
        <v>40</v>
      </c>
      <c r="P9" s="4">
        <f t="shared" si="0"/>
        <v>322</v>
      </c>
      <c r="Q9" s="1" t="s">
        <v>14</v>
      </c>
      <c r="R9" s="44">
        <v>60</v>
      </c>
      <c r="S9" s="47">
        <v>200</v>
      </c>
      <c r="T9" s="4"/>
    </row>
    <row r="10" spans="1:20" x14ac:dyDescent="0.25">
      <c r="A10" s="7">
        <v>7</v>
      </c>
      <c r="D10" s="16" t="s">
        <v>101</v>
      </c>
      <c r="E10" s="17"/>
      <c r="F10" s="17"/>
      <c r="G10" s="18"/>
      <c r="H10" s="12">
        <v>880</v>
      </c>
      <c r="I10" s="7" t="s">
        <v>2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4">
        <f t="shared" si="0"/>
        <v>880</v>
      </c>
      <c r="Q10" s="1" t="s">
        <v>14</v>
      </c>
      <c r="R10" s="44">
        <v>200</v>
      </c>
      <c r="S10" s="47">
        <v>500</v>
      </c>
      <c r="T10" s="4"/>
    </row>
    <row r="11" spans="1:20" x14ac:dyDescent="0.25">
      <c r="A11" s="7">
        <v>8</v>
      </c>
      <c r="D11" s="9" t="s">
        <v>25</v>
      </c>
      <c r="E11" s="10"/>
      <c r="F11" s="10"/>
      <c r="G11" s="11"/>
      <c r="H11" s="12">
        <v>364</v>
      </c>
      <c r="I11" s="7" t="s">
        <v>2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4">
        <f t="shared" si="0"/>
        <v>364</v>
      </c>
      <c r="Q11" s="1" t="s">
        <v>14</v>
      </c>
      <c r="R11" s="44">
        <v>0</v>
      </c>
      <c r="S11" s="47">
        <v>0</v>
      </c>
      <c r="T11" s="4"/>
    </row>
    <row r="12" spans="1:20" x14ac:dyDescent="0.25">
      <c r="A12" s="7">
        <v>9</v>
      </c>
      <c r="D12" s="16" t="s">
        <v>26</v>
      </c>
      <c r="E12" s="17"/>
      <c r="F12" s="17"/>
      <c r="G12" s="18"/>
      <c r="H12" s="12">
        <v>0</v>
      </c>
      <c r="I12" s="7" t="s">
        <v>2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4">
        <f t="shared" si="0"/>
        <v>0</v>
      </c>
      <c r="Q12" s="1" t="s">
        <v>14</v>
      </c>
      <c r="R12" s="44">
        <v>200</v>
      </c>
      <c r="S12" s="47">
        <v>400</v>
      </c>
      <c r="T12" s="4"/>
    </row>
    <row r="13" spans="1:20" x14ac:dyDescent="0.25">
      <c r="A13" s="7">
        <v>10</v>
      </c>
      <c r="D13" s="9" t="s">
        <v>6</v>
      </c>
      <c r="E13" s="10"/>
      <c r="F13" s="10"/>
      <c r="G13" s="11"/>
      <c r="H13" s="12">
        <v>60</v>
      </c>
      <c r="I13" s="7" t="s">
        <v>2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4">
        <f t="shared" si="0"/>
        <v>60</v>
      </c>
      <c r="Q13" s="1" t="s">
        <v>14</v>
      </c>
      <c r="R13" s="44">
        <v>0</v>
      </c>
      <c r="S13" s="46"/>
      <c r="T13" s="4"/>
    </row>
    <row r="14" spans="1:20" x14ac:dyDescent="0.25">
      <c r="A14" s="7">
        <v>11</v>
      </c>
      <c r="D14" s="16" t="s">
        <v>7</v>
      </c>
      <c r="E14" s="17"/>
      <c r="F14" s="17"/>
      <c r="G14" s="18"/>
      <c r="H14" s="12">
        <v>3</v>
      </c>
      <c r="I14" s="7" t="s">
        <v>2</v>
      </c>
      <c r="J14" s="3">
        <v>0</v>
      </c>
      <c r="K14" s="3">
        <v>0</v>
      </c>
      <c r="L14" s="3">
        <v>0</v>
      </c>
      <c r="M14" s="3">
        <v>0</v>
      </c>
      <c r="N14" s="3">
        <v>3</v>
      </c>
      <c r="O14" s="3">
        <v>0</v>
      </c>
      <c r="P14" s="4">
        <f t="shared" si="0"/>
        <v>0</v>
      </c>
      <c r="Q14" s="1" t="s">
        <v>14</v>
      </c>
      <c r="R14" s="44">
        <v>20</v>
      </c>
      <c r="S14" s="47">
        <v>50</v>
      </c>
      <c r="T14" s="4"/>
    </row>
    <row r="15" spans="1:20" x14ac:dyDescent="0.25">
      <c r="A15" s="7">
        <v>12</v>
      </c>
      <c r="D15" s="9" t="s">
        <v>69</v>
      </c>
      <c r="E15" s="10"/>
      <c r="F15" s="10"/>
      <c r="G15" s="11"/>
      <c r="H15" s="12">
        <v>18</v>
      </c>
      <c r="I15" s="7" t="s">
        <v>2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4">
        <f t="shared" si="0"/>
        <v>18</v>
      </c>
      <c r="Q15" s="1" t="s">
        <v>14</v>
      </c>
      <c r="R15" s="44">
        <v>100</v>
      </c>
      <c r="S15" s="47">
        <v>200</v>
      </c>
      <c r="T15" s="4"/>
    </row>
    <row r="16" spans="1:20" x14ac:dyDescent="0.25">
      <c r="A16" s="7">
        <v>13</v>
      </c>
      <c r="D16" s="16" t="s">
        <v>27</v>
      </c>
      <c r="E16" s="17"/>
      <c r="F16" s="17"/>
      <c r="G16" s="18"/>
      <c r="H16" s="12">
        <v>0</v>
      </c>
      <c r="I16" s="7" t="s">
        <v>2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4">
        <f t="shared" si="0"/>
        <v>0</v>
      </c>
      <c r="Q16" s="1" t="s">
        <v>14</v>
      </c>
      <c r="R16" s="44">
        <v>0</v>
      </c>
      <c r="S16" s="46"/>
      <c r="T16" s="4"/>
    </row>
    <row r="17" spans="1:20" x14ac:dyDescent="0.25">
      <c r="A17" s="7">
        <v>14</v>
      </c>
      <c r="D17" s="9" t="s">
        <v>73</v>
      </c>
      <c r="E17" s="10"/>
      <c r="F17" s="10"/>
      <c r="G17" s="11"/>
      <c r="H17" s="12">
        <v>794</v>
      </c>
      <c r="I17" s="7" t="s">
        <v>2</v>
      </c>
      <c r="J17" s="3">
        <v>0</v>
      </c>
      <c r="K17" s="3">
        <v>0</v>
      </c>
      <c r="L17" s="3">
        <v>0</v>
      </c>
      <c r="M17" s="3">
        <v>0</v>
      </c>
      <c r="N17" s="3">
        <v>13</v>
      </c>
      <c r="O17" s="3">
        <v>0</v>
      </c>
      <c r="P17" s="4">
        <f t="shared" si="0"/>
        <v>781</v>
      </c>
      <c r="Q17" s="1" t="s">
        <v>14</v>
      </c>
      <c r="R17" s="44">
        <v>0</v>
      </c>
      <c r="S17" s="46"/>
      <c r="T17" s="4"/>
    </row>
    <row r="18" spans="1:20" x14ac:dyDescent="0.25">
      <c r="A18" s="7">
        <v>15</v>
      </c>
      <c r="D18" s="16" t="s">
        <v>28</v>
      </c>
      <c r="E18" s="17"/>
      <c r="F18" s="17"/>
      <c r="G18" s="18"/>
      <c r="H18" s="12">
        <v>78</v>
      </c>
      <c r="I18" s="7" t="s">
        <v>2</v>
      </c>
      <c r="J18" s="3">
        <v>0</v>
      </c>
      <c r="K18" s="3">
        <v>8</v>
      </c>
      <c r="L18" s="3">
        <v>0</v>
      </c>
      <c r="M18" s="3">
        <v>0</v>
      </c>
      <c r="N18" s="3">
        <v>0</v>
      </c>
      <c r="O18" s="3">
        <v>0</v>
      </c>
      <c r="P18" s="4">
        <f t="shared" si="0"/>
        <v>70</v>
      </c>
      <c r="Q18" s="1" t="s">
        <v>14</v>
      </c>
      <c r="R18" s="44">
        <v>20</v>
      </c>
      <c r="S18" s="47">
        <v>50</v>
      </c>
      <c r="T18" s="4"/>
    </row>
    <row r="19" spans="1:20" x14ac:dyDescent="0.25">
      <c r="A19" s="7">
        <v>16</v>
      </c>
      <c r="D19" s="9" t="s">
        <v>29</v>
      </c>
      <c r="E19" s="10"/>
      <c r="F19" s="10"/>
      <c r="G19" s="11"/>
      <c r="H19" s="12">
        <v>78</v>
      </c>
      <c r="I19" s="7" t="s">
        <v>2</v>
      </c>
      <c r="J19" s="3">
        <v>0</v>
      </c>
      <c r="K19" s="3">
        <v>8</v>
      </c>
      <c r="L19" s="3">
        <v>0</v>
      </c>
      <c r="M19" s="3">
        <v>0</v>
      </c>
      <c r="N19" s="3">
        <v>0</v>
      </c>
      <c r="O19" s="3">
        <v>0</v>
      </c>
      <c r="P19" s="4">
        <f t="shared" si="0"/>
        <v>70</v>
      </c>
      <c r="Q19" s="1" t="s">
        <v>14</v>
      </c>
      <c r="R19" s="44">
        <v>20</v>
      </c>
      <c r="S19" s="47">
        <v>50</v>
      </c>
      <c r="T19" s="4"/>
    </row>
    <row r="20" spans="1:20" x14ac:dyDescent="0.25">
      <c r="A20" s="7">
        <v>17</v>
      </c>
      <c r="D20" s="16" t="s">
        <v>30</v>
      </c>
      <c r="E20" s="17"/>
      <c r="F20" s="17"/>
      <c r="G20" s="18"/>
      <c r="H20" s="12">
        <v>79</v>
      </c>
      <c r="I20" s="7" t="s">
        <v>2</v>
      </c>
      <c r="J20" s="3">
        <v>0</v>
      </c>
      <c r="K20" s="3">
        <v>8</v>
      </c>
      <c r="L20" s="3">
        <v>0</v>
      </c>
      <c r="M20" s="3">
        <v>0</v>
      </c>
      <c r="N20" s="3">
        <v>0</v>
      </c>
      <c r="O20" s="3">
        <v>0</v>
      </c>
      <c r="P20" s="4">
        <f t="shared" si="0"/>
        <v>71</v>
      </c>
      <c r="Q20" s="1" t="s">
        <v>14</v>
      </c>
      <c r="R20" s="44">
        <v>20</v>
      </c>
      <c r="S20" s="47">
        <v>50</v>
      </c>
      <c r="T20" s="4"/>
    </row>
    <row r="21" spans="1:20" x14ac:dyDescent="0.25">
      <c r="A21" s="7">
        <v>18</v>
      </c>
      <c r="D21" s="9" t="s">
        <v>129</v>
      </c>
      <c r="E21" s="10"/>
      <c r="F21" s="10"/>
      <c r="G21" s="11"/>
      <c r="H21" s="12">
        <v>2</v>
      </c>
      <c r="I21" s="7" t="s">
        <v>2</v>
      </c>
      <c r="J21" s="3">
        <v>20</v>
      </c>
      <c r="K21" s="3">
        <v>0</v>
      </c>
      <c r="L21" s="3">
        <v>0</v>
      </c>
      <c r="M21" s="3">
        <v>0</v>
      </c>
      <c r="N21" s="3">
        <v>0</v>
      </c>
      <c r="O21" s="3">
        <v>2</v>
      </c>
      <c r="P21" s="4">
        <f t="shared" si="0"/>
        <v>20</v>
      </c>
      <c r="Q21" s="1" t="s">
        <v>14</v>
      </c>
      <c r="R21" s="44">
        <v>0</v>
      </c>
      <c r="S21" s="46"/>
      <c r="T21" s="4"/>
    </row>
    <row r="22" spans="1:20" x14ac:dyDescent="0.25">
      <c r="A22" s="7">
        <v>19</v>
      </c>
      <c r="D22" s="55" t="s">
        <v>164</v>
      </c>
      <c r="E22" s="56"/>
      <c r="F22" s="56"/>
      <c r="G22" s="57"/>
      <c r="H22" s="12">
        <v>65</v>
      </c>
      <c r="I22" s="59" t="s">
        <v>1</v>
      </c>
      <c r="J22" s="3">
        <v>205</v>
      </c>
      <c r="K22" s="3">
        <v>55</v>
      </c>
      <c r="L22" s="3">
        <v>10</v>
      </c>
      <c r="M22" s="3">
        <v>10</v>
      </c>
      <c r="N22" s="3">
        <v>50</v>
      </c>
      <c r="O22" s="3">
        <v>0</v>
      </c>
      <c r="P22" s="46">
        <f t="shared" si="0"/>
        <v>145</v>
      </c>
      <c r="Q22" s="1" t="s">
        <v>14</v>
      </c>
      <c r="R22" s="44">
        <v>50</v>
      </c>
      <c r="S22" s="47">
        <v>200</v>
      </c>
      <c r="T22" s="4"/>
    </row>
    <row r="23" spans="1:20" x14ac:dyDescent="0.25">
      <c r="A23" s="7">
        <v>20</v>
      </c>
      <c r="D23" s="9" t="s">
        <v>32</v>
      </c>
      <c r="E23" s="10"/>
      <c r="F23" s="10"/>
      <c r="G23" s="11"/>
      <c r="H23" s="12">
        <v>850</v>
      </c>
      <c r="I23" s="7" t="s">
        <v>2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4">
        <f t="shared" si="0"/>
        <v>850</v>
      </c>
      <c r="Q23" s="1" t="s">
        <v>14</v>
      </c>
      <c r="R23" s="44">
        <v>0</v>
      </c>
      <c r="S23" s="46"/>
      <c r="T23" s="4"/>
    </row>
    <row r="24" spans="1:20" x14ac:dyDescent="0.25">
      <c r="A24" s="7">
        <v>21</v>
      </c>
      <c r="D24" s="16" t="s">
        <v>140</v>
      </c>
      <c r="E24" s="17"/>
      <c r="F24" s="17"/>
      <c r="G24" s="18"/>
      <c r="H24" s="12">
        <v>202</v>
      </c>
      <c r="I24" s="7" t="s">
        <v>2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4">
        <f t="shared" si="0"/>
        <v>202</v>
      </c>
      <c r="Q24" s="1" t="s">
        <v>14</v>
      </c>
      <c r="R24" s="44">
        <v>0</v>
      </c>
      <c r="S24" s="46"/>
      <c r="T24" s="4"/>
    </row>
    <row r="25" spans="1:20" x14ac:dyDescent="0.25">
      <c r="A25" s="7">
        <v>22</v>
      </c>
      <c r="D25" s="9" t="s">
        <v>34</v>
      </c>
      <c r="E25" s="10"/>
      <c r="F25" s="10"/>
      <c r="G25" s="11"/>
      <c r="H25" s="12">
        <v>117</v>
      </c>
      <c r="I25" s="7" t="s">
        <v>2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4">
        <f t="shared" si="0"/>
        <v>117</v>
      </c>
      <c r="Q25" s="1" t="s">
        <v>14</v>
      </c>
      <c r="R25" s="44">
        <v>0</v>
      </c>
      <c r="S25" s="46"/>
      <c r="T25" s="4"/>
    </row>
    <row r="26" spans="1:20" x14ac:dyDescent="0.25">
      <c r="A26" s="7">
        <v>23</v>
      </c>
      <c r="D26" s="16" t="s">
        <v>142</v>
      </c>
      <c r="E26" s="17"/>
      <c r="F26" s="17"/>
      <c r="G26" s="18"/>
      <c r="H26" s="12">
        <v>77</v>
      </c>
      <c r="I26" s="7" t="s">
        <v>2</v>
      </c>
      <c r="J26" s="3">
        <v>0</v>
      </c>
      <c r="K26" s="3">
        <v>0</v>
      </c>
      <c r="L26" s="3">
        <v>0</v>
      </c>
      <c r="M26" s="3">
        <v>0</v>
      </c>
      <c r="N26" s="3">
        <v>18</v>
      </c>
      <c r="O26" s="3">
        <v>0</v>
      </c>
      <c r="P26" s="4">
        <f t="shared" si="0"/>
        <v>59</v>
      </c>
      <c r="Q26" s="1" t="s">
        <v>14</v>
      </c>
      <c r="R26" s="44">
        <v>20</v>
      </c>
      <c r="S26" s="47">
        <v>50</v>
      </c>
      <c r="T26" s="4"/>
    </row>
    <row r="27" spans="1:20" x14ac:dyDescent="0.25">
      <c r="A27" s="7">
        <v>24</v>
      </c>
      <c r="D27" s="9" t="s">
        <v>141</v>
      </c>
      <c r="E27" s="10"/>
      <c r="F27" s="10"/>
      <c r="G27" s="11"/>
      <c r="H27" s="12">
        <v>0</v>
      </c>
      <c r="I27" s="7" t="s">
        <v>2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  <c r="P27" s="4">
        <f t="shared" si="0"/>
        <v>0</v>
      </c>
      <c r="Q27" s="1"/>
      <c r="R27" s="44">
        <v>20</v>
      </c>
      <c r="S27" s="47">
        <v>50</v>
      </c>
      <c r="T27" s="4"/>
    </row>
    <row r="28" spans="1:20" x14ac:dyDescent="0.25">
      <c r="A28" s="7">
        <v>25</v>
      </c>
      <c r="D28" s="9" t="s">
        <v>137</v>
      </c>
      <c r="E28" s="10"/>
      <c r="F28" s="10"/>
      <c r="G28" s="11"/>
      <c r="H28" s="12">
        <v>117</v>
      </c>
      <c r="I28" s="7" t="s">
        <v>2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4">
        <f t="shared" si="0"/>
        <v>117</v>
      </c>
      <c r="Q28" s="1" t="s">
        <v>14</v>
      </c>
      <c r="R28" s="44">
        <v>20</v>
      </c>
      <c r="S28" s="47">
        <v>50</v>
      </c>
      <c r="T28" s="4"/>
    </row>
    <row r="29" spans="1:20" x14ac:dyDescent="0.25">
      <c r="A29" s="7">
        <v>26</v>
      </c>
      <c r="D29" s="9" t="s">
        <v>138</v>
      </c>
      <c r="E29" s="10"/>
      <c r="F29" s="10"/>
      <c r="G29" s="11"/>
      <c r="H29" s="12">
        <v>162</v>
      </c>
      <c r="I29" s="7" t="s">
        <v>2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4">
        <f t="shared" si="0"/>
        <v>162</v>
      </c>
      <c r="Q29" s="1"/>
      <c r="R29" s="44"/>
      <c r="S29" s="47"/>
      <c r="T29" s="4"/>
    </row>
    <row r="30" spans="1:20" x14ac:dyDescent="0.25">
      <c r="A30" s="7">
        <v>27</v>
      </c>
      <c r="D30" s="16" t="s">
        <v>35</v>
      </c>
      <c r="E30" s="17"/>
      <c r="F30" s="17"/>
      <c r="G30" s="18"/>
      <c r="H30" s="12">
        <v>419</v>
      </c>
      <c r="I30" s="7" t="s">
        <v>2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4">
        <f t="shared" si="0"/>
        <v>419</v>
      </c>
      <c r="Q30" s="1" t="s">
        <v>14</v>
      </c>
      <c r="R30" s="44">
        <v>50</v>
      </c>
      <c r="S30" s="47">
        <v>100</v>
      </c>
      <c r="T30" s="4"/>
    </row>
    <row r="31" spans="1:20" x14ac:dyDescent="0.25">
      <c r="A31" s="7">
        <v>28</v>
      </c>
      <c r="D31" s="9" t="s">
        <v>36</v>
      </c>
      <c r="E31" s="10"/>
      <c r="F31" s="10"/>
      <c r="G31" s="11"/>
      <c r="H31" s="12">
        <v>174</v>
      </c>
      <c r="I31" s="7" t="s">
        <v>2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4">
        <f t="shared" si="0"/>
        <v>174</v>
      </c>
      <c r="Q31" s="1" t="s">
        <v>14</v>
      </c>
      <c r="R31" s="44">
        <v>50</v>
      </c>
      <c r="S31" s="47">
        <v>100</v>
      </c>
      <c r="T31" s="4"/>
    </row>
    <row r="32" spans="1:20" x14ac:dyDescent="0.25">
      <c r="A32" s="7">
        <v>29</v>
      </c>
      <c r="D32" s="16" t="s">
        <v>37</v>
      </c>
      <c r="E32" s="17"/>
      <c r="F32" s="17"/>
      <c r="G32" s="18"/>
      <c r="H32" s="12">
        <v>220</v>
      </c>
      <c r="I32" s="7" t="s">
        <v>2</v>
      </c>
      <c r="J32" s="3">
        <v>0</v>
      </c>
      <c r="K32" s="3">
        <v>0</v>
      </c>
      <c r="L32" s="3">
        <v>0</v>
      </c>
      <c r="M32" s="3">
        <v>0</v>
      </c>
      <c r="N32" s="3">
        <v>18</v>
      </c>
      <c r="O32" s="3">
        <v>0</v>
      </c>
      <c r="P32" s="4">
        <f t="shared" si="0"/>
        <v>202</v>
      </c>
      <c r="Q32" s="1" t="s">
        <v>14</v>
      </c>
      <c r="R32" s="44">
        <v>20</v>
      </c>
      <c r="S32" s="47">
        <v>50</v>
      </c>
      <c r="T32" s="4"/>
    </row>
    <row r="33" spans="1:20" x14ac:dyDescent="0.25">
      <c r="A33" s="7">
        <v>30</v>
      </c>
      <c r="D33" s="9" t="s">
        <v>38</v>
      </c>
      <c r="E33" s="10"/>
      <c r="F33" s="10"/>
      <c r="G33" s="11"/>
      <c r="H33" s="12">
        <v>39</v>
      </c>
      <c r="I33" s="7" t="s">
        <v>2</v>
      </c>
      <c r="J33" s="3">
        <v>0</v>
      </c>
      <c r="K33" s="3">
        <v>5</v>
      </c>
      <c r="L33" s="3">
        <v>0</v>
      </c>
      <c r="M33" s="3">
        <v>4</v>
      </c>
      <c r="N33" s="3">
        <v>0</v>
      </c>
      <c r="O33" s="3">
        <v>1</v>
      </c>
      <c r="P33" s="4">
        <f t="shared" si="0"/>
        <v>29</v>
      </c>
      <c r="Q33" s="1" t="s">
        <v>14</v>
      </c>
      <c r="R33" s="44">
        <v>50</v>
      </c>
      <c r="S33" s="47">
        <v>100</v>
      </c>
      <c r="T33" s="4"/>
    </row>
    <row r="34" spans="1:20" x14ac:dyDescent="0.25">
      <c r="A34" s="7">
        <v>31</v>
      </c>
      <c r="D34" s="16" t="s">
        <v>39</v>
      </c>
      <c r="E34" s="17"/>
      <c r="F34" s="17"/>
      <c r="G34" s="18"/>
      <c r="H34" s="12">
        <v>4</v>
      </c>
      <c r="I34" s="7" t="s">
        <v>2</v>
      </c>
      <c r="J34" s="3">
        <v>60</v>
      </c>
      <c r="K34" s="3">
        <v>0</v>
      </c>
      <c r="L34" s="3">
        <v>0</v>
      </c>
      <c r="M34" s="3">
        <v>0</v>
      </c>
      <c r="N34" s="3">
        <v>18</v>
      </c>
      <c r="O34" s="3">
        <v>0</v>
      </c>
      <c r="P34" s="4">
        <f t="shared" si="0"/>
        <v>46</v>
      </c>
      <c r="Q34" s="1" t="s">
        <v>14</v>
      </c>
      <c r="R34" s="44">
        <v>20</v>
      </c>
      <c r="S34" s="47">
        <v>50</v>
      </c>
      <c r="T34" s="4"/>
    </row>
    <row r="35" spans="1:20" x14ac:dyDescent="0.25">
      <c r="A35" s="7">
        <v>32</v>
      </c>
      <c r="D35" s="9" t="s">
        <v>40</v>
      </c>
      <c r="E35" s="10"/>
      <c r="F35" s="10"/>
      <c r="G35" s="11"/>
      <c r="H35" s="12">
        <f>'ARALIK 3 HAFTA '!P33</f>
        <v>1075</v>
      </c>
      <c r="I35" s="7" t="s">
        <v>2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4">
        <f t="shared" si="0"/>
        <v>1075</v>
      </c>
      <c r="Q35" s="1" t="s">
        <v>14</v>
      </c>
      <c r="R35" s="44">
        <v>0</v>
      </c>
      <c r="S35" s="46"/>
      <c r="T35" s="4"/>
    </row>
    <row r="36" spans="1:20" x14ac:dyDescent="0.25">
      <c r="A36" s="7">
        <v>33</v>
      </c>
      <c r="D36" s="9" t="s">
        <v>9</v>
      </c>
      <c r="E36" s="10"/>
      <c r="F36" s="10"/>
      <c r="G36" s="11"/>
      <c r="H36" s="83">
        <v>160</v>
      </c>
      <c r="I36" s="7" t="s">
        <v>132</v>
      </c>
      <c r="J36" s="3">
        <v>0</v>
      </c>
      <c r="K36" s="3">
        <v>6</v>
      </c>
      <c r="L36" s="3">
        <v>9</v>
      </c>
      <c r="M36" s="3">
        <v>0</v>
      </c>
      <c r="N36" s="3">
        <v>0</v>
      </c>
      <c r="O36" s="3">
        <v>11</v>
      </c>
      <c r="P36" s="4">
        <f t="shared" si="0"/>
        <v>134</v>
      </c>
      <c r="Q36" s="1" t="s">
        <v>14</v>
      </c>
      <c r="R36" s="44">
        <v>50</v>
      </c>
      <c r="S36" s="47">
        <v>100</v>
      </c>
      <c r="T36" s="4"/>
    </row>
    <row r="37" spans="1:20" x14ac:dyDescent="0.25">
      <c r="A37" s="7">
        <v>34</v>
      </c>
      <c r="D37" s="19" t="s">
        <v>166</v>
      </c>
      <c r="E37" s="20"/>
      <c r="F37" s="20"/>
      <c r="G37" s="21"/>
      <c r="H37" s="69">
        <v>160</v>
      </c>
      <c r="I37" s="7" t="s">
        <v>2</v>
      </c>
      <c r="J37" s="3">
        <v>0</v>
      </c>
      <c r="K37" s="3">
        <v>6</v>
      </c>
      <c r="L37" s="3">
        <v>9</v>
      </c>
      <c r="M37" s="3">
        <v>5</v>
      </c>
      <c r="N37" s="3">
        <v>13</v>
      </c>
      <c r="O37" s="3">
        <v>11</v>
      </c>
      <c r="P37" s="4">
        <f t="shared" si="0"/>
        <v>116</v>
      </c>
      <c r="Q37" s="1" t="s">
        <v>14</v>
      </c>
      <c r="R37" s="44">
        <v>0</v>
      </c>
      <c r="S37" s="46"/>
      <c r="T37" s="4"/>
    </row>
    <row r="38" spans="1:20" x14ac:dyDescent="0.25">
      <c r="A38" s="7">
        <v>35</v>
      </c>
      <c r="D38" s="16" t="s">
        <v>143</v>
      </c>
      <c r="E38" s="17"/>
      <c r="F38" s="17"/>
      <c r="G38" s="18"/>
      <c r="H38" s="12">
        <v>261</v>
      </c>
      <c r="I38" s="7" t="s">
        <v>2</v>
      </c>
      <c r="J38" s="3">
        <v>0</v>
      </c>
      <c r="K38" s="3">
        <v>0</v>
      </c>
      <c r="L38" s="3">
        <v>9</v>
      </c>
      <c r="M38" s="3">
        <v>5</v>
      </c>
      <c r="N38" s="3">
        <v>13</v>
      </c>
      <c r="O38" s="3">
        <v>11</v>
      </c>
      <c r="P38" s="4">
        <f t="shared" si="0"/>
        <v>223</v>
      </c>
      <c r="Q38" s="1" t="s">
        <v>14</v>
      </c>
      <c r="R38" s="44">
        <v>50</v>
      </c>
      <c r="S38" s="46">
        <v>100</v>
      </c>
      <c r="T38" s="4"/>
    </row>
    <row r="39" spans="1:20" x14ac:dyDescent="0.25">
      <c r="A39" s="7">
        <v>36</v>
      </c>
      <c r="D39" s="9" t="s">
        <v>144</v>
      </c>
      <c r="E39" s="10"/>
      <c r="F39" s="10"/>
      <c r="G39" s="11"/>
      <c r="H39" s="12">
        <v>162</v>
      </c>
      <c r="I39" s="7" t="s">
        <v>2</v>
      </c>
      <c r="J39" s="3">
        <v>0</v>
      </c>
      <c r="K39" s="3">
        <v>0</v>
      </c>
      <c r="L39" s="3">
        <v>9</v>
      </c>
      <c r="M39" s="3">
        <v>5</v>
      </c>
      <c r="N39" s="3">
        <v>13</v>
      </c>
      <c r="O39" s="3">
        <v>11</v>
      </c>
      <c r="P39" s="4">
        <f t="shared" si="0"/>
        <v>124</v>
      </c>
      <c r="Q39" s="1" t="s">
        <v>14</v>
      </c>
      <c r="R39" s="44">
        <v>50</v>
      </c>
      <c r="S39" s="47">
        <v>100</v>
      </c>
      <c r="T39" s="4"/>
    </row>
    <row r="40" spans="1:20" x14ac:dyDescent="0.25">
      <c r="A40" s="7">
        <v>37</v>
      </c>
      <c r="D40" s="16" t="s">
        <v>42</v>
      </c>
      <c r="E40" s="17"/>
      <c r="F40" s="17"/>
      <c r="G40" s="18"/>
      <c r="H40" s="12">
        <v>205</v>
      </c>
      <c r="I40" s="7" t="s">
        <v>2</v>
      </c>
      <c r="J40" s="3">
        <v>0</v>
      </c>
      <c r="K40" s="3">
        <v>6</v>
      </c>
      <c r="L40" s="3">
        <v>9</v>
      </c>
      <c r="M40" s="3">
        <v>5</v>
      </c>
      <c r="N40" s="3">
        <v>13</v>
      </c>
      <c r="O40" s="3">
        <v>11</v>
      </c>
      <c r="P40" s="4">
        <f t="shared" si="0"/>
        <v>161</v>
      </c>
      <c r="Q40" s="1" t="s">
        <v>14</v>
      </c>
      <c r="R40" s="44">
        <v>50</v>
      </c>
      <c r="S40" s="47">
        <v>100</v>
      </c>
      <c r="T40" s="4"/>
    </row>
    <row r="41" spans="1:20" x14ac:dyDescent="0.25">
      <c r="A41" s="7">
        <v>38</v>
      </c>
      <c r="D41" s="9" t="s">
        <v>133</v>
      </c>
      <c r="E41" s="10"/>
      <c r="F41" s="10"/>
      <c r="G41" s="11"/>
      <c r="H41" s="12">
        <v>0</v>
      </c>
      <c r="I41" s="7" t="s">
        <v>2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4">
        <f t="shared" si="0"/>
        <v>0</v>
      </c>
      <c r="Q41" s="1" t="s">
        <v>14</v>
      </c>
      <c r="R41" s="44">
        <v>20</v>
      </c>
      <c r="S41" s="47">
        <v>50</v>
      </c>
      <c r="T41" s="4"/>
    </row>
    <row r="42" spans="1:20" x14ac:dyDescent="0.25">
      <c r="A42" s="7">
        <v>39</v>
      </c>
      <c r="D42" s="16" t="s">
        <v>145</v>
      </c>
      <c r="E42" s="17"/>
      <c r="F42" s="17"/>
      <c r="G42" s="18"/>
      <c r="H42" s="12">
        <v>13</v>
      </c>
      <c r="I42" s="7" t="s">
        <v>2</v>
      </c>
      <c r="J42" s="3">
        <v>0</v>
      </c>
      <c r="K42" s="3">
        <v>0</v>
      </c>
      <c r="L42" s="3">
        <v>0</v>
      </c>
      <c r="M42" s="3">
        <v>0</v>
      </c>
      <c r="N42" s="3">
        <v>4</v>
      </c>
      <c r="O42" s="3">
        <v>2</v>
      </c>
      <c r="P42" s="4">
        <f t="shared" si="0"/>
        <v>7</v>
      </c>
      <c r="Q42" s="1" t="s">
        <v>14</v>
      </c>
      <c r="R42" s="44">
        <v>20</v>
      </c>
      <c r="S42" s="46">
        <v>50</v>
      </c>
      <c r="T42" s="4"/>
    </row>
    <row r="43" spans="1:20" x14ac:dyDescent="0.25">
      <c r="A43" s="7">
        <v>40</v>
      </c>
      <c r="D43" s="9" t="s">
        <v>71</v>
      </c>
      <c r="E43" s="10"/>
      <c r="F43" s="10"/>
      <c r="G43" s="11"/>
      <c r="H43" s="12">
        <v>0</v>
      </c>
      <c r="I43" s="7" t="s">
        <v>2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4">
        <f t="shared" si="0"/>
        <v>0</v>
      </c>
      <c r="Q43" s="1" t="s">
        <v>14</v>
      </c>
      <c r="R43" s="44">
        <v>5</v>
      </c>
      <c r="S43" s="47">
        <v>10</v>
      </c>
      <c r="T43" s="4"/>
    </row>
    <row r="44" spans="1:20" x14ac:dyDescent="0.25">
      <c r="A44" s="7">
        <v>41</v>
      </c>
      <c r="D44" s="16" t="s">
        <v>10</v>
      </c>
      <c r="E44" s="17"/>
      <c r="F44" s="17"/>
      <c r="G44" s="18"/>
      <c r="H44" s="12">
        <v>297</v>
      </c>
      <c r="I44" s="7" t="s">
        <v>2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4">
        <f t="shared" si="0"/>
        <v>297</v>
      </c>
      <c r="Q44" s="1" t="s">
        <v>14</v>
      </c>
      <c r="R44" s="44">
        <v>40</v>
      </c>
      <c r="S44" s="47">
        <v>100</v>
      </c>
      <c r="T44" s="4"/>
    </row>
    <row r="45" spans="1:20" x14ac:dyDescent="0.25">
      <c r="A45" s="7">
        <v>42</v>
      </c>
      <c r="D45" s="9" t="s">
        <v>45</v>
      </c>
      <c r="E45" s="10"/>
      <c r="F45" s="10"/>
      <c r="G45" s="11"/>
      <c r="H45" s="12">
        <v>133</v>
      </c>
      <c r="I45" s="7" t="s">
        <v>2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4">
        <f t="shared" si="0"/>
        <v>133</v>
      </c>
      <c r="Q45" s="1" t="s">
        <v>14</v>
      </c>
      <c r="R45" s="44">
        <v>20</v>
      </c>
      <c r="S45" s="47">
        <v>50</v>
      </c>
      <c r="T45" s="4"/>
    </row>
    <row r="46" spans="1:20" x14ac:dyDescent="0.25">
      <c r="A46" s="7">
        <v>43</v>
      </c>
      <c r="D46" s="16" t="s">
        <v>46</v>
      </c>
      <c r="E46" s="17"/>
      <c r="F46" s="17"/>
      <c r="G46" s="18"/>
      <c r="H46" s="12">
        <v>119</v>
      </c>
      <c r="I46" s="7" t="s">
        <v>2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4">
        <f t="shared" si="0"/>
        <v>119</v>
      </c>
      <c r="Q46" s="1" t="s">
        <v>14</v>
      </c>
      <c r="R46" s="44">
        <v>20</v>
      </c>
      <c r="S46" s="47">
        <v>50</v>
      </c>
      <c r="T46" s="4"/>
    </row>
    <row r="47" spans="1:20" x14ac:dyDescent="0.25">
      <c r="A47" s="7">
        <v>44</v>
      </c>
      <c r="D47" s="9" t="s">
        <v>47</v>
      </c>
      <c r="E47" s="10"/>
      <c r="F47" s="10"/>
      <c r="G47" s="11"/>
      <c r="H47" s="12">
        <v>75</v>
      </c>
      <c r="I47" s="7" t="s">
        <v>2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4">
        <f t="shared" si="0"/>
        <v>75</v>
      </c>
      <c r="Q47" s="1" t="s">
        <v>14</v>
      </c>
      <c r="R47" s="44">
        <v>20</v>
      </c>
      <c r="S47" s="47">
        <v>50</v>
      </c>
      <c r="T47" s="4"/>
    </row>
    <row r="48" spans="1:20" x14ac:dyDescent="0.25">
      <c r="A48" s="7">
        <v>45</v>
      </c>
      <c r="D48" s="16" t="s">
        <v>79</v>
      </c>
      <c r="E48" s="17"/>
      <c r="F48" s="17"/>
      <c r="G48" s="18"/>
      <c r="H48" s="12">
        <v>7</v>
      </c>
      <c r="I48" s="7" t="s">
        <v>2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4">
        <f t="shared" si="0"/>
        <v>7</v>
      </c>
      <c r="Q48" s="1" t="s">
        <v>14</v>
      </c>
      <c r="R48" s="44">
        <v>10</v>
      </c>
      <c r="S48" s="47">
        <v>20</v>
      </c>
      <c r="T48" s="4"/>
    </row>
    <row r="49" spans="1:20" x14ac:dyDescent="0.25">
      <c r="A49" s="7">
        <v>46</v>
      </c>
      <c r="D49" s="9" t="s">
        <v>48</v>
      </c>
      <c r="E49" s="10"/>
      <c r="F49" s="10"/>
      <c r="G49" s="11"/>
      <c r="H49" s="12">
        <v>78</v>
      </c>
      <c r="I49" s="7" t="s">
        <v>2</v>
      </c>
      <c r="J49" s="3">
        <v>0</v>
      </c>
      <c r="K49" s="3">
        <v>0</v>
      </c>
      <c r="L49" s="3">
        <v>0</v>
      </c>
      <c r="M49" s="3">
        <v>0</v>
      </c>
      <c r="N49" s="3">
        <v>4</v>
      </c>
      <c r="O49" s="3">
        <v>0</v>
      </c>
      <c r="P49" s="4">
        <f t="shared" si="0"/>
        <v>74</v>
      </c>
      <c r="Q49" s="1" t="s">
        <v>14</v>
      </c>
      <c r="R49" s="44">
        <v>10</v>
      </c>
      <c r="S49" s="47">
        <v>20</v>
      </c>
      <c r="T49" s="4" t="s">
        <v>14</v>
      </c>
    </row>
    <row r="50" spans="1:20" x14ac:dyDescent="0.25">
      <c r="A50" s="7">
        <v>47</v>
      </c>
      <c r="D50" s="16" t="s">
        <v>49</v>
      </c>
      <c r="E50" s="17"/>
      <c r="F50" s="17"/>
      <c r="G50" s="18"/>
      <c r="H50" s="12">
        <v>114</v>
      </c>
      <c r="I50" s="7" t="s">
        <v>2</v>
      </c>
      <c r="J50" s="3">
        <v>0</v>
      </c>
      <c r="K50" s="3">
        <v>0</v>
      </c>
      <c r="L50" s="3">
        <v>0</v>
      </c>
      <c r="M50" s="3">
        <v>0</v>
      </c>
      <c r="N50" s="3">
        <v>4</v>
      </c>
      <c r="O50" s="3">
        <v>0</v>
      </c>
      <c r="P50" s="4">
        <f t="shared" si="0"/>
        <v>110</v>
      </c>
      <c r="Q50" s="1" t="s">
        <v>14</v>
      </c>
      <c r="R50" s="44">
        <v>10</v>
      </c>
      <c r="S50" s="47">
        <v>20</v>
      </c>
      <c r="T50" s="4"/>
    </row>
    <row r="51" spans="1:20" x14ac:dyDescent="0.25">
      <c r="A51" s="7">
        <v>48</v>
      </c>
      <c r="D51" s="9" t="s">
        <v>169</v>
      </c>
      <c r="E51" s="10"/>
      <c r="F51" s="10"/>
      <c r="G51" s="11"/>
      <c r="H51" s="12">
        <v>70</v>
      </c>
      <c r="I51" s="7" t="s">
        <v>1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4">
        <f t="shared" si="0"/>
        <v>70</v>
      </c>
      <c r="Q51" s="1" t="s">
        <v>14</v>
      </c>
      <c r="R51" s="44">
        <v>20</v>
      </c>
      <c r="S51" s="47">
        <v>100</v>
      </c>
      <c r="T51" s="4"/>
    </row>
    <row r="52" spans="1:20" x14ac:dyDescent="0.25">
      <c r="A52" s="7">
        <v>49</v>
      </c>
      <c r="D52" s="85"/>
      <c r="E52" s="86"/>
      <c r="F52" s="84" t="s">
        <v>111</v>
      </c>
      <c r="G52" s="87"/>
      <c r="H52" s="12">
        <v>60</v>
      </c>
      <c r="I52" s="7" t="s">
        <v>2</v>
      </c>
      <c r="J52" s="3">
        <v>0</v>
      </c>
      <c r="K52" s="3">
        <v>2</v>
      </c>
      <c r="L52" s="3">
        <v>0</v>
      </c>
      <c r="M52" s="3">
        <v>0</v>
      </c>
      <c r="N52" s="3">
        <v>0</v>
      </c>
      <c r="O52" s="3">
        <v>20</v>
      </c>
      <c r="P52" s="4">
        <f t="shared" si="0"/>
        <v>38</v>
      </c>
      <c r="Q52" s="1" t="s">
        <v>14</v>
      </c>
      <c r="R52" s="44">
        <v>30</v>
      </c>
      <c r="S52" s="47">
        <v>100</v>
      </c>
      <c r="T52" s="4"/>
    </row>
    <row r="53" spans="1:20" x14ac:dyDescent="0.25">
      <c r="A53" s="7">
        <v>50</v>
      </c>
      <c r="D53" s="9" t="s">
        <v>51</v>
      </c>
      <c r="E53" s="10"/>
      <c r="F53" s="10"/>
      <c r="G53" s="11"/>
      <c r="H53" s="12">
        <v>111</v>
      </c>
      <c r="I53" s="7" t="s">
        <v>2</v>
      </c>
      <c r="J53" s="3">
        <v>0</v>
      </c>
      <c r="K53" s="3">
        <v>4</v>
      </c>
      <c r="L53" s="3">
        <v>0</v>
      </c>
      <c r="M53" s="3">
        <v>0</v>
      </c>
      <c r="N53" s="3">
        <v>19</v>
      </c>
      <c r="O53" s="3">
        <v>2</v>
      </c>
      <c r="P53" s="4">
        <f t="shared" si="0"/>
        <v>86</v>
      </c>
      <c r="Q53" s="1" t="s">
        <v>14</v>
      </c>
      <c r="R53" s="44">
        <v>20</v>
      </c>
      <c r="S53" s="47">
        <v>50</v>
      </c>
      <c r="T53" s="4"/>
    </row>
    <row r="54" spans="1:20" x14ac:dyDescent="0.25">
      <c r="A54" s="7">
        <v>51</v>
      </c>
      <c r="D54" s="16" t="s">
        <v>52</v>
      </c>
      <c r="E54" s="17"/>
      <c r="F54" s="17"/>
      <c r="G54" s="18"/>
      <c r="H54" s="12">
        <v>101</v>
      </c>
      <c r="I54" s="7" t="s">
        <v>2</v>
      </c>
      <c r="J54" s="3">
        <v>0</v>
      </c>
      <c r="K54" s="3">
        <v>4</v>
      </c>
      <c r="L54" s="3">
        <v>0</v>
      </c>
      <c r="M54" s="3">
        <v>0</v>
      </c>
      <c r="N54" s="3">
        <v>19</v>
      </c>
      <c r="O54" s="3">
        <v>2</v>
      </c>
      <c r="P54" s="4">
        <f t="shared" si="0"/>
        <v>76</v>
      </c>
      <c r="Q54" s="1" t="s">
        <v>14</v>
      </c>
      <c r="R54" s="44">
        <v>20</v>
      </c>
      <c r="S54" s="47">
        <v>50</v>
      </c>
      <c r="T54" s="4" t="s">
        <v>14</v>
      </c>
    </row>
    <row r="55" spans="1:20" x14ac:dyDescent="0.25">
      <c r="A55" s="7">
        <v>52</v>
      </c>
      <c r="D55" s="9" t="s">
        <v>53</v>
      </c>
      <c r="E55" s="10"/>
      <c r="F55" s="10"/>
      <c r="G55" s="11"/>
      <c r="H55" s="12">
        <v>189</v>
      </c>
      <c r="I55" s="7" t="s">
        <v>2</v>
      </c>
      <c r="J55" s="3">
        <v>0</v>
      </c>
      <c r="K55" s="3">
        <v>4</v>
      </c>
      <c r="L55" s="3">
        <v>0</v>
      </c>
      <c r="M55" s="3">
        <v>0</v>
      </c>
      <c r="N55" s="3">
        <v>19</v>
      </c>
      <c r="O55" s="3">
        <v>2</v>
      </c>
      <c r="P55" s="4">
        <f t="shared" si="0"/>
        <v>164</v>
      </c>
      <c r="Q55" s="1" t="s">
        <v>14</v>
      </c>
      <c r="R55" s="44">
        <v>20</v>
      </c>
      <c r="S55" s="47">
        <v>50</v>
      </c>
      <c r="T55" s="4"/>
    </row>
    <row r="56" spans="1:20" x14ac:dyDescent="0.25">
      <c r="A56" s="7">
        <v>53</v>
      </c>
      <c r="D56" s="70" t="s">
        <v>54</v>
      </c>
      <c r="E56" s="71"/>
      <c r="F56" s="71"/>
      <c r="G56" s="72"/>
      <c r="H56" s="12">
        <v>270</v>
      </c>
      <c r="I56" s="7" t="s">
        <v>1</v>
      </c>
      <c r="J56" s="3">
        <v>825</v>
      </c>
      <c r="K56" s="3">
        <v>105</v>
      </c>
      <c r="L56" s="3">
        <v>150</v>
      </c>
      <c r="M56" s="3">
        <v>90</v>
      </c>
      <c r="N56" s="3">
        <v>105</v>
      </c>
      <c r="O56" s="3">
        <v>165</v>
      </c>
      <c r="P56" s="4">
        <f t="shared" si="0"/>
        <v>480</v>
      </c>
      <c r="Q56" s="1" t="s">
        <v>120</v>
      </c>
      <c r="R56" s="44">
        <v>250</v>
      </c>
      <c r="S56" s="47">
        <v>750</v>
      </c>
      <c r="T56" s="4"/>
    </row>
    <row r="57" spans="1:20" x14ac:dyDescent="0.25">
      <c r="A57" s="7">
        <v>54</v>
      </c>
      <c r="D57" s="16" t="s">
        <v>61</v>
      </c>
      <c r="E57" s="17"/>
      <c r="F57" s="17"/>
      <c r="G57" s="18"/>
      <c r="H57" s="12">
        <v>246</v>
      </c>
      <c r="I57" s="7" t="s">
        <v>2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  <c r="P57" s="4">
        <f t="shared" si="0"/>
        <v>246</v>
      </c>
      <c r="Q57" s="1" t="s">
        <v>14</v>
      </c>
      <c r="R57" s="44">
        <v>0</v>
      </c>
      <c r="S57" s="46"/>
      <c r="T57" s="4"/>
    </row>
    <row r="58" spans="1:20" x14ac:dyDescent="0.25">
      <c r="A58" s="7">
        <v>55</v>
      </c>
      <c r="D58" s="9" t="s">
        <v>62</v>
      </c>
      <c r="E58" s="10"/>
      <c r="F58" s="10"/>
      <c r="G58" s="11"/>
      <c r="H58" s="12">
        <v>795</v>
      </c>
      <c r="I58" s="7" t="s">
        <v>2</v>
      </c>
      <c r="J58" s="3">
        <v>900</v>
      </c>
      <c r="K58" s="3">
        <v>80</v>
      </c>
      <c r="L58" s="3">
        <v>314</v>
      </c>
      <c r="M58" s="3">
        <v>26</v>
      </c>
      <c r="N58" s="3">
        <v>1076</v>
      </c>
      <c r="O58" s="3">
        <v>199</v>
      </c>
      <c r="P58" s="4">
        <f t="shared" si="0"/>
        <v>0</v>
      </c>
      <c r="Q58" s="1" t="s">
        <v>14</v>
      </c>
      <c r="R58" s="44">
        <v>200</v>
      </c>
      <c r="S58" s="47">
        <v>1000</v>
      </c>
      <c r="T58" s="4"/>
    </row>
    <row r="59" spans="1:20" x14ac:dyDescent="0.25">
      <c r="A59" s="7">
        <v>56</v>
      </c>
      <c r="D59" s="16" t="s">
        <v>13</v>
      </c>
      <c r="E59" s="17"/>
      <c r="F59" s="17"/>
      <c r="G59" s="18"/>
      <c r="H59" s="12">
        <v>236</v>
      </c>
      <c r="I59" s="7" t="s">
        <v>2</v>
      </c>
      <c r="J59" s="3">
        <v>0</v>
      </c>
      <c r="K59" s="3">
        <v>124</v>
      </c>
      <c r="L59" s="3">
        <v>0</v>
      </c>
      <c r="M59" s="3">
        <v>0</v>
      </c>
      <c r="N59" s="3">
        <v>13</v>
      </c>
      <c r="O59" s="3">
        <v>0</v>
      </c>
      <c r="P59" s="4">
        <f t="shared" si="0"/>
        <v>99</v>
      </c>
      <c r="Q59" s="1" t="s">
        <v>14</v>
      </c>
      <c r="R59" s="44">
        <v>100</v>
      </c>
      <c r="S59" s="47">
        <v>300</v>
      </c>
      <c r="T59" s="4"/>
    </row>
    <row r="60" spans="1:20" x14ac:dyDescent="0.25">
      <c r="A60" s="7">
        <v>57</v>
      </c>
      <c r="D60" s="9" t="s">
        <v>72</v>
      </c>
      <c r="E60" s="10"/>
      <c r="F60" s="10"/>
      <c r="G60" s="11"/>
      <c r="H60" s="12">
        <v>150</v>
      </c>
      <c r="I60" s="7" t="s">
        <v>2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4">
        <f t="shared" si="0"/>
        <v>150</v>
      </c>
      <c r="Q60" s="1" t="s">
        <v>14</v>
      </c>
      <c r="R60" s="44">
        <v>100</v>
      </c>
      <c r="S60" s="47">
        <v>300</v>
      </c>
      <c r="T60" s="4"/>
    </row>
    <row r="61" spans="1:20" x14ac:dyDescent="0.25">
      <c r="A61" s="7">
        <v>58</v>
      </c>
      <c r="D61" s="16" t="s">
        <v>63</v>
      </c>
      <c r="E61" s="17"/>
      <c r="F61" s="17"/>
      <c r="G61" s="18"/>
      <c r="H61" s="12">
        <v>250</v>
      </c>
      <c r="I61" s="7" t="s">
        <v>2</v>
      </c>
      <c r="J61" s="3">
        <v>0</v>
      </c>
      <c r="K61" s="3">
        <v>0</v>
      </c>
      <c r="L61" s="3">
        <v>0</v>
      </c>
      <c r="M61" s="3">
        <v>0</v>
      </c>
      <c r="N61" s="3">
        <v>13</v>
      </c>
      <c r="O61" s="3">
        <v>21</v>
      </c>
      <c r="P61" s="4">
        <f t="shared" si="0"/>
        <v>216</v>
      </c>
      <c r="Q61" s="1" t="s">
        <v>14</v>
      </c>
      <c r="R61" s="44">
        <v>100</v>
      </c>
      <c r="S61" s="47">
        <v>300</v>
      </c>
      <c r="T61" s="4"/>
    </row>
    <row r="62" spans="1:20" x14ac:dyDescent="0.25">
      <c r="A62" s="7">
        <v>59</v>
      </c>
      <c r="D62" s="9" t="s">
        <v>77</v>
      </c>
      <c r="E62" s="10"/>
      <c r="F62" s="10"/>
      <c r="G62" s="11"/>
      <c r="H62" s="12">
        <v>510</v>
      </c>
      <c r="I62" s="7" t="s">
        <v>2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4">
        <f t="shared" si="0"/>
        <v>510</v>
      </c>
      <c r="Q62" s="1" t="s">
        <v>14</v>
      </c>
      <c r="R62" s="44">
        <v>100</v>
      </c>
      <c r="S62" s="47">
        <v>300</v>
      </c>
      <c r="T62" s="4"/>
    </row>
    <row r="63" spans="1:20" x14ac:dyDescent="0.25">
      <c r="A63" s="7">
        <v>60</v>
      </c>
      <c r="D63" s="16" t="s">
        <v>130</v>
      </c>
      <c r="E63" s="17"/>
      <c r="F63" s="17"/>
      <c r="G63" s="18"/>
      <c r="H63" s="12">
        <v>113</v>
      </c>
      <c r="I63" s="7" t="s">
        <v>2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4">
        <f t="shared" si="0"/>
        <v>113</v>
      </c>
      <c r="Q63" s="1" t="s">
        <v>14</v>
      </c>
      <c r="R63" s="44">
        <v>0</v>
      </c>
      <c r="S63" s="46"/>
      <c r="T63" s="4"/>
    </row>
    <row r="64" spans="1:20" x14ac:dyDescent="0.25">
      <c r="A64" s="7">
        <v>61</v>
      </c>
      <c r="D64" s="26" t="s">
        <v>146</v>
      </c>
      <c r="E64" s="27"/>
      <c r="F64" s="27"/>
      <c r="G64" s="28"/>
      <c r="H64" s="12">
        <v>11</v>
      </c>
      <c r="I64" s="30" t="s">
        <v>2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1</v>
      </c>
      <c r="P64" s="4">
        <f t="shared" si="0"/>
        <v>10</v>
      </c>
      <c r="Q64" s="1" t="s">
        <v>14</v>
      </c>
      <c r="R64" s="44">
        <v>50</v>
      </c>
      <c r="S64" s="47">
        <v>100</v>
      </c>
      <c r="T64" s="4"/>
    </row>
    <row r="65" spans="1:20" x14ac:dyDescent="0.25">
      <c r="A65" s="7">
        <v>62</v>
      </c>
      <c r="D65" s="16" t="s">
        <v>65</v>
      </c>
      <c r="E65" s="17"/>
      <c r="F65" s="17"/>
      <c r="G65" s="18"/>
      <c r="H65" s="12">
        <v>59</v>
      </c>
      <c r="I65" s="7" t="s">
        <v>2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4">
        <f t="shared" si="0"/>
        <v>59</v>
      </c>
      <c r="Q65" s="1" t="s">
        <v>14</v>
      </c>
      <c r="R65" s="44">
        <v>0</v>
      </c>
      <c r="S65" s="46"/>
      <c r="T65" s="4"/>
    </row>
    <row r="66" spans="1:20" x14ac:dyDescent="0.25">
      <c r="A66" s="7">
        <v>63</v>
      </c>
      <c r="D66" s="9" t="s">
        <v>66</v>
      </c>
      <c r="E66" s="10"/>
      <c r="F66" s="10"/>
      <c r="G66" s="11"/>
      <c r="H66" s="12">
        <v>50</v>
      </c>
      <c r="I66" s="7" t="s">
        <v>2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  <c r="P66" s="4">
        <f t="shared" si="0"/>
        <v>50</v>
      </c>
      <c r="Q66" s="1" t="s">
        <v>14</v>
      </c>
      <c r="R66" s="44">
        <v>300</v>
      </c>
      <c r="S66" s="47">
        <v>1000</v>
      </c>
      <c r="T66" s="4"/>
    </row>
    <row r="67" spans="1:20" x14ac:dyDescent="0.25">
      <c r="A67" s="7">
        <v>64</v>
      </c>
      <c r="D67" s="19" t="s">
        <v>165</v>
      </c>
      <c r="E67" s="20"/>
      <c r="F67" s="20"/>
      <c r="G67" s="21"/>
      <c r="H67" s="12">
        <v>100</v>
      </c>
      <c r="I67" s="7" t="s">
        <v>2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  <c r="P67" s="4">
        <f t="shared" si="0"/>
        <v>100</v>
      </c>
      <c r="Q67" s="1" t="s">
        <v>14</v>
      </c>
      <c r="R67" s="44">
        <v>50</v>
      </c>
      <c r="S67" s="47">
        <v>150</v>
      </c>
      <c r="T67" s="4"/>
    </row>
    <row r="68" spans="1:20" x14ac:dyDescent="0.25">
      <c r="A68" s="7">
        <v>65</v>
      </c>
      <c r="D68" s="22" t="s">
        <v>74</v>
      </c>
      <c r="E68" s="10"/>
      <c r="F68" s="10"/>
      <c r="G68" s="11"/>
      <c r="H68" s="12">
        <v>250</v>
      </c>
      <c r="I68" s="8" t="s">
        <v>75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4">
        <f t="shared" ref="P68:P89" si="1">+H68+J68-K68-L68-M68-N68-O68</f>
        <v>250</v>
      </c>
      <c r="Q68" s="1" t="s">
        <v>91</v>
      </c>
      <c r="R68" s="44">
        <v>65</v>
      </c>
      <c r="S68" s="47">
        <v>150</v>
      </c>
      <c r="T68" s="4"/>
    </row>
    <row r="69" spans="1:20" x14ac:dyDescent="0.25">
      <c r="A69" s="7">
        <v>66</v>
      </c>
      <c r="C69" s="1" t="s">
        <v>14</v>
      </c>
      <c r="D69" s="22" t="s">
        <v>76</v>
      </c>
      <c r="E69" s="10"/>
      <c r="F69" s="10"/>
      <c r="G69" s="11"/>
      <c r="H69" s="12">
        <v>240</v>
      </c>
      <c r="I69" s="8" t="s">
        <v>2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4">
        <f t="shared" si="1"/>
        <v>240</v>
      </c>
      <c r="Q69" s="1" t="s">
        <v>14</v>
      </c>
      <c r="R69" s="44">
        <v>50</v>
      </c>
      <c r="S69" s="47">
        <v>100</v>
      </c>
      <c r="T69" s="4"/>
    </row>
    <row r="70" spans="1:20" x14ac:dyDescent="0.25">
      <c r="A70" s="7">
        <v>67</v>
      </c>
      <c r="D70" s="25" t="s">
        <v>147</v>
      </c>
      <c r="H70" s="12">
        <v>205</v>
      </c>
      <c r="I70" s="30" t="s">
        <v>2</v>
      </c>
      <c r="J70" s="3">
        <v>0</v>
      </c>
      <c r="K70" s="3">
        <v>0</v>
      </c>
      <c r="L70" s="3">
        <v>0</v>
      </c>
      <c r="M70" s="3">
        <v>4</v>
      </c>
      <c r="N70" s="3">
        <v>0</v>
      </c>
      <c r="O70" s="3">
        <v>1</v>
      </c>
      <c r="P70" s="4">
        <f t="shared" si="1"/>
        <v>200</v>
      </c>
      <c r="Q70" s="1" t="s">
        <v>14</v>
      </c>
      <c r="R70" s="44">
        <v>50</v>
      </c>
      <c r="S70" s="47">
        <v>100</v>
      </c>
      <c r="T70" s="4"/>
    </row>
    <row r="71" spans="1:20" x14ac:dyDescent="0.25">
      <c r="A71" s="7">
        <v>68</v>
      </c>
      <c r="D71" s="26" t="s">
        <v>80</v>
      </c>
      <c r="E71" s="27"/>
      <c r="F71" s="27"/>
      <c r="G71" s="28"/>
      <c r="H71" s="12">
        <v>37</v>
      </c>
      <c r="I71" s="8" t="s">
        <v>2</v>
      </c>
      <c r="J71" s="3">
        <v>0</v>
      </c>
      <c r="K71" s="3">
        <v>0</v>
      </c>
      <c r="L71" s="3">
        <v>0</v>
      </c>
      <c r="M71" s="3">
        <v>0</v>
      </c>
      <c r="N71" s="3">
        <v>5</v>
      </c>
      <c r="O71" s="3">
        <v>0</v>
      </c>
      <c r="P71" s="4">
        <f t="shared" si="1"/>
        <v>32</v>
      </c>
      <c r="Q71" s="1" t="s">
        <v>14</v>
      </c>
      <c r="R71" s="44">
        <v>0</v>
      </c>
      <c r="S71" s="46"/>
      <c r="T71" s="4"/>
    </row>
    <row r="72" spans="1:20" x14ac:dyDescent="0.25">
      <c r="A72" s="7">
        <v>69</v>
      </c>
      <c r="D72" s="26" t="s">
        <v>84</v>
      </c>
      <c r="E72" s="27"/>
      <c r="F72" s="27"/>
      <c r="G72" s="28"/>
      <c r="H72" s="12">
        <v>450</v>
      </c>
      <c r="I72" s="8" t="s">
        <v>2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  <c r="P72" s="4">
        <f t="shared" si="1"/>
        <v>450</v>
      </c>
      <c r="Q72" s="1" t="s">
        <v>14</v>
      </c>
      <c r="R72" s="44">
        <v>100</v>
      </c>
      <c r="S72" s="47">
        <v>200</v>
      </c>
      <c r="T72" s="4"/>
    </row>
    <row r="73" spans="1:20" x14ac:dyDescent="0.25">
      <c r="A73" s="7">
        <v>70</v>
      </c>
      <c r="D73" s="26" t="s">
        <v>167</v>
      </c>
      <c r="E73" s="27"/>
      <c r="F73" s="27"/>
      <c r="G73" s="28"/>
      <c r="H73" s="12">
        <v>95</v>
      </c>
      <c r="I73" s="8" t="s">
        <v>2</v>
      </c>
      <c r="J73" s="3">
        <v>0</v>
      </c>
      <c r="K73" s="3">
        <v>0</v>
      </c>
      <c r="L73" s="3">
        <v>0</v>
      </c>
      <c r="M73" s="3">
        <v>0</v>
      </c>
      <c r="N73" s="3">
        <v>5</v>
      </c>
      <c r="O73" s="3">
        <v>0</v>
      </c>
      <c r="P73" s="4">
        <f t="shared" si="1"/>
        <v>90</v>
      </c>
      <c r="R73" s="44">
        <v>0</v>
      </c>
      <c r="S73" s="46"/>
      <c r="T73" s="4"/>
    </row>
    <row r="74" spans="1:20" x14ac:dyDescent="0.25">
      <c r="A74" s="7">
        <v>71</v>
      </c>
      <c r="D74" s="37" t="s">
        <v>99</v>
      </c>
      <c r="E74" s="17"/>
      <c r="F74" s="33"/>
      <c r="G74" s="33"/>
      <c r="H74" s="12">
        <v>132</v>
      </c>
      <c r="I74" s="8" t="s">
        <v>75</v>
      </c>
      <c r="J74" s="3">
        <v>494</v>
      </c>
      <c r="K74" s="3">
        <v>132</v>
      </c>
      <c r="L74" s="3">
        <v>50</v>
      </c>
      <c r="M74" s="3">
        <v>0</v>
      </c>
      <c r="N74" s="3">
        <v>25</v>
      </c>
      <c r="O74" s="3">
        <v>50</v>
      </c>
      <c r="P74" s="4">
        <f t="shared" si="1"/>
        <v>369</v>
      </c>
      <c r="Q74" s="1" t="s">
        <v>163</v>
      </c>
      <c r="R74" s="44">
        <v>100</v>
      </c>
      <c r="S74" s="47">
        <v>500</v>
      </c>
      <c r="T74" s="4"/>
    </row>
    <row r="75" spans="1:20" x14ac:dyDescent="0.25">
      <c r="A75" s="7">
        <v>72</v>
      </c>
      <c r="D75" s="22" t="s">
        <v>100</v>
      </c>
      <c r="E75" s="10"/>
      <c r="F75" s="10"/>
      <c r="G75" s="28"/>
      <c r="H75" s="12">
        <v>0</v>
      </c>
      <c r="I75" s="8" t="s">
        <v>2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4">
        <f t="shared" si="1"/>
        <v>0</v>
      </c>
      <c r="R75" s="44">
        <v>0</v>
      </c>
      <c r="S75" s="46"/>
      <c r="T75" s="4"/>
    </row>
    <row r="76" spans="1:20" x14ac:dyDescent="0.25">
      <c r="A76" s="7">
        <v>73</v>
      </c>
      <c r="D76" s="37" t="s">
        <v>113</v>
      </c>
      <c r="E76" s="17"/>
      <c r="F76" s="17"/>
      <c r="G76" s="33"/>
      <c r="H76" s="12">
        <v>1005</v>
      </c>
      <c r="I76" s="8" t="s">
        <v>97</v>
      </c>
      <c r="J76" s="3">
        <v>1001.5</v>
      </c>
      <c r="K76" s="3">
        <v>65</v>
      </c>
      <c r="L76" s="3">
        <v>83</v>
      </c>
      <c r="M76" s="3">
        <v>97</v>
      </c>
      <c r="N76" s="3">
        <v>82.8</v>
      </c>
      <c r="O76" s="3">
        <v>56</v>
      </c>
      <c r="P76" s="4">
        <f t="shared" si="1"/>
        <v>1622.7</v>
      </c>
      <c r="Q76" s="65" t="s">
        <v>121</v>
      </c>
      <c r="R76" s="44">
        <v>30</v>
      </c>
      <c r="S76" s="47">
        <v>100</v>
      </c>
      <c r="T76" s="4"/>
    </row>
    <row r="77" spans="1:20" x14ac:dyDescent="0.25">
      <c r="A77" s="7">
        <v>74</v>
      </c>
      <c r="D77" s="22" t="s">
        <v>103</v>
      </c>
      <c r="E77" s="10"/>
      <c r="F77" s="10"/>
      <c r="G77" s="28"/>
      <c r="H77" s="12">
        <v>120</v>
      </c>
      <c r="I77" s="8" t="s">
        <v>2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4">
        <f t="shared" si="1"/>
        <v>120</v>
      </c>
      <c r="R77" s="44">
        <v>60</v>
      </c>
      <c r="S77" s="47">
        <v>100</v>
      </c>
      <c r="T77" s="4"/>
    </row>
    <row r="78" spans="1:20" x14ac:dyDescent="0.25">
      <c r="A78" s="8">
        <v>75</v>
      </c>
      <c r="D78" s="49" t="s">
        <v>108</v>
      </c>
      <c r="E78" s="20"/>
      <c r="F78" s="20"/>
      <c r="G78" s="20"/>
      <c r="H78" s="12">
        <v>25000</v>
      </c>
      <c r="I78" s="8" t="s">
        <v>110</v>
      </c>
      <c r="J78" s="3">
        <v>0</v>
      </c>
      <c r="K78" s="3">
        <v>2500</v>
      </c>
      <c r="L78" s="3">
        <v>1500</v>
      </c>
      <c r="M78" s="3">
        <v>3000</v>
      </c>
      <c r="N78" s="3">
        <v>1500</v>
      </c>
      <c r="O78" s="3">
        <v>2000</v>
      </c>
      <c r="P78" s="4">
        <f t="shared" si="1"/>
        <v>14500</v>
      </c>
      <c r="R78" s="43">
        <v>1000</v>
      </c>
      <c r="S78" s="46">
        <v>10000</v>
      </c>
      <c r="T78" s="4"/>
    </row>
    <row r="79" spans="1:20" x14ac:dyDescent="0.25">
      <c r="A79" s="48">
        <v>76</v>
      </c>
      <c r="B79" s="41"/>
      <c r="C79" s="41"/>
      <c r="D79" s="22" t="s">
        <v>115</v>
      </c>
      <c r="E79" s="10"/>
      <c r="F79" s="10"/>
      <c r="G79" s="11"/>
      <c r="H79" s="12">
        <v>49</v>
      </c>
      <c r="I79" s="62" t="s">
        <v>2</v>
      </c>
      <c r="J79" s="3">
        <v>0</v>
      </c>
      <c r="K79" s="3">
        <v>5</v>
      </c>
      <c r="L79" s="3">
        <v>0</v>
      </c>
      <c r="M79" s="3">
        <v>4</v>
      </c>
      <c r="N79" s="3">
        <v>0</v>
      </c>
      <c r="O79" s="3">
        <v>1</v>
      </c>
      <c r="P79" s="64">
        <f t="shared" si="1"/>
        <v>39</v>
      </c>
      <c r="R79" s="64">
        <v>50</v>
      </c>
      <c r="S79" s="64">
        <v>100</v>
      </c>
      <c r="T79" s="4" t="s">
        <v>14</v>
      </c>
    </row>
    <row r="80" spans="1:20" x14ac:dyDescent="0.25">
      <c r="A80" s="73">
        <v>77</v>
      </c>
      <c r="B80" s="41"/>
      <c r="C80" s="41"/>
      <c r="D80" s="49" t="s">
        <v>134</v>
      </c>
      <c r="E80" s="35"/>
      <c r="F80" s="35"/>
      <c r="G80" s="60"/>
      <c r="H80" s="12">
        <v>325</v>
      </c>
      <c r="I80" s="8" t="s">
        <v>2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  <c r="P80" s="4">
        <f t="shared" si="1"/>
        <v>325</v>
      </c>
      <c r="Q80" s="4"/>
      <c r="R80" s="4">
        <v>20</v>
      </c>
      <c r="S80" s="4">
        <v>50</v>
      </c>
      <c r="T80" s="4"/>
    </row>
    <row r="81" spans="1:20" x14ac:dyDescent="0.25">
      <c r="A81" s="8">
        <v>78</v>
      </c>
      <c r="D81" s="22" t="s">
        <v>123</v>
      </c>
      <c r="E81" s="10"/>
      <c r="F81" s="10"/>
      <c r="G81" s="11"/>
      <c r="H81" s="12">
        <v>2500</v>
      </c>
      <c r="I81" s="8" t="s">
        <v>2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  <c r="P81" s="4">
        <f t="shared" si="1"/>
        <v>2500</v>
      </c>
      <c r="Q81" s="4"/>
      <c r="R81" s="4">
        <v>100</v>
      </c>
      <c r="S81" s="4">
        <v>500</v>
      </c>
      <c r="T81" s="4"/>
    </row>
    <row r="82" spans="1:20" x14ac:dyDescent="0.25">
      <c r="A82" s="48">
        <v>79</v>
      </c>
      <c r="B82" s="41"/>
      <c r="C82" s="41"/>
      <c r="D82" s="22" t="s">
        <v>154</v>
      </c>
      <c r="E82" s="10"/>
      <c r="F82" s="10"/>
      <c r="G82" s="11"/>
      <c r="H82" s="4">
        <v>15</v>
      </c>
      <c r="I82" s="8" t="s">
        <v>2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  <c r="P82" s="4">
        <f t="shared" si="1"/>
        <v>15</v>
      </c>
      <c r="Q82" s="4"/>
      <c r="R82" s="4"/>
      <c r="S82" s="4"/>
      <c r="T82" s="4"/>
    </row>
    <row r="83" spans="1:20" x14ac:dyDescent="0.25">
      <c r="A83" s="48">
        <v>80</v>
      </c>
      <c r="B83" s="41"/>
      <c r="C83" s="41"/>
      <c r="D83" s="37" t="s">
        <v>155</v>
      </c>
      <c r="E83" s="17"/>
      <c r="F83" s="17"/>
      <c r="G83" s="18"/>
      <c r="H83" s="64">
        <v>15</v>
      </c>
      <c r="I83" s="62" t="s">
        <v>2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64">
        <f t="shared" si="1"/>
        <v>15</v>
      </c>
      <c r="Q83" s="64"/>
      <c r="R83" s="64"/>
      <c r="S83" s="64"/>
      <c r="T83" s="4"/>
    </row>
    <row r="84" spans="1:20" x14ac:dyDescent="0.25">
      <c r="A84" s="48">
        <v>81</v>
      </c>
      <c r="B84" s="11"/>
      <c r="C84" s="23"/>
      <c r="D84" s="23" t="s">
        <v>149</v>
      </c>
      <c r="E84" s="23"/>
      <c r="F84" s="23"/>
      <c r="G84" s="23"/>
      <c r="H84" s="23">
        <v>12</v>
      </c>
      <c r="I84" s="8" t="s">
        <v>2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4">
        <f t="shared" si="1"/>
        <v>12</v>
      </c>
      <c r="Q84" s="4"/>
      <c r="R84" s="4"/>
      <c r="S84" s="4"/>
      <c r="T84" s="4"/>
    </row>
    <row r="85" spans="1:20" x14ac:dyDescent="0.25">
      <c r="A85" s="8">
        <v>82</v>
      </c>
      <c r="D85" s="68" t="s">
        <v>148</v>
      </c>
      <c r="E85" s="27"/>
      <c r="F85" s="27"/>
      <c r="G85" s="28"/>
      <c r="H85" s="4">
        <v>98</v>
      </c>
      <c r="I85" s="8" t="s">
        <v>2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4">
        <f t="shared" si="1"/>
        <v>98</v>
      </c>
      <c r="Q85" s="4"/>
      <c r="R85" s="4"/>
      <c r="S85" s="4"/>
      <c r="T85" s="4"/>
    </row>
    <row r="86" spans="1:20" ht="15.75" customHeight="1" x14ac:dyDescent="0.25">
      <c r="A86" s="8">
        <v>83</v>
      </c>
      <c r="D86" s="79" t="s">
        <v>150</v>
      </c>
      <c r="E86" s="80"/>
      <c r="F86" s="81"/>
      <c r="G86" s="82"/>
      <c r="H86" s="4">
        <v>750</v>
      </c>
      <c r="I86" s="8" t="s">
        <v>2</v>
      </c>
      <c r="J86" s="3">
        <v>5750</v>
      </c>
      <c r="K86" s="3">
        <v>0</v>
      </c>
      <c r="L86" s="3">
        <v>500</v>
      </c>
      <c r="M86" s="3">
        <v>0</v>
      </c>
      <c r="N86" s="3">
        <v>0</v>
      </c>
      <c r="O86" s="3">
        <v>0</v>
      </c>
      <c r="P86" s="4">
        <f t="shared" si="1"/>
        <v>6000</v>
      </c>
      <c r="Q86" s="4"/>
      <c r="R86" s="4">
        <v>50</v>
      </c>
      <c r="S86" s="4">
        <v>300</v>
      </c>
      <c r="T86" s="4"/>
    </row>
    <row r="87" spans="1:20" x14ac:dyDescent="0.25">
      <c r="A87" s="8">
        <v>84</v>
      </c>
      <c r="D87" s="22" t="s">
        <v>160</v>
      </c>
      <c r="E87" s="10"/>
      <c r="F87" s="10"/>
      <c r="G87" s="11"/>
      <c r="H87" s="23">
        <v>841</v>
      </c>
      <c r="I87" s="8" t="s">
        <v>2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4">
        <f t="shared" si="1"/>
        <v>841</v>
      </c>
      <c r="Q87" s="4"/>
      <c r="R87" s="4"/>
      <c r="S87" s="4"/>
      <c r="T87" s="4"/>
    </row>
    <row r="88" spans="1:20" x14ac:dyDescent="0.25">
      <c r="A88" s="8">
        <v>85</v>
      </c>
      <c r="D88" s="49" t="s">
        <v>153</v>
      </c>
      <c r="E88" s="20"/>
      <c r="F88" s="20"/>
      <c r="G88" s="21"/>
      <c r="H88" s="23">
        <v>88</v>
      </c>
      <c r="I88" s="8" t="s">
        <v>2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4">
        <f t="shared" si="1"/>
        <v>88</v>
      </c>
      <c r="Q88" s="4"/>
      <c r="R88" s="4"/>
      <c r="S88" s="4"/>
      <c r="T88" s="4"/>
    </row>
    <row r="89" spans="1:20" x14ac:dyDescent="0.25">
      <c r="A89" s="77">
        <v>86</v>
      </c>
      <c r="D89" s="68" t="s">
        <v>162</v>
      </c>
      <c r="E89" s="27"/>
      <c r="F89" s="27"/>
      <c r="G89" s="28"/>
      <c r="H89" s="74">
        <v>110</v>
      </c>
      <c r="I89" s="75" t="s">
        <v>2</v>
      </c>
      <c r="J89" s="3">
        <v>0</v>
      </c>
      <c r="K89" s="3">
        <v>0</v>
      </c>
      <c r="L89" s="3">
        <v>0</v>
      </c>
      <c r="M89" s="3">
        <v>0</v>
      </c>
      <c r="N89" s="3">
        <v>13</v>
      </c>
      <c r="O89" s="3">
        <v>0</v>
      </c>
      <c r="P89" s="4">
        <f t="shared" si="1"/>
        <v>97</v>
      </c>
      <c r="Q89" s="4"/>
      <c r="R89" s="4"/>
      <c r="S89" s="4"/>
      <c r="T89" s="4"/>
    </row>
  </sheetData>
  <pageMargins left="0.75" right="0.75" top="1" bottom="1" header="0.5" footer="0.5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T89"/>
  <sheetViews>
    <sheetView workbookViewId="0">
      <selection activeCell="H22" sqref="H22"/>
    </sheetView>
  </sheetViews>
  <sheetFormatPr defaultRowHeight="15" x14ac:dyDescent="0.25"/>
  <cols>
    <col min="1" max="1" width="5.5703125" customWidth="1"/>
    <col min="2" max="3" width="9.140625" hidden="1" customWidth="1"/>
    <col min="6" max="6" width="12.7109375" customWidth="1"/>
    <col min="8" max="8" width="10.140625" customWidth="1"/>
    <col min="9" max="9" width="10" customWidth="1"/>
    <col min="10" max="10" width="7.7109375" customWidth="1"/>
    <col min="11" max="11" width="10.7109375" customWidth="1"/>
    <col min="12" max="12" width="10.140625" customWidth="1"/>
    <col min="13" max="13" width="11.85546875" customWidth="1"/>
    <col min="14" max="15" width="11.7109375" customWidth="1"/>
    <col min="16" max="16" width="10.140625" customWidth="1"/>
    <col min="17" max="17" width="4.7109375" customWidth="1"/>
    <col min="18" max="18" width="12.140625" customWidth="1"/>
    <col min="19" max="19" width="10.85546875" customWidth="1"/>
    <col min="20" max="20" width="13.85546875" customWidth="1"/>
  </cols>
  <sheetData>
    <row r="1" spans="1:20" x14ac:dyDescent="0.25">
      <c r="G1" s="1"/>
      <c r="P1">
        <f>+H1+J1-K1-L1-M1-N1-O1</f>
        <v>0</v>
      </c>
    </row>
    <row r="2" spans="1:20" x14ac:dyDescent="0.25">
      <c r="A2" t="s">
        <v>14</v>
      </c>
      <c r="D2" s="78" t="s">
        <v>170</v>
      </c>
      <c r="O2" s="38" t="s">
        <v>14</v>
      </c>
      <c r="S2" s="50">
        <v>44837</v>
      </c>
    </row>
    <row r="3" spans="1:20" x14ac:dyDescent="0.25">
      <c r="A3" s="3" t="s">
        <v>15</v>
      </c>
      <c r="D3" s="9" t="s">
        <v>17</v>
      </c>
      <c r="E3" s="10"/>
      <c r="F3" s="10"/>
      <c r="G3" s="11"/>
      <c r="H3" s="12" t="s">
        <v>18</v>
      </c>
      <c r="I3" s="4" t="s">
        <v>19</v>
      </c>
      <c r="J3" s="3" t="s">
        <v>20</v>
      </c>
      <c r="K3" s="5">
        <v>45271</v>
      </c>
      <c r="L3" s="6">
        <v>45278</v>
      </c>
      <c r="M3" s="5">
        <v>45285</v>
      </c>
      <c r="N3" s="5">
        <v>45287</v>
      </c>
      <c r="O3" s="6">
        <v>45291</v>
      </c>
      <c r="P3" s="3" t="s">
        <v>21</v>
      </c>
      <c r="R3" s="42" t="s">
        <v>105</v>
      </c>
      <c r="S3" s="45" t="s">
        <v>104</v>
      </c>
      <c r="T3" s="4"/>
    </row>
    <row r="4" spans="1:20" x14ac:dyDescent="0.25">
      <c r="A4" s="7">
        <v>1</v>
      </c>
      <c r="D4" s="13" t="s">
        <v>16</v>
      </c>
      <c r="E4" s="14"/>
      <c r="F4" s="14"/>
      <c r="G4" s="15"/>
      <c r="H4" s="12">
        <v>390</v>
      </c>
      <c r="I4" s="7" t="s">
        <v>1</v>
      </c>
      <c r="J4" s="3">
        <v>0</v>
      </c>
      <c r="K4" s="3">
        <v>25</v>
      </c>
      <c r="L4" s="3">
        <v>0</v>
      </c>
      <c r="M4" s="3">
        <v>25</v>
      </c>
      <c r="N4" s="3">
        <v>0</v>
      </c>
      <c r="O4" s="3">
        <v>50</v>
      </c>
      <c r="P4" s="4">
        <f t="shared" ref="P4:P67" si="0">+H4+J4-K4-L4-M4-N4-O4</f>
        <v>290</v>
      </c>
      <c r="Q4" t="s">
        <v>67</v>
      </c>
      <c r="R4" s="43">
        <v>100</v>
      </c>
      <c r="S4" s="46">
        <v>500</v>
      </c>
      <c r="T4" s="4" t="s">
        <v>14</v>
      </c>
    </row>
    <row r="5" spans="1:20" x14ac:dyDescent="0.25">
      <c r="A5" s="7">
        <v>2</v>
      </c>
      <c r="D5" s="9" t="s">
        <v>22</v>
      </c>
      <c r="E5" s="10"/>
      <c r="F5" s="10"/>
      <c r="G5" s="11"/>
      <c r="H5" s="12">
        <v>15</v>
      </c>
      <c r="I5" s="7" t="s">
        <v>2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4">
        <f t="shared" si="0"/>
        <v>15</v>
      </c>
      <c r="Q5" s="1" t="s">
        <v>14</v>
      </c>
      <c r="R5" s="44">
        <v>6</v>
      </c>
      <c r="S5" s="47">
        <v>10</v>
      </c>
      <c r="T5" s="4"/>
    </row>
    <row r="6" spans="1:20" x14ac:dyDescent="0.25">
      <c r="A6" s="7">
        <v>3</v>
      </c>
      <c r="D6" s="16" t="s">
        <v>23</v>
      </c>
      <c r="E6" s="17"/>
      <c r="F6" s="17"/>
      <c r="G6" s="18"/>
      <c r="H6" s="12">
        <v>54</v>
      </c>
      <c r="I6" s="7" t="s">
        <v>2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4">
        <f t="shared" si="0"/>
        <v>54</v>
      </c>
      <c r="Q6" s="1" t="s">
        <v>14</v>
      </c>
      <c r="R6" s="44">
        <v>6</v>
      </c>
      <c r="S6" s="47">
        <v>10</v>
      </c>
      <c r="T6" s="4"/>
    </row>
    <row r="7" spans="1:20" x14ac:dyDescent="0.25">
      <c r="A7" s="7">
        <v>4</v>
      </c>
      <c r="D7" s="9" t="s">
        <v>3</v>
      </c>
      <c r="E7" s="10"/>
      <c r="F7" s="10"/>
      <c r="G7" s="11"/>
      <c r="H7" s="12">
        <v>30</v>
      </c>
      <c r="I7" s="7" t="s">
        <v>2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4">
        <f t="shared" si="0"/>
        <v>30</v>
      </c>
      <c r="Q7" s="1" t="s">
        <v>14</v>
      </c>
      <c r="R7" s="44">
        <v>6</v>
      </c>
      <c r="S7" s="47">
        <v>10</v>
      </c>
      <c r="T7" s="4"/>
    </row>
    <row r="8" spans="1:20" x14ac:dyDescent="0.25">
      <c r="A8" s="7">
        <v>5</v>
      </c>
      <c r="D8" s="16" t="s">
        <v>139</v>
      </c>
      <c r="E8" s="17"/>
      <c r="F8" s="17"/>
      <c r="G8" s="18"/>
      <c r="H8" s="12">
        <v>101</v>
      </c>
      <c r="I8" s="7" t="s">
        <v>2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4">
        <f t="shared" si="0"/>
        <v>101</v>
      </c>
      <c r="Q8" s="1" t="s">
        <v>14</v>
      </c>
      <c r="R8" s="44">
        <v>100</v>
      </c>
      <c r="S8" s="47">
        <v>400</v>
      </c>
      <c r="T8" s="4"/>
    </row>
    <row r="9" spans="1:20" x14ac:dyDescent="0.25">
      <c r="A9" s="7">
        <v>6</v>
      </c>
      <c r="D9" s="9" t="s">
        <v>24</v>
      </c>
      <c r="E9" s="10"/>
      <c r="F9" s="10"/>
      <c r="G9" s="11"/>
      <c r="H9" s="12">
        <v>122</v>
      </c>
      <c r="I9" s="7" t="s">
        <v>2</v>
      </c>
      <c r="J9" s="3">
        <v>40</v>
      </c>
      <c r="K9" s="3">
        <v>20</v>
      </c>
      <c r="L9" s="3">
        <v>0</v>
      </c>
      <c r="M9" s="3">
        <v>0</v>
      </c>
      <c r="N9" s="3">
        <v>0</v>
      </c>
      <c r="O9" s="3">
        <v>2</v>
      </c>
      <c r="P9" s="4">
        <f t="shared" si="0"/>
        <v>140</v>
      </c>
      <c r="Q9" s="1" t="s">
        <v>14</v>
      </c>
      <c r="R9" s="44">
        <v>60</v>
      </c>
      <c r="S9" s="47">
        <v>200</v>
      </c>
      <c r="T9" s="4"/>
    </row>
    <row r="10" spans="1:20" x14ac:dyDescent="0.25">
      <c r="A10" s="7">
        <v>7</v>
      </c>
      <c r="D10" s="16" t="s">
        <v>101</v>
      </c>
      <c r="E10" s="17"/>
      <c r="F10" s="17"/>
      <c r="G10" s="18"/>
      <c r="H10" s="12">
        <v>750</v>
      </c>
      <c r="I10" s="7" t="s">
        <v>2</v>
      </c>
      <c r="J10" s="3">
        <v>0</v>
      </c>
      <c r="K10" s="3">
        <v>100</v>
      </c>
      <c r="L10" s="3">
        <v>0</v>
      </c>
      <c r="M10" s="3">
        <v>200</v>
      </c>
      <c r="N10" s="3">
        <v>0</v>
      </c>
      <c r="O10" s="3">
        <v>0</v>
      </c>
      <c r="P10" s="4">
        <f t="shared" si="0"/>
        <v>450</v>
      </c>
      <c r="Q10" s="1" t="s">
        <v>14</v>
      </c>
      <c r="R10" s="44">
        <v>200</v>
      </c>
      <c r="S10" s="47">
        <v>500</v>
      </c>
      <c r="T10" s="4"/>
    </row>
    <row r="11" spans="1:20" x14ac:dyDescent="0.25">
      <c r="A11" s="7">
        <v>8</v>
      </c>
      <c r="D11" s="9" t="s">
        <v>25</v>
      </c>
      <c r="E11" s="10"/>
      <c r="F11" s="10"/>
      <c r="G11" s="11"/>
      <c r="H11" s="12">
        <v>364</v>
      </c>
      <c r="I11" s="7" t="s">
        <v>2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4">
        <f t="shared" si="0"/>
        <v>364</v>
      </c>
      <c r="Q11" s="1" t="s">
        <v>14</v>
      </c>
      <c r="R11" s="44">
        <v>0</v>
      </c>
      <c r="S11" s="47">
        <v>0</v>
      </c>
      <c r="T11" s="4"/>
    </row>
    <row r="12" spans="1:20" x14ac:dyDescent="0.25">
      <c r="A12" s="7">
        <v>9</v>
      </c>
      <c r="D12" s="16" t="s">
        <v>26</v>
      </c>
      <c r="E12" s="17"/>
      <c r="F12" s="17"/>
      <c r="G12" s="18"/>
      <c r="H12" s="12">
        <v>0</v>
      </c>
      <c r="I12" s="7" t="s">
        <v>2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4">
        <f t="shared" si="0"/>
        <v>0</v>
      </c>
      <c r="Q12" s="1" t="s">
        <v>14</v>
      </c>
      <c r="R12" s="44">
        <v>200</v>
      </c>
      <c r="S12" s="47">
        <v>400</v>
      </c>
      <c r="T12" s="4"/>
    </row>
    <row r="13" spans="1:20" x14ac:dyDescent="0.25">
      <c r="A13" s="7">
        <v>10</v>
      </c>
      <c r="D13" s="9" t="s">
        <v>6</v>
      </c>
      <c r="E13" s="10"/>
      <c r="F13" s="10"/>
      <c r="G13" s="11"/>
      <c r="H13" s="12">
        <v>60</v>
      </c>
      <c r="I13" s="7" t="s">
        <v>2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4">
        <f t="shared" si="0"/>
        <v>60</v>
      </c>
      <c r="Q13" s="1" t="s">
        <v>14</v>
      </c>
      <c r="R13" s="44">
        <v>0</v>
      </c>
      <c r="S13" s="46"/>
      <c r="T13" s="4"/>
    </row>
    <row r="14" spans="1:20" x14ac:dyDescent="0.25">
      <c r="A14" s="7">
        <v>11</v>
      </c>
      <c r="D14" s="16" t="s">
        <v>7</v>
      </c>
      <c r="E14" s="17"/>
      <c r="F14" s="17"/>
      <c r="G14" s="18"/>
      <c r="H14" s="12">
        <v>3</v>
      </c>
      <c r="I14" s="7" t="s">
        <v>171</v>
      </c>
      <c r="J14" s="3">
        <v>20</v>
      </c>
      <c r="K14" s="3">
        <v>0</v>
      </c>
      <c r="L14" s="3">
        <v>0</v>
      </c>
      <c r="M14" s="3">
        <v>0</v>
      </c>
      <c r="N14" s="3">
        <v>0</v>
      </c>
      <c r="O14" s="3">
        <v>2</v>
      </c>
      <c r="P14" s="4">
        <f t="shared" si="0"/>
        <v>21</v>
      </c>
      <c r="Q14" s="1" t="s">
        <v>14</v>
      </c>
      <c r="R14" s="44">
        <v>20</v>
      </c>
      <c r="S14" s="47">
        <v>50</v>
      </c>
      <c r="T14" s="4"/>
    </row>
    <row r="15" spans="1:20" x14ac:dyDescent="0.25">
      <c r="A15" s="7">
        <v>12</v>
      </c>
      <c r="D15" s="9" t="s">
        <v>69</v>
      </c>
      <c r="E15" s="10"/>
      <c r="F15" s="10"/>
      <c r="G15" s="11"/>
      <c r="H15" s="12">
        <v>0</v>
      </c>
      <c r="I15" s="7" t="s">
        <v>171</v>
      </c>
      <c r="J15" s="3">
        <v>20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4">
        <f t="shared" si="0"/>
        <v>20</v>
      </c>
      <c r="Q15" s="1" t="s">
        <v>14</v>
      </c>
      <c r="R15" s="44">
        <v>100</v>
      </c>
      <c r="S15" s="47">
        <v>200</v>
      </c>
      <c r="T15" s="4"/>
    </row>
    <row r="16" spans="1:20" x14ac:dyDescent="0.25">
      <c r="A16" s="7">
        <v>13</v>
      </c>
      <c r="D16" s="16" t="s">
        <v>27</v>
      </c>
      <c r="E16" s="17"/>
      <c r="F16" s="17"/>
      <c r="G16" s="18"/>
      <c r="H16" s="12">
        <v>0</v>
      </c>
      <c r="I16" s="7" t="s">
        <v>2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4">
        <f t="shared" si="0"/>
        <v>0</v>
      </c>
      <c r="Q16" s="1" t="s">
        <v>14</v>
      </c>
      <c r="R16" s="44">
        <v>0</v>
      </c>
      <c r="S16" s="46"/>
      <c r="T16" s="4"/>
    </row>
    <row r="17" spans="1:20" x14ac:dyDescent="0.25">
      <c r="A17" s="7">
        <v>14</v>
      </c>
      <c r="D17" s="9" t="s">
        <v>73</v>
      </c>
      <c r="E17" s="10"/>
      <c r="F17" s="10"/>
      <c r="G17" s="11"/>
      <c r="H17" s="12">
        <v>781</v>
      </c>
      <c r="I17" s="7" t="s">
        <v>2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4">
        <f t="shared" si="0"/>
        <v>781</v>
      </c>
      <c r="Q17" s="1" t="s">
        <v>14</v>
      </c>
      <c r="R17" s="44">
        <v>0</v>
      </c>
      <c r="S17" s="46"/>
      <c r="T17" s="4"/>
    </row>
    <row r="18" spans="1:20" x14ac:dyDescent="0.25">
      <c r="A18" s="7">
        <v>15</v>
      </c>
      <c r="D18" s="16" t="s">
        <v>28</v>
      </c>
      <c r="E18" s="17"/>
      <c r="F18" s="17"/>
      <c r="G18" s="18"/>
      <c r="H18" s="12">
        <v>35</v>
      </c>
      <c r="I18" s="7" t="s">
        <v>2</v>
      </c>
      <c r="J18" s="3">
        <v>100</v>
      </c>
      <c r="K18" s="3">
        <v>13</v>
      </c>
      <c r="L18" s="3">
        <v>4</v>
      </c>
      <c r="M18" s="3">
        <v>0</v>
      </c>
      <c r="N18" s="3">
        <v>0</v>
      </c>
      <c r="O18" s="3">
        <v>10</v>
      </c>
      <c r="P18" s="4">
        <f t="shared" si="0"/>
        <v>108</v>
      </c>
      <c r="Q18" s="1" t="s">
        <v>14</v>
      </c>
      <c r="R18" s="44">
        <v>20</v>
      </c>
      <c r="S18" s="47">
        <v>50</v>
      </c>
      <c r="T18" s="4"/>
    </row>
    <row r="19" spans="1:20" x14ac:dyDescent="0.25">
      <c r="A19" s="7">
        <v>16</v>
      </c>
      <c r="D19" s="9" t="s">
        <v>29</v>
      </c>
      <c r="E19" s="10"/>
      <c r="F19" s="10"/>
      <c r="G19" s="11"/>
      <c r="H19" s="12">
        <v>35</v>
      </c>
      <c r="I19" s="7" t="s">
        <v>2</v>
      </c>
      <c r="J19" s="3">
        <v>100</v>
      </c>
      <c r="K19" s="3">
        <v>13</v>
      </c>
      <c r="L19" s="3">
        <v>4</v>
      </c>
      <c r="M19" s="3">
        <v>0</v>
      </c>
      <c r="N19" s="3">
        <v>0</v>
      </c>
      <c r="O19" s="3">
        <v>10</v>
      </c>
      <c r="P19" s="4">
        <f t="shared" si="0"/>
        <v>108</v>
      </c>
      <c r="Q19" s="1" t="s">
        <v>14</v>
      </c>
      <c r="R19" s="44">
        <v>20</v>
      </c>
      <c r="S19" s="47">
        <v>50</v>
      </c>
      <c r="T19" s="4"/>
    </row>
    <row r="20" spans="1:20" x14ac:dyDescent="0.25">
      <c r="A20" s="7">
        <v>17</v>
      </c>
      <c r="D20" s="16" t="s">
        <v>30</v>
      </c>
      <c r="E20" s="17"/>
      <c r="F20" s="17"/>
      <c r="G20" s="18"/>
      <c r="H20" s="12">
        <v>35</v>
      </c>
      <c r="I20" s="7" t="s">
        <v>2</v>
      </c>
      <c r="J20" s="3">
        <v>100</v>
      </c>
      <c r="K20" s="3">
        <v>13</v>
      </c>
      <c r="L20" s="3">
        <v>4</v>
      </c>
      <c r="M20" s="3">
        <v>0</v>
      </c>
      <c r="N20" s="3">
        <v>0</v>
      </c>
      <c r="O20" s="3">
        <v>10</v>
      </c>
      <c r="P20" s="4">
        <f t="shared" si="0"/>
        <v>108</v>
      </c>
      <c r="Q20" s="1" t="s">
        <v>14</v>
      </c>
      <c r="R20" s="44">
        <v>20</v>
      </c>
      <c r="S20" s="47">
        <v>50</v>
      </c>
      <c r="T20" s="4"/>
    </row>
    <row r="21" spans="1:20" x14ac:dyDescent="0.25">
      <c r="A21" s="7">
        <v>18</v>
      </c>
      <c r="D21" s="9" t="s">
        <v>129</v>
      </c>
      <c r="E21" s="10"/>
      <c r="F21" s="10"/>
      <c r="G21" s="11"/>
      <c r="H21" s="12">
        <v>20</v>
      </c>
      <c r="I21" s="7" t="s">
        <v>2</v>
      </c>
      <c r="J21" s="3">
        <v>0</v>
      </c>
      <c r="K21" s="3">
        <v>2</v>
      </c>
      <c r="L21" s="3">
        <v>0</v>
      </c>
      <c r="M21" s="3">
        <v>2</v>
      </c>
      <c r="N21" s="3">
        <v>0</v>
      </c>
      <c r="O21" s="3">
        <v>0</v>
      </c>
      <c r="P21" s="4">
        <f t="shared" si="0"/>
        <v>16</v>
      </c>
      <c r="Q21" s="1" t="s">
        <v>14</v>
      </c>
      <c r="R21" s="44">
        <v>0</v>
      </c>
      <c r="S21" s="46"/>
      <c r="T21" s="4"/>
    </row>
    <row r="22" spans="1:20" x14ac:dyDescent="0.25">
      <c r="A22" s="7">
        <v>19</v>
      </c>
      <c r="D22" s="55" t="s">
        <v>164</v>
      </c>
      <c r="E22" s="56"/>
      <c r="F22" s="56"/>
      <c r="G22" s="57"/>
      <c r="H22" s="12">
        <v>145</v>
      </c>
      <c r="I22" s="59" t="s">
        <v>1</v>
      </c>
      <c r="J22" s="3">
        <v>200</v>
      </c>
      <c r="K22" s="3">
        <v>140</v>
      </c>
      <c r="L22" s="3">
        <v>35</v>
      </c>
      <c r="M22" s="3">
        <v>25</v>
      </c>
      <c r="N22" s="3">
        <v>0</v>
      </c>
      <c r="O22" s="3">
        <v>80</v>
      </c>
      <c r="P22" s="46">
        <f t="shared" si="0"/>
        <v>65</v>
      </c>
      <c r="Q22" s="1" t="s">
        <v>14</v>
      </c>
      <c r="R22" s="44">
        <v>50</v>
      </c>
      <c r="S22" s="47">
        <v>200</v>
      </c>
      <c r="T22" s="4"/>
    </row>
    <row r="23" spans="1:20" x14ac:dyDescent="0.25">
      <c r="A23" s="7">
        <v>20</v>
      </c>
      <c r="D23" s="9" t="s">
        <v>32</v>
      </c>
      <c r="E23" s="10"/>
      <c r="F23" s="10"/>
      <c r="G23" s="11"/>
      <c r="H23" s="12">
        <v>850</v>
      </c>
      <c r="I23" s="7" t="s">
        <v>2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4">
        <f t="shared" si="0"/>
        <v>850</v>
      </c>
      <c r="Q23" s="1" t="s">
        <v>14</v>
      </c>
      <c r="R23" s="44">
        <v>0</v>
      </c>
      <c r="S23" s="46"/>
      <c r="T23" s="4"/>
    </row>
    <row r="24" spans="1:20" x14ac:dyDescent="0.25">
      <c r="A24" s="7">
        <v>21</v>
      </c>
      <c r="D24" s="16" t="s">
        <v>140</v>
      </c>
      <c r="E24" s="17"/>
      <c r="F24" s="17"/>
      <c r="G24" s="18"/>
      <c r="H24" s="12">
        <v>202</v>
      </c>
      <c r="I24" s="7" t="s">
        <v>2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4">
        <f t="shared" si="0"/>
        <v>202</v>
      </c>
      <c r="Q24" s="1" t="s">
        <v>14</v>
      </c>
      <c r="R24" s="44">
        <v>0</v>
      </c>
      <c r="S24" s="46"/>
      <c r="T24" s="4"/>
    </row>
    <row r="25" spans="1:20" x14ac:dyDescent="0.25">
      <c r="A25" s="7">
        <v>22</v>
      </c>
      <c r="D25" s="9" t="s">
        <v>34</v>
      </c>
      <c r="E25" s="10"/>
      <c r="F25" s="10"/>
      <c r="G25" s="11"/>
      <c r="H25" s="12">
        <v>117</v>
      </c>
      <c r="I25" s="7" t="s">
        <v>2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4">
        <f t="shared" si="0"/>
        <v>117</v>
      </c>
      <c r="Q25" s="1" t="s">
        <v>14</v>
      </c>
      <c r="R25" s="44">
        <v>0</v>
      </c>
      <c r="S25" s="46"/>
      <c r="T25" s="4"/>
    </row>
    <row r="26" spans="1:20" x14ac:dyDescent="0.25">
      <c r="A26" s="7">
        <v>23</v>
      </c>
      <c r="D26" s="16" t="s">
        <v>142</v>
      </c>
      <c r="E26" s="17"/>
      <c r="F26" s="17"/>
      <c r="G26" s="18"/>
      <c r="H26" s="12">
        <v>59</v>
      </c>
      <c r="I26" s="7" t="s">
        <v>2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4">
        <f t="shared" si="0"/>
        <v>59</v>
      </c>
      <c r="Q26" s="1" t="s">
        <v>14</v>
      </c>
      <c r="R26" s="44">
        <v>20</v>
      </c>
      <c r="S26" s="47">
        <v>50</v>
      </c>
      <c r="T26" s="4"/>
    </row>
    <row r="27" spans="1:20" x14ac:dyDescent="0.25">
      <c r="A27" s="7">
        <v>24</v>
      </c>
      <c r="D27" s="9" t="s">
        <v>141</v>
      </c>
      <c r="E27" s="10"/>
      <c r="F27" s="10"/>
      <c r="G27" s="11"/>
      <c r="H27" s="12">
        <v>0</v>
      </c>
      <c r="I27" s="7" t="s">
        <v>2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  <c r="P27" s="4">
        <f t="shared" si="0"/>
        <v>0</v>
      </c>
      <c r="Q27" s="1"/>
      <c r="R27" s="44">
        <v>20</v>
      </c>
      <c r="S27" s="47">
        <v>50</v>
      </c>
      <c r="T27" s="4"/>
    </row>
    <row r="28" spans="1:20" x14ac:dyDescent="0.25">
      <c r="A28" s="7">
        <v>25</v>
      </c>
      <c r="D28" s="9" t="s">
        <v>137</v>
      </c>
      <c r="E28" s="10"/>
      <c r="F28" s="10"/>
      <c r="G28" s="11"/>
      <c r="H28" s="12">
        <v>117</v>
      </c>
      <c r="I28" s="7" t="s">
        <v>2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4">
        <f t="shared" si="0"/>
        <v>117</v>
      </c>
      <c r="Q28" s="1" t="s">
        <v>14</v>
      </c>
      <c r="R28" s="44">
        <v>20</v>
      </c>
      <c r="S28" s="47">
        <v>50</v>
      </c>
      <c r="T28" s="4"/>
    </row>
    <row r="29" spans="1:20" x14ac:dyDescent="0.25">
      <c r="A29" s="7">
        <v>26</v>
      </c>
      <c r="D29" s="9" t="s">
        <v>138</v>
      </c>
      <c r="E29" s="10"/>
      <c r="F29" s="10"/>
      <c r="G29" s="11"/>
      <c r="H29" s="12">
        <v>162</v>
      </c>
      <c r="I29" s="7" t="s">
        <v>2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4">
        <f t="shared" si="0"/>
        <v>162</v>
      </c>
      <c r="Q29" s="1"/>
      <c r="R29" s="44"/>
      <c r="S29" s="47"/>
      <c r="T29" s="4"/>
    </row>
    <row r="30" spans="1:20" x14ac:dyDescent="0.25">
      <c r="A30" s="7">
        <v>27</v>
      </c>
      <c r="D30" s="16" t="s">
        <v>35</v>
      </c>
      <c r="E30" s="17"/>
      <c r="F30" s="17"/>
      <c r="G30" s="18"/>
      <c r="H30" s="12">
        <v>419</v>
      </c>
      <c r="I30" s="7" t="s">
        <v>2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4">
        <f t="shared" si="0"/>
        <v>419</v>
      </c>
      <c r="Q30" s="1" t="s">
        <v>14</v>
      </c>
      <c r="R30" s="44">
        <v>50</v>
      </c>
      <c r="S30" s="47">
        <v>100</v>
      </c>
      <c r="T30" s="4"/>
    </row>
    <row r="31" spans="1:20" x14ac:dyDescent="0.25">
      <c r="A31" s="7">
        <v>28</v>
      </c>
      <c r="D31" s="9" t="s">
        <v>36</v>
      </c>
      <c r="E31" s="10"/>
      <c r="F31" s="10"/>
      <c r="G31" s="11"/>
      <c r="H31" s="12">
        <v>174</v>
      </c>
      <c r="I31" s="7" t="s">
        <v>2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4">
        <f t="shared" si="0"/>
        <v>174</v>
      </c>
      <c r="Q31" s="1" t="s">
        <v>14</v>
      </c>
      <c r="R31" s="44">
        <v>50</v>
      </c>
      <c r="S31" s="47">
        <v>100</v>
      </c>
      <c r="T31" s="4"/>
    </row>
    <row r="32" spans="1:20" x14ac:dyDescent="0.25">
      <c r="A32" s="7">
        <v>29</v>
      </c>
      <c r="D32" s="16" t="s">
        <v>37</v>
      </c>
      <c r="E32" s="17"/>
      <c r="F32" s="17"/>
      <c r="G32" s="18"/>
      <c r="H32" s="12">
        <v>202</v>
      </c>
      <c r="I32" s="7" t="s">
        <v>2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4">
        <f t="shared" si="0"/>
        <v>202</v>
      </c>
      <c r="Q32" s="1" t="s">
        <v>14</v>
      </c>
      <c r="R32" s="44">
        <v>20</v>
      </c>
      <c r="S32" s="47">
        <v>50</v>
      </c>
      <c r="T32" s="4"/>
    </row>
    <row r="33" spans="1:20" x14ac:dyDescent="0.25">
      <c r="A33" s="7">
        <v>30</v>
      </c>
      <c r="D33" s="9" t="s">
        <v>38</v>
      </c>
      <c r="E33" s="10"/>
      <c r="F33" s="10"/>
      <c r="G33" s="11"/>
      <c r="H33" s="12">
        <v>29</v>
      </c>
      <c r="I33" s="7" t="s">
        <v>2</v>
      </c>
      <c r="J33" s="3">
        <v>0</v>
      </c>
      <c r="K33" s="3">
        <v>16</v>
      </c>
      <c r="L33" s="3">
        <v>0</v>
      </c>
      <c r="M33" s="3">
        <v>6</v>
      </c>
      <c r="N33" s="3">
        <v>0</v>
      </c>
      <c r="O33" s="3">
        <v>0</v>
      </c>
      <c r="P33" s="4">
        <f t="shared" si="0"/>
        <v>7</v>
      </c>
      <c r="Q33" s="1" t="s">
        <v>14</v>
      </c>
      <c r="R33" s="44">
        <v>50</v>
      </c>
      <c r="S33" s="47">
        <v>100</v>
      </c>
      <c r="T33" s="4"/>
    </row>
    <row r="34" spans="1:20" x14ac:dyDescent="0.25">
      <c r="A34" s="7">
        <v>31</v>
      </c>
      <c r="D34" s="16" t="s">
        <v>39</v>
      </c>
      <c r="E34" s="17"/>
      <c r="F34" s="17"/>
      <c r="G34" s="18"/>
      <c r="H34" s="12">
        <v>46</v>
      </c>
      <c r="I34" s="7" t="s">
        <v>2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4">
        <f t="shared" si="0"/>
        <v>46</v>
      </c>
      <c r="Q34" s="1" t="s">
        <v>14</v>
      </c>
      <c r="R34" s="44">
        <v>20</v>
      </c>
      <c r="S34" s="47">
        <v>50</v>
      </c>
      <c r="T34" s="4"/>
    </row>
    <row r="35" spans="1:20" x14ac:dyDescent="0.25">
      <c r="A35" s="7">
        <v>32</v>
      </c>
      <c r="D35" s="9" t="s">
        <v>40</v>
      </c>
      <c r="E35" s="10"/>
      <c r="F35" s="10"/>
      <c r="G35" s="11"/>
      <c r="H35" s="12">
        <f>'ARALIK 3 HAFTA '!P33</f>
        <v>1075</v>
      </c>
      <c r="I35" s="7" t="s">
        <v>2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4">
        <f t="shared" si="0"/>
        <v>1075</v>
      </c>
      <c r="Q35" s="1" t="s">
        <v>14</v>
      </c>
      <c r="R35" s="44">
        <v>0</v>
      </c>
      <c r="S35" s="46"/>
      <c r="T35" s="4"/>
    </row>
    <row r="36" spans="1:20" x14ac:dyDescent="0.25">
      <c r="A36" s="7">
        <v>33</v>
      </c>
      <c r="D36" s="9" t="s">
        <v>9</v>
      </c>
      <c r="E36" s="10"/>
      <c r="F36" s="10"/>
      <c r="G36" s="11"/>
      <c r="H36" s="83">
        <v>134</v>
      </c>
      <c r="I36" s="7" t="s">
        <v>132</v>
      </c>
      <c r="J36" s="3">
        <v>0</v>
      </c>
      <c r="K36" s="3">
        <v>54</v>
      </c>
      <c r="L36" s="3">
        <v>3</v>
      </c>
      <c r="M36" s="3">
        <v>0</v>
      </c>
      <c r="N36" s="3">
        <v>0</v>
      </c>
      <c r="O36" s="3">
        <v>20</v>
      </c>
      <c r="P36" s="4">
        <f t="shared" si="0"/>
        <v>57</v>
      </c>
      <c r="Q36" s="1" t="s">
        <v>14</v>
      </c>
      <c r="R36" s="44">
        <v>50</v>
      </c>
      <c r="S36" s="47">
        <v>100</v>
      </c>
      <c r="T36" s="4"/>
    </row>
    <row r="37" spans="1:20" x14ac:dyDescent="0.25">
      <c r="A37" s="7">
        <v>34</v>
      </c>
      <c r="D37" s="19" t="s">
        <v>166</v>
      </c>
      <c r="E37" s="20"/>
      <c r="F37" s="20"/>
      <c r="G37" s="21"/>
      <c r="H37" s="69">
        <v>108</v>
      </c>
      <c r="I37" s="7" t="s">
        <v>2</v>
      </c>
      <c r="J37" s="3">
        <v>0</v>
      </c>
      <c r="K37" s="3">
        <v>54</v>
      </c>
      <c r="L37" s="3">
        <v>3</v>
      </c>
      <c r="M37" s="3">
        <v>4</v>
      </c>
      <c r="N37" s="3">
        <v>0</v>
      </c>
      <c r="O37" s="3">
        <v>20</v>
      </c>
      <c r="P37" s="4">
        <f t="shared" si="0"/>
        <v>27</v>
      </c>
      <c r="Q37" s="1" t="s">
        <v>14</v>
      </c>
      <c r="R37" s="44">
        <v>0</v>
      </c>
      <c r="S37" s="46"/>
      <c r="T37" s="4"/>
    </row>
    <row r="38" spans="1:20" x14ac:dyDescent="0.25">
      <c r="A38" s="7">
        <v>35</v>
      </c>
      <c r="D38" s="16" t="s">
        <v>143</v>
      </c>
      <c r="E38" s="17"/>
      <c r="F38" s="17"/>
      <c r="G38" s="18"/>
      <c r="H38" s="12">
        <v>223</v>
      </c>
      <c r="I38" s="7" t="s">
        <v>2</v>
      </c>
      <c r="J38" s="3">
        <v>0</v>
      </c>
      <c r="K38" s="3">
        <v>54</v>
      </c>
      <c r="L38" s="3">
        <v>3</v>
      </c>
      <c r="M38" s="3">
        <v>4</v>
      </c>
      <c r="N38" s="3">
        <v>0</v>
      </c>
      <c r="O38" s="3">
        <v>20</v>
      </c>
      <c r="P38" s="4">
        <f t="shared" si="0"/>
        <v>142</v>
      </c>
      <c r="Q38" s="1" t="s">
        <v>14</v>
      </c>
      <c r="R38" s="44">
        <v>50</v>
      </c>
      <c r="S38" s="46">
        <v>100</v>
      </c>
      <c r="T38" s="4"/>
    </row>
    <row r="39" spans="1:20" x14ac:dyDescent="0.25">
      <c r="A39" s="7">
        <v>36</v>
      </c>
      <c r="D39" s="9" t="s">
        <v>144</v>
      </c>
      <c r="E39" s="10"/>
      <c r="F39" s="10"/>
      <c r="G39" s="11"/>
      <c r="H39" s="12">
        <v>124</v>
      </c>
      <c r="I39" s="7" t="s">
        <v>2</v>
      </c>
      <c r="J39" s="3">
        <v>0</v>
      </c>
      <c r="K39" s="3">
        <v>54</v>
      </c>
      <c r="L39" s="3">
        <v>3</v>
      </c>
      <c r="M39" s="3">
        <v>4</v>
      </c>
      <c r="N39" s="3">
        <v>0</v>
      </c>
      <c r="O39" s="3">
        <v>20</v>
      </c>
      <c r="P39" s="4">
        <f t="shared" si="0"/>
        <v>43</v>
      </c>
      <c r="Q39" s="1" t="s">
        <v>14</v>
      </c>
      <c r="R39" s="44">
        <v>50</v>
      </c>
      <c r="S39" s="47">
        <v>100</v>
      </c>
      <c r="T39" s="4"/>
    </row>
    <row r="40" spans="1:20" x14ac:dyDescent="0.25">
      <c r="A40" s="7">
        <v>37</v>
      </c>
      <c r="D40" s="16" t="s">
        <v>42</v>
      </c>
      <c r="E40" s="17"/>
      <c r="F40" s="17"/>
      <c r="G40" s="18"/>
      <c r="H40" s="12">
        <v>161</v>
      </c>
      <c r="I40" s="7" t="s">
        <v>2</v>
      </c>
      <c r="J40" s="3">
        <v>0</v>
      </c>
      <c r="K40" s="3">
        <v>54</v>
      </c>
      <c r="L40" s="3">
        <v>3</v>
      </c>
      <c r="M40" s="3">
        <v>4</v>
      </c>
      <c r="N40" s="3">
        <v>0</v>
      </c>
      <c r="O40" s="3">
        <v>20</v>
      </c>
      <c r="P40" s="4">
        <f t="shared" si="0"/>
        <v>80</v>
      </c>
      <c r="Q40" s="1" t="s">
        <v>14</v>
      </c>
      <c r="R40" s="44">
        <v>50</v>
      </c>
      <c r="S40" s="47">
        <v>100</v>
      </c>
      <c r="T40" s="4"/>
    </row>
    <row r="41" spans="1:20" x14ac:dyDescent="0.25">
      <c r="A41" s="7">
        <v>38</v>
      </c>
      <c r="D41" s="9" t="s">
        <v>133</v>
      </c>
      <c r="E41" s="10"/>
      <c r="F41" s="10"/>
      <c r="G41" s="11"/>
      <c r="H41" s="12">
        <v>0</v>
      </c>
      <c r="I41" s="7" t="s">
        <v>2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4">
        <f t="shared" si="0"/>
        <v>0</v>
      </c>
      <c r="Q41" s="1" t="s">
        <v>14</v>
      </c>
      <c r="R41" s="44">
        <v>20</v>
      </c>
      <c r="S41" s="47">
        <v>50</v>
      </c>
      <c r="T41" s="4"/>
    </row>
    <row r="42" spans="1:20" x14ac:dyDescent="0.25">
      <c r="A42" s="7">
        <v>39</v>
      </c>
      <c r="D42" s="16" t="s">
        <v>145</v>
      </c>
      <c r="E42" s="17"/>
      <c r="F42" s="17"/>
      <c r="G42" s="18"/>
      <c r="H42" s="12">
        <v>7</v>
      </c>
      <c r="I42" s="7" t="s">
        <v>2</v>
      </c>
      <c r="J42" s="3">
        <v>0</v>
      </c>
      <c r="K42" s="3">
        <v>2</v>
      </c>
      <c r="L42" s="3">
        <v>0</v>
      </c>
      <c r="M42" s="3">
        <v>2</v>
      </c>
      <c r="N42" s="3">
        <v>0</v>
      </c>
      <c r="O42" s="3">
        <v>0</v>
      </c>
      <c r="P42" s="4">
        <f t="shared" si="0"/>
        <v>3</v>
      </c>
      <c r="Q42" s="1" t="s">
        <v>14</v>
      </c>
      <c r="R42" s="44">
        <v>20</v>
      </c>
      <c r="S42" s="46">
        <v>50</v>
      </c>
      <c r="T42" s="4"/>
    </row>
    <row r="43" spans="1:20" x14ac:dyDescent="0.25">
      <c r="A43" s="7">
        <v>40</v>
      </c>
      <c r="D43" s="9" t="s">
        <v>71</v>
      </c>
      <c r="E43" s="10"/>
      <c r="F43" s="10"/>
      <c r="G43" s="11"/>
      <c r="H43" s="12">
        <v>0</v>
      </c>
      <c r="I43" s="7" t="s">
        <v>2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4">
        <f t="shared" si="0"/>
        <v>0</v>
      </c>
      <c r="Q43" s="1" t="s">
        <v>14</v>
      </c>
      <c r="R43" s="44">
        <v>5</v>
      </c>
      <c r="S43" s="47">
        <v>10</v>
      </c>
      <c r="T43" s="4"/>
    </row>
    <row r="44" spans="1:20" x14ac:dyDescent="0.25">
      <c r="A44" s="7">
        <v>41</v>
      </c>
      <c r="D44" s="16" t="s">
        <v>10</v>
      </c>
      <c r="E44" s="17"/>
      <c r="F44" s="17"/>
      <c r="G44" s="18"/>
      <c r="H44" s="12">
        <v>297</v>
      </c>
      <c r="I44" s="7" t="s">
        <v>2</v>
      </c>
      <c r="J44" s="3">
        <v>0</v>
      </c>
      <c r="K44" s="3">
        <v>0</v>
      </c>
      <c r="L44" s="3">
        <v>76</v>
      </c>
      <c r="M44" s="3">
        <v>0</v>
      </c>
      <c r="N44" s="3">
        <v>0</v>
      </c>
      <c r="O44" s="3">
        <v>0</v>
      </c>
      <c r="P44" s="4">
        <f t="shared" si="0"/>
        <v>221</v>
      </c>
      <c r="Q44" s="1" t="s">
        <v>14</v>
      </c>
      <c r="R44" s="44">
        <v>40</v>
      </c>
      <c r="S44" s="47">
        <v>100</v>
      </c>
      <c r="T44" s="4"/>
    </row>
    <row r="45" spans="1:20" x14ac:dyDescent="0.25">
      <c r="A45" s="7">
        <v>42</v>
      </c>
      <c r="D45" s="9" t="s">
        <v>45</v>
      </c>
      <c r="E45" s="10"/>
      <c r="F45" s="10"/>
      <c r="G45" s="11"/>
      <c r="H45" s="12">
        <v>133</v>
      </c>
      <c r="I45" s="7" t="s">
        <v>2</v>
      </c>
      <c r="J45" s="3">
        <v>0</v>
      </c>
      <c r="K45" s="3">
        <v>0</v>
      </c>
      <c r="L45" s="3">
        <v>38</v>
      </c>
      <c r="M45" s="3">
        <v>0</v>
      </c>
      <c r="N45" s="3">
        <v>0</v>
      </c>
      <c r="O45" s="3">
        <v>0</v>
      </c>
      <c r="P45" s="4">
        <f t="shared" si="0"/>
        <v>95</v>
      </c>
      <c r="Q45" s="1" t="s">
        <v>14</v>
      </c>
      <c r="R45" s="44">
        <v>20</v>
      </c>
      <c r="S45" s="47">
        <v>50</v>
      </c>
      <c r="T45" s="4"/>
    </row>
    <row r="46" spans="1:20" x14ac:dyDescent="0.25">
      <c r="A46" s="7">
        <v>43</v>
      </c>
      <c r="D46" s="16" t="s">
        <v>46</v>
      </c>
      <c r="E46" s="17"/>
      <c r="F46" s="17"/>
      <c r="G46" s="18"/>
      <c r="H46" s="12">
        <v>119</v>
      </c>
      <c r="I46" s="7" t="s">
        <v>2</v>
      </c>
      <c r="J46" s="3">
        <v>0</v>
      </c>
      <c r="K46" s="3">
        <v>0</v>
      </c>
      <c r="L46" s="3">
        <v>38</v>
      </c>
      <c r="M46" s="3">
        <v>0</v>
      </c>
      <c r="N46" s="3">
        <v>0</v>
      </c>
      <c r="O46" s="3">
        <v>0</v>
      </c>
      <c r="P46" s="4">
        <f t="shared" si="0"/>
        <v>81</v>
      </c>
      <c r="Q46" s="1" t="s">
        <v>14</v>
      </c>
      <c r="R46" s="44">
        <v>20</v>
      </c>
      <c r="S46" s="47">
        <v>50</v>
      </c>
      <c r="T46" s="4"/>
    </row>
    <row r="47" spans="1:20" x14ac:dyDescent="0.25">
      <c r="A47" s="7">
        <v>44</v>
      </c>
      <c r="D47" s="9" t="s">
        <v>47</v>
      </c>
      <c r="E47" s="10"/>
      <c r="F47" s="10"/>
      <c r="G47" s="11"/>
      <c r="H47" s="12">
        <v>75</v>
      </c>
      <c r="I47" s="7" t="s">
        <v>2</v>
      </c>
      <c r="J47" s="3">
        <v>0</v>
      </c>
      <c r="K47" s="3">
        <v>0</v>
      </c>
      <c r="L47" s="3">
        <v>38</v>
      </c>
      <c r="M47" s="3">
        <v>0</v>
      </c>
      <c r="N47" s="3">
        <v>0</v>
      </c>
      <c r="O47" s="3">
        <v>0</v>
      </c>
      <c r="P47" s="4">
        <f t="shared" si="0"/>
        <v>37</v>
      </c>
      <c r="Q47" s="1" t="s">
        <v>14</v>
      </c>
      <c r="R47" s="44">
        <v>20</v>
      </c>
      <c r="S47" s="47">
        <v>50</v>
      </c>
      <c r="T47" s="4"/>
    </row>
    <row r="48" spans="1:20" x14ac:dyDescent="0.25">
      <c r="A48" s="7">
        <v>45</v>
      </c>
      <c r="D48" s="16" t="s">
        <v>79</v>
      </c>
      <c r="E48" s="17"/>
      <c r="F48" s="17"/>
      <c r="G48" s="18"/>
      <c r="H48" s="12">
        <v>7</v>
      </c>
      <c r="I48" s="7" t="s">
        <v>2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4">
        <f t="shared" si="0"/>
        <v>7</v>
      </c>
      <c r="Q48" s="1" t="s">
        <v>14</v>
      </c>
      <c r="R48" s="44">
        <v>10</v>
      </c>
      <c r="S48" s="47">
        <v>20</v>
      </c>
      <c r="T48" s="4"/>
    </row>
    <row r="49" spans="1:20" x14ac:dyDescent="0.25">
      <c r="A49" s="7">
        <v>46</v>
      </c>
      <c r="D49" s="9" t="s">
        <v>48</v>
      </c>
      <c r="E49" s="10"/>
      <c r="F49" s="10"/>
      <c r="G49" s="11"/>
      <c r="H49" s="12">
        <v>74</v>
      </c>
      <c r="I49" s="7" t="s">
        <v>2</v>
      </c>
      <c r="J49" s="3">
        <v>0</v>
      </c>
      <c r="K49" s="3">
        <v>2</v>
      </c>
      <c r="L49" s="3">
        <v>0</v>
      </c>
      <c r="M49" s="3">
        <v>0</v>
      </c>
      <c r="N49" s="3">
        <v>0</v>
      </c>
      <c r="O49" s="3">
        <v>0</v>
      </c>
      <c r="P49" s="4">
        <f t="shared" si="0"/>
        <v>72</v>
      </c>
      <c r="Q49" s="1" t="s">
        <v>14</v>
      </c>
      <c r="R49" s="44">
        <v>10</v>
      </c>
      <c r="S49" s="47">
        <v>20</v>
      </c>
      <c r="T49" s="4" t="s">
        <v>14</v>
      </c>
    </row>
    <row r="50" spans="1:20" x14ac:dyDescent="0.25">
      <c r="A50" s="7">
        <v>47</v>
      </c>
      <c r="D50" s="16" t="s">
        <v>49</v>
      </c>
      <c r="E50" s="17"/>
      <c r="F50" s="17"/>
      <c r="G50" s="18"/>
      <c r="H50" s="12">
        <v>110</v>
      </c>
      <c r="I50" s="7" t="s">
        <v>2</v>
      </c>
      <c r="J50" s="3">
        <v>0</v>
      </c>
      <c r="K50" s="3">
        <v>2</v>
      </c>
      <c r="L50" s="3">
        <v>0</v>
      </c>
      <c r="M50" s="3">
        <v>0</v>
      </c>
      <c r="N50" s="3">
        <v>0</v>
      </c>
      <c r="O50" s="3">
        <v>0</v>
      </c>
      <c r="P50" s="4">
        <f t="shared" si="0"/>
        <v>108</v>
      </c>
      <c r="Q50" s="1" t="s">
        <v>14</v>
      </c>
      <c r="R50" s="44">
        <v>10</v>
      </c>
      <c r="S50" s="47">
        <v>20</v>
      </c>
      <c r="T50" s="4"/>
    </row>
    <row r="51" spans="1:20" x14ac:dyDescent="0.25">
      <c r="A51" s="7">
        <v>48</v>
      </c>
      <c r="D51" s="9" t="s">
        <v>169</v>
      </c>
      <c r="E51" s="10"/>
      <c r="F51" s="10"/>
      <c r="G51" s="11"/>
      <c r="H51" s="12">
        <v>70</v>
      </c>
      <c r="I51" s="7" t="s">
        <v>1</v>
      </c>
      <c r="J51" s="3">
        <v>0</v>
      </c>
      <c r="K51" s="3">
        <v>25</v>
      </c>
      <c r="L51" s="3">
        <v>0</v>
      </c>
      <c r="M51" s="3">
        <v>0</v>
      </c>
      <c r="N51" s="3">
        <v>0</v>
      </c>
      <c r="O51" s="3">
        <v>0</v>
      </c>
      <c r="P51" s="4">
        <f t="shared" si="0"/>
        <v>45</v>
      </c>
      <c r="Q51" s="1" t="s">
        <v>14</v>
      </c>
      <c r="R51" s="44">
        <v>20</v>
      </c>
      <c r="S51" s="47">
        <v>100</v>
      </c>
      <c r="T51" s="4"/>
    </row>
    <row r="52" spans="1:20" x14ac:dyDescent="0.25">
      <c r="A52" s="7">
        <v>49</v>
      </c>
      <c r="D52" s="88"/>
      <c r="E52" s="89"/>
      <c r="F52" s="90" t="s">
        <v>111</v>
      </c>
      <c r="G52" s="87"/>
      <c r="H52" s="12">
        <v>38</v>
      </c>
      <c r="I52" s="7" t="s">
        <v>2</v>
      </c>
      <c r="J52" s="3">
        <v>0</v>
      </c>
      <c r="K52" s="3">
        <v>21</v>
      </c>
      <c r="L52" s="3">
        <v>0</v>
      </c>
      <c r="M52" s="3">
        <v>1</v>
      </c>
      <c r="N52" s="3">
        <v>0</v>
      </c>
      <c r="O52" s="3">
        <v>0</v>
      </c>
      <c r="P52" s="4">
        <f t="shared" si="0"/>
        <v>16</v>
      </c>
      <c r="Q52" s="1" t="s">
        <v>14</v>
      </c>
      <c r="R52" s="44">
        <v>30</v>
      </c>
      <c r="S52" s="47">
        <v>100</v>
      </c>
      <c r="T52" s="4"/>
    </row>
    <row r="53" spans="1:20" x14ac:dyDescent="0.25">
      <c r="A53" s="7">
        <v>50</v>
      </c>
      <c r="D53" s="9" t="s">
        <v>51</v>
      </c>
      <c r="E53" s="10"/>
      <c r="F53" s="10"/>
      <c r="G53" s="11"/>
      <c r="H53" s="12">
        <v>86</v>
      </c>
      <c r="I53" s="7" t="s">
        <v>2</v>
      </c>
      <c r="J53" s="3">
        <v>0</v>
      </c>
      <c r="K53" s="3">
        <v>15</v>
      </c>
      <c r="L53" s="3">
        <v>0</v>
      </c>
      <c r="M53" s="3">
        <v>0</v>
      </c>
      <c r="N53" s="3">
        <v>0</v>
      </c>
      <c r="O53" s="3">
        <v>0</v>
      </c>
      <c r="P53" s="4">
        <f t="shared" si="0"/>
        <v>71</v>
      </c>
      <c r="Q53" s="1" t="s">
        <v>14</v>
      </c>
      <c r="R53" s="44">
        <v>20</v>
      </c>
      <c r="S53" s="47">
        <v>50</v>
      </c>
      <c r="T53" s="4"/>
    </row>
    <row r="54" spans="1:20" x14ac:dyDescent="0.25">
      <c r="A54" s="7">
        <v>51</v>
      </c>
      <c r="D54" s="16" t="s">
        <v>52</v>
      </c>
      <c r="E54" s="17"/>
      <c r="F54" s="17"/>
      <c r="G54" s="18"/>
      <c r="H54" s="12">
        <v>76</v>
      </c>
      <c r="I54" s="7" t="s">
        <v>2</v>
      </c>
      <c r="J54" s="3">
        <v>0</v>
      </c>
      <c r="K54" s="3">
        <v>15</v>
      </c>
      <c r="L54" s="3">
        <v>0</v>
      </c>
      <c r="M54" s="3">
        <v>0</v>
      </c>
      <c r="N54" s="3">
        <v>0</v>
      </c>
      <c r="O54" s="3">
        <v>0</v>
      </c>
      <c r="P54" s="4">
        <f t="shared" si="0"/>
        <v>61</v>
      </c>
      <c r="Q54" s="1" t="s">
        <v>14</v>
      </c>
      <c r="R54" s="44">
        <v>20</v>
      </c>
      <c r="S54" s="47">
        <v>50</v>
      </c>
      <c r="T54" s="4" t="s">
        <v>14</v>
      </c>
    </row>
    <row r="55" spans="1:20" x14ac:dyDescent="0.25">
      <c r="A55" s="7">
        <v>52</v>
      </c>
      <c r="D55" s="9" t="s">
        <v>53</v>
      </c>
      <c r="E55" s="10"/>
      <c r="F55" s="10"/>
      <c r="G55" s="11"/>
      <c r="H55" s="12">
        <v>164</v>
      </c>
      <c r="I55" s="7" t="s">
        <v>2</v>
      </c>
      <c r="J55" s="3">
        <v>0</v>
      </c>
      <c r="K55" s="3">
        <v>15</v>
      </c>
      <c r="L55" s="3">
        <v>0</v>
      </c>
      <c r="M55" s="3">
        <v>0</v>
      </c>
      <c r="N55" s="3">
        <v>0</v>
      </c>
      <c r="O55" s="3">
        <v>0</v>
      </c>
      <c r="P55" s="4">
        <f t="shared" si="0"/>
        <v>149</v>
      </c>
      <c r="Q55" s="1" t="s">
        <v>14</v>
      </c>
      <c r="R55" s="44">
        <v>20</v>
      </c>
      <c r="S55" s="47">
        <v>50</v>
      </c>
      <c r="T55" s="4"/>
    </row>
    <row r="56" spans="1:20" x14ac:dyDescent="0.25">
      <c r="A56" s="7">
        <v>53</v>
      </c>
      <c r="D56" s="70" t="s">
        <v>54</v>
      </c>
      <c r="E56" s="71"/>
      <c r="F56" s="71"/>
      <c r="G56" s="72"/>
      <c r="H56" s="12">
        <v>450</v>
      </c>
      <c r="I56" s="7" t="s">
        <v>1</v>
      </c>
      <c r="J56" s="3">
        <v>720</v>
      </c>
      <c r="K56" s="3">
        <v>120</v>
      </c>
      <c r="L56" s="3">
        <v>120</v>
      </c>
      <c r="M56" s="3">
        <v>90</v>
      </c>
      <c r="N56" s="3">
        <v>135</v>
      </c>
      <c r="O56" s="3">
        <v>0</v>
      </c>
      <c r="P56" s="4">
        <f t="shared" si="0"/>
        <v>705</v>
      </c>
      <c r="Q56" s="1" t="s">
        <v>120</v>
      </c>
      <c r="R56" s="44">
        <v>250</v>
      </c>
      <c r="S56" s="47">
        <v>750</v>
      </c>
      <c r="T56" s="4"/>
    </row>
    <row r="57" spans="1:20" x14ac:dyDescent="0.25">
      <c r="A57" s="7">
        <v>54</v>
      </c>
      <c r="D57" s="16" t="s">
        <v>61</v>
      </c>
      <c r="E57" s="17"/>
      <c r="F57" s="17"/>
      <c r="G57" s="18"/>
      <c r="H57" s="12">
        <v>246</v>
      </c>
      <c r="I57" s="7" t="s">
        <v>2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  <c r="P57" s="4">
        <f t="shared" si="0"/>
        <v>246</v>
      </c>
      <c r="Q57" s="1" t="s">
        <v>14</v>
      </c>
      <c r="R57" s="44">
        <v>0</v>
      </c>
      <c r="S57" s="46"/>
      <c r="T57" s="4"/>
    </row>
    <row r="58" spans="1:20" x14ac:dyDescent="0.25">
      <c r="A58" s="7">
        <v>55</v>
      </c>
      <c r="D58" s="9" t="s">
        <v>62</v>
      </c>
      <c r="E58" s="10"/>
      <c r="F58" s="10"/>
      <c r="G58" s="11"/>
      <c r="H58" s="12">
        <v>-30</v>
      </c>
      <c r="I58" s="7" t="s">
        <v>2</v>
      </c>
      <c r="J58" s="3">
        <v>600</v>
      </c>
      <c r="K58" s="3">
        <v>0</v>
      </c>
      <c r="L58" s="3">
        <v>35</v>
      </c>
      <c r="M58" s="3">
        <v>272</v>
      </c>
      <c r="N58" s="3">
        <v>0</v>
      </c>
      <c r="O58" s="3">
        <v>46</v>
      </c>
      <c r="P58" s="4">
        <f t="shared" si="0"/>
        <v>217</v>
      </c>
      <c r="Q58" s="1" t="s">
        <v>14</v>
      </c>
      <c r="R58" s="44">
        <v>200</v>
      </c>
      <c r="S58" s="47">
        <v>1000</v>
      </c>
      <c r="T58" s="4"/>
    </row>
    <row r="59" spans="1:20" x14ac:dyDescent="0.25">
      <c r="A59" s="7">
        <v>56</v>
      </c>
      <c r="D59" s="16" t="s">
        <v>13</v>
      </c>
      <c r="E59" s="17"/>
      <c r="F59" s="17"/>
      <c r="G59" s="18"/>
      <c r="H59" s="12">
        <v>99</v>
      </c>
      <c r="I59" s="7" t="s">
        <v>2</v>
      </c>
      <c r="J59" s="3">
        <v>300</v>
      </c>
      <c r="K59" s="3">
        <v>0</v>
      </c>
      <c r="L59" s="3">
        <v>13</v>
      </c>
      <c r="M59" s="3">
        <v>270</v>
      </c>
      <c r="N59" s="3">
        <v>0</v>
      </c>
      <c r="O59" s="3">
        <v>0</v>
      </c>
      <c r="P59" s="4">
        <f t="shared" si="0"/>
        <v>116</v>
      </c>
      <c r="Q59" s="1" t="s">
        <v>14</v>
      </c>
      <c r="R59" s="44">
        <v>100</v>
      </c>
      <c r="S59" s="47">
        <v>300</v>
      </c>
      <c r="T59" s="4"/>
    </row>
    <row r="60" spans="1:20" x14ac:dyDescent="0.25">
      <c r="A60" s="7">
        <v>57</v>
      </c>
      <c r="D60" s="9" t="s">
        <v>72</v>
      </c>
      <c r="E60" s="10"/>
      <c r="F60" s="10"/>
      <c r="G60" s="11"/>
      <c r="H60" s="12">
        <v>150</v>
      </c>
      <c r="I60" s="7" t="s">
        <v>2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4">
        <f t="shared" si="0"/>
        <v>150</v>
      </c>
      <c r="Q60" s="1" t="s">
        <v>14</v>
      </c>
      <c r="R60" s="44">
        <v>100</v>
      </c>
      <c r="S60" s="47">
        <v>300</v>
      </c>
      <c r="T60" s="4"/>
    </row>
    <row r="61" spans="1:20" x14ac:dyDescent="0.25">
      <c r="A61" s="7">
        <v>58</v>
      </c>
      <c r="D61" s="16" t="s">
        <v>63</v>
      </c>
      <c r="E61" s="17"/>
      <c r="F61" s="17"/>
      <c r="G61" s="18"/>
      <c r="H61" s="12">
        <v>216</v>
      </c>
      <c r="I61" s="7" t="s">
        <v>2</v>
      </c>
      <c r="J61" s="3">
        <v>0</v>
      </c>
      <c r="K61" s="3">
        <v>7</v>
      </c>
      <c r="L61" s="3">
        <v>0</v>
      </c>
      <c r="M61" s="3">
        <v>0</v>
      </c>
      <c r="N61" s="3">
        <v>0</v>
      </c>
      <c r="O61" s="3">
        <v>4</v>
      </c>
      <c r="P61" s="4">
        <f t="shared" si="0"/>
        <v>205</v>
      </c>
      <c r="Q61" s="1" t="s">
        <v>14</v>
      </c>
      <c r="R61" s="44">
        <v>100</v>
      </c>
      <c r="S61" s="47">
        <v>300</v>
      </c>
      <c r="T61" s="4"/>
    </row>
    <row r="62" spans="1:20" x14ac:dyDescent="0.25">
      <c r="A62" s="7">
        <v>59</v>
      </c>
      <c r="D62" s="9" t="s">
        <v>77</v>
      </c>
      <c r="E62" s="10"/>
      <c r="F62" s="10"/>
      <c r="G62" s="11"/>
      <c r="H62" s="12">
        <v>510</v>
      </c>
      <c r="I62" s="7" t="s">
        <v>2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4">
        <f t="shared" si="0"/>
        <v>510</v>
      </c>
      <c r="Q62" s="1" t="s">
        <v>14</v>
      </c>
      <c r="R62" s="44">
        <v>100</v>
      </c>
      <c r="S62" s="47">
        <v>300</v>
      </c>
      <c r="T62" s="4"/>
    </row>
    <row r="63" spans="1:20" x14ac:dyDescent="0.25">
      <c r="A63" s="7">
        <v>60</v>
      </c>
      <c r="D63" s="16" t="s">
        <v>130</v>
      </c>
      <c r="E63" s="17"/>
      <c r="F63" s="17"/>
      <c r="G63" s="18"/>
      <c r="H63" s="12">
        <v>113</v>
      </c>
      <c r="I63" s="7" t="s">
        <v>2</v>
      </c>
      <c r="J63" s="3">
        <v>0</v>
      </c>
      <c r="K63" s="3">
        <v>3</v>
      </c>
      <c r="L63" s="3">
        <v>42</v>
      </c>
      <c r="M63" s="3">
        <v>9</v>
      </c>
      <c r="N63" s="3">
        <v>0</v>
      </c>
      <c r="O63" s="3">
        <v>0</v>
      </c>
      <c r="P63" s="4">
        <f t="shared" si="0"/>
        <v>59</v>
      </c>
      <c r="Q63" s="1" t="s">
        <v>14</v>
      </c>
      <c r="R63" s="44">
        <v>0</v>
      </c>
      <c r="S63" s="46"/>
      <c r="T63" s="4"/>
    </row>
    <row r="64" spans="1:20" x14ac:dyDescent="0.25">
      <c r="A64" s="7">
        <v>61</v>
      </c>
      <c r="D64" s="26" t="s">
        <v>146</v>
      </c>
      <c r="E64" s="27"/>
      <c r="F64" s="27"/>
      <c r="G64" s="28"/>
      <c r="H64" s="12">
        <v>10</v>
      </c>
      <c r="I64" s="30" t="s">
        <v>2</v>
      </c>
      <c r="J64" s="3">
        <v>0</v>
      </c>
      <c r="K64" s="3">
        <v>3</v>
      </c>
      <c r="L64" s="3">
        <v>5</v>
      </c>
      <c r="M64" s="3">
        <v>0</v>
      </c>
      <c r="N64" s="3">
        <v>0</v>
      </c>
      <c r="O64" s="3">
        <v>0</v>
      </c>
      <c r="P64" s="4">
        <f t="shared" si="0"/>
        <v>2</v>
      </c>
      <c r="Q64" s="1" t="s">
        <v>14</v>
      </c>
      <c r="R64" s="44">
        <v>50</v>
      </c>
      <c r="S64" s="47">
        <v>100</v>
      </c>
      <c r="T64" s="4"/>
    </row>
    <row r="65" spans="1:20" x14ac:dyDescent="0.25">
      <c r="A65" s="7">
        <v>62</v>
      </c>
      <c r="D65" s="16" t="s">
        <v>65</v>
      </c>
      <c r="E65" s="17"/>
      <c r="F65" s="17"/>
      <c r="G65" s="18"/>
      <c r="H65" s="12">
        <v>59</v>
      </c>
      <c r="I65" s="7" t="s">
        <v>2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4">
        <f t="shared" si="0"/>
        <v>59</v>
      </c>
      <c r="Q65" s="1" t="s">
        <v>14</v>
      </c>
      <c r="R65" s="44">
        <v>0</v>
      </c>
      <c r="S65" s="46"/>
      <c r="T65" s="4"/>
    </row>
    <row r="66" spans="1:20" x14ac:dyDescent="0.25">
      <c r="A66" s="7">
        <v>63</v>
      </c>
      <c r="D66" s="9" t="s">
        <v>66</v>
      </c>
      <c r="E66" s="10"/>
      <c r="F66" s="10"/>
      <c r="G66" s="11"/>
      <c r="H66" s="12">
        <v>50</v>
      </c>
      <c r="I66" s="7" t="s">
        <v>2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  <c r="P66" s="4">
        <f t="shared" si="0"/>
        <v>50</v>
      </c>
      <c r="Q66" s="1" t="s">
        <v>14</v>
      </c>
      <c r="R66" s="44">
        <v>300</v>
      </c>
      <c r="S66" s="47">
        <v>1000</v>
      </c>
      <c r="T66" s="4"/>
    </row>
    <row r="67" spans="1:20" x14ac:dyDescent="0.25">
      <c r="A67" s="7">
        <v>64</v>
      </c>
      <c r="D67" s="19" t="s">
        <v>165</v>
      </c>
      <c r="E67" s="20"/>
      <c r="F67" s="20"/>
      <c r="G67" s="21"/>
      <c r="H67" s="12">
        <v>100</v>
      </c>
      <c r="I67" s="7" t="s">
        <v>2</v>
      </c>
      <c r="J67" s="3">
        <v>0</v>
      </c>
      <c r="K67" s="3">
        <v>0</v>
      </c>
      <c r="L67" s="3">
        <v>42</v>
      </c>
      <c r="M67" s="3">
        <v>0</v>
      </c>
      <c r="N67" s="3">
        <v>0</v>
      </c>
      <c r="O67" s="3">
        <v>0</v>
      </c>
      <c r="P67" s="4">
        <f t="shared" si="0"/>
        <v>58</v>
      </c>
      <c r="Q67" s="1" t="s">
        <v>14</v>
      </c>
      <c r="R67" s="44">
        <v>50</v>
      </c>
      <c r="S67" s="47">
        <v>150</v>
      </c>
      <c r="T67" s="4"/>
    </row>
    <row r="68" spans="1:20" x14ac:dyDescent="0.25">
      <c r="A68" s="7">
        <v>65</v>
      </c>
      <c r="D68" s="22" t="s">
        <v>74</v>
      </c>
      <c r="E68" s="10"/>
      <c r="F68" s="10"/>
      <c r="G68" s="11"/>
      <c r="H68" s="12">
        <v>250</v>
      </c>
      <c r="I68" s="8" t="s">
        <v>75</v>
      </c>
      <c r="J68" s="3">
        <v>0</v>
      </c>
      <c r="K68" s="3">
        <v>50</v>
      </c>
      <c r="L68" s="3">
        <v>0</v>
      </c>
      <c r="M68" s="3">
        <v>0</v>
      </c>
      <c r="N68" s="3">
        <v>0</v>
      </c>
      <c r="O68" s="3">
        <v>0</v>
      </c>
      <c r="P68" s="4">
        <f t="shared" ref="P68:P89" si="1">+H68+J68-K68-L68-M68-N68-O68</f>
        <v>200</v>
      </c>
      <c r="Q68" s="1" t="s">
        <v>91</v>
      </c>
      <c r="R68" s="44">
        <v>65</v>
      </c>
      <c r="S68" s="47">
        <v>150</v>
      </c>
      <c r="T68" s="4"/>
    </row>
    <row r="69" spans="1:20" x14ac:dyDescent="0.25">
      <c r="A69" s="7">
        <v>66</v>
      </c>
      <c r="C69" s="1" t="s">
        <v>14</v>
      </c>
      <c r="D69" s="22" t="s">
        <v>76</v>
      </c>
      <c r="E69" s="10"/>
      <c r="F69" s="10"/>
      <c r="G69" s="11"/>
      <c r="H69" s="12">
        <v>240</v>
      </c>
      <c r="I69" s="8" t="s">
        <v>2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4">
        <f t="shared" si="1"/>
        <v>240</v>
      </c>
      <c r="Q69" s="1" t="s">
        <v>14</v>
      </c>
      <c r="R69" s="44">
        <v>50</v>
      </c>
      <c r="S69" s="47">
        <v>100</v>
      </c>
      <c r="T69" s="4"/>
    </row>
    <row r="70" spans="1:20" x14ac:dyDescent="0.25">
      <c r="A70" s="7">
        <v>67</v>
      </c>
      <c r="D70" s="25" t="s">
        <v>147</v>
      </c>
      <c r="H70" s="12">
        <v>200</v>
      </c>
      <c r="I70" s="30" t="s">
        <v>2</v>
      </c>
      <c r="J70" s="3">
        <v>0</v>
      </c>
      <c r="K70" s="3">
        <v>19</v>
      </c>
      <c r="L70" s="3">
        <v>5</v>
      </c>
      <c r="M70" s="3">
        <v>6</v>
      </c>
      <c r="N70" s="3">
        <v>0</v>
      </c>
      <c r="O70" s="3">
        <v>4</v>
      </c>
      <c r="P70" s="4">
        <f t="shared" si="1"/>
        <v>166</v>
      </c>
      <c r="Q70" s="1" t="s">
        <v>14</v>
      </c>
      <c r="R70" s="44">
        <v>50</v>
      </c>
      <c r="S70" s="47">
        <v>100</v>
      </c>
      <c r="T70" s="4"/>
    </row>
    <row r="71" spans="1:20" x14ac:dyDescent="0.25">
      <c r="A71" s="7">
        <v>68</v>
      </c>
      <c r="D71" s="26" t="s">
        <v>80</v>
      </c>
      <c r="E71" s="27"/>
      <c r="F71" s="27"/>
      <c r="G71" s="28"/>
      <c r="H71" s="12">
        <v>32</v>
      </c>
      <c r="I71" s="8" t="s">
        <v>2</v>
      </c>
      <c r="J71" s="3">
        <v>0</v>
      </c>
      <c r="K71" s="3">
        <v>4</v>
      </c>
      <c r="L71" s="3">
        <v>5</v>
      </c>
      <c r="M71" s="3">
        <v>6</v>
      </c>
      <c r="N71" s="3">
        <v>0</v>
      </c>
      <c r="O71" s="3">
        <v>1</v>
      </c>
      <c r="P71" s="4">
        <f t="shared" si="1"/>
        <v>16</v>
      </c>
      <c r="Q71" s="1" t="s">
        <v>14</v>
      </c>
      <c r="R71" s="44">
        <v>0</v>
      </c>
      <c r="S71" s="46"/>
      <c r="T71" s="4"/>
    </row>
    <row r="72" spans="1:20" x14ac:dyDescent="0.25">
      <c r="A72" s="7">
        <v>69</v>
      </c>
      <c r="D72" s="26" t="s">
        <v>84</v>
      </c>
      <c r="E72" s="27"/>
      <c r="F72" s="27"/>
      <c r="G72" s="28"/>
      <c r="H72" s="12">
        <v>450</v>
      </c>
      <c r="I72" s="8" t="s">
        <v>2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  <c r="P72" s="4">
        <f t="shared" si="1"/>
        <v>450</v>
      </c>
      <c r="Q72" s="1" t="s">
        <v>14</v>
      </c>
      <c r="R72" s="44">
        <v>100</v>
      </c>
      <c r="S72" s="47">
        <v>200</v>
      </c>
      <c r="T72" s="4"/>
    </row>
    <row r="73" spans="1:20" x14ac:dyDescent="0.25">
      <c r="A73" s="7">
        <v>70</v>
      </c>
      <c r="D73" s="26" t="s">
        <v>167</v>
      </c>
      <c r="E73" s="27"/>
      <c r="F73" s="27"/>
      <c r="G73" s="28"/>
      <c r="H73" s="12">
        <v>90</v>
      </c>
      <c r="I73" s="8" t="s">
        <v>2</v>
      </c>
      <c r="J73" s="3">
        <v>0</v>
      </c>
      <c r="K73" s="3">
        <v>4</v>
      </c>
      <c r="L73" s="3">
        <v>5</v>
      </c>
      <c r="M73" s="3">
        <v>6</v>
      </c>
      <c r="N73" s="3">
        <v>0</v>
      </c>
      <c r="O73" s="3">
        <v>1</v>
      </c>
      <c r="P73" s="4">
        <f t="shared" si="1"/>
        <v>74</v>
      </c>
      <c r="R73" s="44">
        <v>0</v>
      </c>
      <c r="S73" s="46"/>
      <c r="T73" s="4"/>
    </row>
    <row r="74" spans="1:20" x14ac:dyDescent="0.25">
      <c r="A74" s="7">
        <v>71</v>
      </c>
      <c r="D74" s="37" t="s">
        <v>99</v>
      </c>
      <c r="E74" s="17"/>
      <c r="F74" s="33"/>
      <c r="G74" s="33"/>
      <c r="H74" s="12">
        <v>369</v>
      </c>
      <c r="I74" s="8" t="s">
        <v>75</v>
      </c>
      <c r="J74" s="3">
        <v>0</v>
      </c>
      <c r="K74" s="3">
        <v>0</v>
      </c>
      <c r="L74" s="3">
        <v>50</v>
      </c>
      <c r="M74" s="3">
        <v>25</v>
      </c>
      <c r="N74" s="3">
        <v>0</v>
      </c>
      <c r="O74" s="3">
        <v>25</v>
      </c>
      <c r="P74" s="4">
        <f t="shared" si="1"/>
        <v>269</v>
      </c>
      <c r="Q74" s="1" t="s">
        <v>163</v>
      </c>
      <c r="R74" s="44">
        <v>100</v>
      </c>
      <c r="S74" s="47">
        <v>500</v>
      </c>
      <c r="T74" s="4"/>
    </row>
    <row r="75" spans="1:20" x14ac:dyDescent="0.25">
      <c r="A75" s="7">
        <v>72</v>
      </c>
      <c r="D75" s="22" t="s">
        <v>100</v>
      </c>
      <c r="E75" s="10"/>
      <c r="F75" s="10"/>
      <c r="G75" s="28"/>
      <c r="H75" s="12">
        <v>0</v>
      </c>
      <c r="I75" s="8" t="s">
        <v>2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4">
        <f t="shared" si="1"/>
        <v>0</v>
      </c>
      <c r="R75" s="44">
        <v>0</v>
      </c>
      <c r="S75" s="46"/>
      <c r="T75" s="4"/>
    </row>
    <row r="76" spans="1:20" x14ac:dyDescent="0.25">
      <c r="A76" s="7">
        <v>73</v>
      </c>
      <c r="D76" s="37" t="s">
        <v>113</v>
      </c>
      <c r="E76" s="17"/>
      <c r="F76" s="17"/>
      <c r="G76" s="33"/>
      <c r="H76" s="12">
        <v>1622</v>
      </c>
      <c r="I76" s="8" t="s">
        <v>97</v>
      </c>
      <c r="J76" s="3">
        <v>0</v>
      </c>
      <c r="K76" s="3">
        <v>69</v>
      </c>
      <c r="L76" s="3">
        <v>83</v>
      </c>
      <c r="M76" s="3">
        <v>69</v>
      </c>
      <c r="N76" s="3">
        <v>46</v>
      </c>
      <c r="O76" s="3">
        <v>0</v>
      </c>
      <c r="P76" s="4">
        <f t="shared" si="1"/>
        <v>1355</v>
      </c>
      <c r="Q76" s="65" t="s">
        <v>121</v>
      </c>
      <c r="R76" s="44">
        <v>30</v>
      </c>
      <c r="S76" s="47">
        <v>100</v>
      </c>
      <c r="T76" s="4"/>
    </row>
    <row r="77" spans="1:20" x14ac:dyDescent="0.25">
      <c r="A77" s="7">
        <v>74</v>
      </c>
      <c r="D77" s="22" t="s">
        <v>103</v>
      </c>
      <c r="E77" s="10"/>
      <c r="F77" s="10"/>
      <c r="G77" s="28"/>
      <c r="H77" s="12">
        <v>120</v>
      </c>
      <c r="I77" s="8" t="s">
        <v>2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4">
        <f t="shared" si="1"/>
        <v>120</v>
      </c>
      <c r="R77" s="44">
        <v>60</v>
      </c>
      <c r="S77" s="47">
        <v>100</v>
      </c>
      <c r="T77" s="4"/>
    </row>
    <row r="78" spans="1:20" x14ac:dyDescent="0.25">
      <c r="A78" s="8">
        <v>75</v>
      </c>
      <c r="D78" s="49" t="s">
        <v>108</v>
      </c>
      <c r="E78" s="20"/>
      <c r="F78" s="20"/>
      <c r="G78" s="20"/>
      <c r="H78" s="12">
        <v>14500</v>
      </c>
      <c r="I78" s="8" t="s">
        <v>110</v>
      </c>
      <c r="J78" s="3">
        <v>0</v>
      </c>
      <c r="K78" s="3">
        <v>500</v>
      </c>
      <c r="L78" s="3">
        <v>1000</v>
      </c>
      <c r="M78" s="3">
        <v>0</v>
      </c>
      <c r="N78" s="3">
        <v>0</v>
      </c>
      <c r="O78" s="3">
        <v>1500</v>
      </c>
      <c r="P78" s="4">
        <f t="shared" si="1"/>
        <v>11500</v>
      </c>
      <c r="R78" s="43">
        <v>1000</v>
      </c>
      <c r="S78" s="46">
        <v>10000</v>
      </c>
      <c r="T78" s="4"/>
    </row>
    <row r="79" spans="1:20" x14ac:dyDescent="0.25">
      <c r="A79" s="48">
        <v>76</v>
      </c>
      <c r="B79" s="41"/>
      <c r="C79" s="41"/>
      <c r="D79" s="22" t="s">
        <v>115</v>
      </c>
      <c r="E79" s="10"/>
      <c r="F79" s="10"/>
      <c r="G79" s="11"/>
      <c r="H79" s="12">
        <v>39</v>
      </c>
      <c r="I79" s="62" t="s">
        <v>2</v>
      </c>
      <c r="J79" s="3">
        <v>0</v>
      </c>
      <c r="K79" s="3">
        <v>16</v>
      </c>
      <c r="L79" s="3">
        <v>5</v>
      </c>
      <c r="M79" s="3">
        <v>6</v>
      </c>
      <c r="N79" s="3">
        <v>0</v>
      </c>
      <c r="O79" s="3">
        <v>4</v>
      </c>
      <c r="P79" s="64">
        <f t="shared" si="1"/>
        <v>8</v>
      </c>
      <c r="R79" s="64">
        <v>50</v>
      </c>
      <c r="S79" s="64">
        <v>100</v>
      </c>
      <c r="T79" s="4" t="s">
        <v>14</v>
      </c>
    </row>
    <row r="80" spans="1:20" x14ac:dyDescent="0.25">
      <c r="A80" s="73">
        <v>77</v>
      </c>
      <c r="B80" s="41"/>
      <c r="C80" s="41"/>
      <c r="D80" s="49" t="s">
        <v>134</v>
      </c>
      <c r="E80" s="35"/>
      <c r="F80" s="35"/>
      <c r="G80" s="60"/>
      <c r="H80" s="12">
        <v>325</v>
      </c>
      <c r="I80" s="8" t="s">
        <v>2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  <c r="P80" s="4">
        <f t="shared" si="1"/>
        <v>325</v>
      </c>
      <c r="Q80" s="4"/>
      <c r="R80" s="4">
        <v>20</v>
      </c>
      <c r="S80" s="4">
        <v>50</v>
      </c>
      <c r="T80" s="4"/>
    </row>
    <row r="81" spans="1:20" x14ac:dyDescent="0.25">
      <c r="A81" s="8">
        <v>78</v>
      </c>
      <c r="D81" s="22" t="s">
        <v>123</v>
      </c>
      <c r="E81" s="10"/>
      <c r="F81" s="10"/>
      <c r="G81" s="11"/>
      <c r="H81" s="12">
        <v>2500</v>
      </c>
      <c r="I81" s="8" t="s">
        <v>2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  <c r="P81" s="4">
        <f t="shared" si="1"/>
        <v>2500</v>
      </c>
      <c r="Q81" s="4"/>
      <c r="R81" s="4">
        <v>100</v>
      </c>
      <c r="S81" s="4">
        <v>500</v>
      </c>
      <c r="T81" s="4"/>
    </row>
    <row r="82" spans="1:20" x14ac:dyDescent="0.25">
      <c r="A82" s="48">
        <v>79</v>
      </c>
      <c r="B82" s="41"/>
      <c r="C82" s="41"/>
      <c r="D82" s="22" t="s">
        <v>154</v>
      </c>
      <c r="E82" s="10"/>
      <c r="F82" s="10"/>
      <c r="G82" s="11"/>
      <c r="H82" s="4">
        <v>15</v>
      </c>
      <c r="I82" s="8" t="s">
        <v>2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  <c r="P82" s="4">
        <f t="shared" si="1"/>
        <v>15</v>
      </c>
      <c r="Q82" s="4"/>
      <c r="R82" s="4"/>
      <c r="S82" s="4"/>
      <c r="T82" s="4"/>
    </row>
    <row r="83" spans="1:20" x14ac:dyDescent="0.25">
      <c r="A83" s="48">
        <v>80</v>
      </c>
      <c r="B83" s="41"/>
      <c r="C83" s="41"/>
      <c r="D83" s="37" t="s">
        <v>155</v>
      </c>
      <c r="E83" s="17"/>
      <c r="F83" s="17"/>
      <c r="G83" s="18"/>
      <c r="H83" s="64">
        <v>15</v>
      </c>
      <c r="I83" s="62" t="s">
        <v>2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64">
        <f t="shared" si="1"/>
        <v>15</v>
      </c>
      <c r="Q83" s="64"/>
      <c r="R83" s="64"/>
      <c r="S83" s="64"/>
      <c r="T83" s="4"/>
    </row>
    <row r="84" spans="1:20" x14ac:dyDescent="0.25">
      <c r="A84" s="48">
        <v>81</v>
      </c>
      <c r="B84" s="11"/>
      <c r="C84" s="23"/>
      <c r="D84" s="23" t="s">
        <v>149</v>
      </c>
      <c r="E84" s="23"/>
      <c r="F84" s="23"/>
      <c r="G84" s="23"/>
      <c r="H84" s="23">
        <v>12</v>
      </c>
      <c r="I84" s="8" t="s">
        <v>2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4">
        <f t="shared" si="1"/>
        <v>12</v>
      </c>
      <c r="Q84" s="4"/>
      <c r="R84" s="4"/>
      <c r="S84" s="4"/>
      <c r="T84" s="4"/>
    </row>
    <row r="85" spans="1:20" x14ac:dyDescent="0.25">
      <c r="A85" s="8">
        <v>82</v>
      </c>
      <c r="D85" s="68" t="s">
        <v>148</v>
      </c>
      <c r="E85" s="27"/>
      <c r="F85" s="27"/>
      <c r="G85" s="28"/>
      <c r="H85" s="4">
        <v>98</v>
      </c>
      <c r="I85" s="8" t="s">
        <v>2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4">
        <f t="shared" si="1"/>
        <v>98</v>
      </c>
      <c r="Q85" s="4"/>
      <c r="R85" s="4"/>
      <c r="S85" s="4"/>
      <c r="T85" s="4"/>
    </row>
    <row r="86" spans="1:20" ht="15.75" customHeight="1" x14ac:dyDescent="0.25">
      <c r="A86" s="8">
        <v>83</v>
      </c>
      <c r="D86" s="79" t="s">
        <v>150</v>
      </c>
      <c r="E86" s="80"/>
      <c r="F86" s="81"/>
      <c r="G86" s="82"/>
      <c r="H86" s="4">
        <v>6000</v>
      </c>
      <c r="I86" s="8" t="s">
        <v>2</v>
      </c>
      <c r="J86" s="3">
        <v>0</v>
      </c>
      <c r="K86" s="3">
        <v>0</v>
      </c>
      <c r="L86" s="3">
        <v>500</v>
      </c>
      <c r="M86" s="3">
        <v>0</v>
      </c>
      <c r="N86" s="3">
        <v>0</v>
      </c>
      <c r="O86" s="3">
        <v>500</v>
      </c>
      <c r="P86" s="4">
        <f t="shared" si="1"/>
        <v>5000</v>
      </c>
      <c r="Q86" s="4"/>
      <c r="R86" s="4">
        <v>50</v>
      </c>
      <c r="S86" s="4">
        <v>300</v>
      </c>
      <c r="T86" s="4"/>
    </row>
    <row r="87" spans="1:20" x14ac:dyDescent="0.25">
      <c r="A87" s="8">
        <v>84</v>
      </c>
      <c r="D87" s="22" t="s">
        <v>160</v>
      </c>
      <c r="E87" s="10"/>
      <c r="F87" s="10"/>
      <c r="G87" s="11"/>
      <c r="H87" s="23">
        <v>841</v>
      </c>
      <c r="I87" s="8" t="s">
        <v>2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4">
        <f t="shared" si="1"/>
        <v>841</v>
      </c>
      <c r="Q87" s="4"/>
      <c r="R87" s="4"/>
      <c r="S87" s="4"/>
      <c r="T87" s="4"/>
    </row>
    <row r="88" spans="1:20" x14ac:dyDescent="0.25">
      <c r="A88" s="8">
        <v>85</v>
      </c>
      <c r="D88" s="49" t="s">
        <v>153</v>
      </c>
      <c r="E88" s="20"/>
      <c r="F88" s="20"/>
      <c r="G88" s="21"/>
      <c r="H88" s="23">
        <v>88</v>
      </c>
      <c r="I88" s="8" t="s">
        <v>2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4">
        <f t="shared" si="1"/>
        <v>88</v>
      </c>
      <c r="Q88" s="4"/>
      <c r="R88" s="4"/>
      <c r="S88" s="4"/>
      <c r="T88" s="4"/>
    </row>
    <row r="89" spans="1:20" x14ac:dyDescent="0.25">
      <c r="A89" s="77">
        <v>86</v>
      </c>
      <c r="D89" s="68" t="s">
        <v>162</v>
      </c>
      <c r="E89" s="27"/>
      <c r="F89" s="27"/>
      <c r="G89" s="28"/>
      <c r="H89" s="74">
        <v>97</v>
      </c>
      <c r="I89" s="75" t="s">
        <v>2</v>
      </c>
      <c r="J89" s="3">
        <v>0</v>
      </c>
      <c r="K89" s="3">
        <v>0</v>
      </c>
      <c r="L89" s="3">
        <v>0</v>
      </c>
      <c r="M89" s="3">
        <v>6</v>
      </c>
      <c r="N89" s="3">
        <v>0</v>
      </c>
      <c r="O89" s="3">
        <v>0</v>
      </c>
      <c r="P89" s="4">
        <f t="shared" si="1"/>
        <v>91</v>
      </c>
      <c r="Q89" s="4"/>
      <c r="R89" s="4"/>
      <c r="S89" s="4"/>
      <c r="T89" s="4"/>
    </row>
  </sheetData>
  <pageMargins left="0.75" right="0.75" top="1" bottom="1" header="0.5" footer="0.5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T89"/>
  <sheetViews>
    <sheetView topLeftCell="D68" workbookViewId="0">
      <selection activeCell="P88" sqref="P88"/>
    </sheetView>
  </sheetViews>
  <sheetFormatPr defaultRowHeight="15" x14ac:dyDescent="0.25"/>
  <cols>
    <col min="1" max="1" width="5.5703125" customWidth="1"/>
    <col min="2" max="3" width="9.140625" hidden="1" customWidth="1"/>
    <col min="6" max="6" width="12.7109375" customWidth="1"/>
    <col min="8" max="8" width="10.140625" customWidth="1"/>
    <col min="9" max="9" width="10" customWidth="1"/>
    <col min="10" max="10" width="7.7109375" customWidth="1"/>
    <col min="11" max="11" width="10.7109375" customWidth="1"/>
    <col min="12" max="12" width="10.140625" customWidth="1"/>
    <col min="13" max="13" width="11.85546875" customWidth="1"/>
    <col min="14" max="15" width="11.7109375" customWidth="1"/>
    <col min="16" max="16" width="10.140625" customWidth="1"/>
    <col min="17" max="17" width="4.7109375" customWidth="1"/>
    <col min="18" max="18" width="12.140625" customWidth="1"/>
    <col min="19" max="19" width="10.85546875" customWidth="1"/>
    <col min="20" max="20" width="13.85546875" customWidth="1"/>
  </cols>
  <sheetData>
    <row r="1" spans="1:20" x14ac:dyDescent="0.25">
      <c r="G1" s="1"/>
      <c r="P1">
        <f>+H1+J1-K1-L1-M1-N1-O1</f>
        <v>0</v>
      </c>
    </row>
    <row r="2" spans="1:20" x14ac:dyDescent="0.25">
      <c r="A2" t="s">
        <v>14</v>
      </c>
      <c r="D2" s="78">
        <v>45292</v>
      </c>
      <c r="O2" s="38" t="s">
        <v>14</v>
      </c>
      <c r="S2" s="50">
        <v>44837</v>
      </c>
    </row>
    <row r="3" spans="1:20" x14ac:dyDescent="0.25">
      <c r="A3" s="3" t="s">
        <v>15</v>
      </c>
      <c r="D3" s="9" t="s">
        <v>17</v>
      </c>
      <c r="E3" s="10"/>
      <c r="F3" s="10"/>
      <c r="G3" s="11"/>
      <c r="H3" s="12" t="s">
        <v>18</v>
      </c>
      <c r="I3" s="4" t="s">
        <v>19</v>
      </c>
      <c r="J3" s="3" t="s">
        <v>20</v>
      </c>
      <c r="K3" s="5">
        <v>45296</v>
      </c>
      <c r="L3" s="6">
        <v>45306</v>
      </c>
      <c r="M3" s="5">
        <v>45310</v>
      </c>
      <c r="N3" s="5">
        <v>45316</v>
      </c>
      <c r="O3" s="6">
        <v>45322</v>
      </c>
      <c r="P3" s="3" t="s">
        <v>21</v>
      </c>
      <c r="R3" s="42" t="s">
        <v>105</v>
      </c>
      <c r="S3" s="45" t="s">
        <v>104</v>
      </c>
      <c r="T3" s="4"/>
    </row>
    <row r="4" spans="1:20" x14ac:dyDescent="0.25">
      <c r="A4" s="7">
        <v>1</v>
      </c>
      <c r="D4" s="13" t="s">
        <v>16</v>
      </c>
      <c r="E4" s="14"/>
      <c r="F4" s="14"/>
      <c r="G4" s="15"/>
      <c r="H4" s="12">
        <v>204</v>
      </c>
      <c r="I4" s="7" t="s">
        <v>1</v>
      </c>
      <c r="J4" s="3">
        <v>0</v>
      </c>
      <c r="K4" s="3">
        <v>0</v>
      </c>
      <c r="L4" s="3">
        <v>50</v>
      </c>
      <c r="M4" s="3">
        <v>0</v>
      </c>
      <c r="N4" s="3">
        <v>25</v>
      </c>
      <c r="O4" s="3">
        <v>25</v>
      </c>
      <c r="P4" s="4">
        <f t="shared" ref="P4:P67" si="0">+H4+J4-K4-L4-M4-N4-O4</f>
        <v>104</v>
      </c>
      <c r="Q4" t="s">
        <v>67</v>
      </c>
      <c r="R4" s="43">
        <v>100</v>
      </c>
      <c r="S4" s="46">
        <v>500</v>
      </c>
      <c r="T4" s="4" t="s">
        <v>14</v>
      </c>
    </row>
    <row r="5" spans="1:20" x14ac:dyDescent="0.25">
      <c r="A5" s="7">
        <v>2</v>
      </c>
      <c r="D5" s="9" t="s">
        <v>22</v>
      </c>
      <c r="E5" s="10"/>
      <c r="F5" s="10"/>
      <c r="G5" s="11"/>
      <c r="H5" s="12">
        <v>4</v>
      </c>
      <c r="I5" s="7" t="s">
        <v>2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4</v>
      </c>
      <c r="P5" s="4">
        <f t="shared" si="0"/>
        <v>0</v>
      </c>
      <c r="Q5" s="1" t="s">
        <v>14</v>
      </c>
      <c r="R5" s="44">
        <v>6</v>
      </c>
      <c r="S5" s="47">
        <v>10</v>
      </c>
      <c r="T5" s="4"/>
    </row>
    <row r="6" spans="1:20" x14ac:dyDescent="0.25">
      <c r="A6" s="7">
        <v>3</v>
      </c>
      <c r="D6" s="16" t="s">
        <v>23</v>
      </c>
      <c r="E6" s="17"/>
      <c r="F6" s="17"/>
      <c r="G6" s="18"/>
      <c r="H6" s="12">
        <v>54</v>
      </c>
      <c r="I6" s="7" t="s">
        <v>2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4">
        <f t="shared" si="0"/>
        <v>54</v>
      </c>
      <c r="Q6" s="1" t="s">
        <v>14</v>
      </c>
      <c r="R6" s="44">
        <v>6</v>
      </c>
      <c r="S6" s="47">
        <v>10</v>
      </c>
      <c r="T6" s="4"/>
    </row>
    <row r="7" spans="1:20" x14ac:dyDescent="0.25">
      <c r="A7" s="7">
        <v>4</v>
      </c>
      <c r="D7" s="9" t="s">
        <v>3</v>
      </c>
      <c r="E7" s="10"/>
      <c r="F7" s="10"/>
      <c r="G7" s="11"/>
      <c r="H7" s="12">
        <v>30</v>
      </c>
      <c r="I7" s="7" t="s">
        <v>2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4">
        <f t="shared" si="0"/>
        <v>30</v>
      </c>
      <c r="Q7" s="1" t="s">
        <v>14</v>
      </c>
      <c r="R7" s="44">
        <v>6</v>
      </c>
      <c r="S7" s="47">
        <v>10</v>
      </c>
      <c r="T7" s="4"/>
    </row>
    <row r="8" spans="1:20" x14ac:dyDescent="0.25">
      <c r="A8" s="7">
        <v>5</v>
      </c>
      <c r="D8" s="16" t="s">
        <v>139</v>
      </c>
      <c r="E8" s="17"/>
      <c r="F8" s="17"/>
      <c r="G8" s="18"/>
      <c r="H8" s="12">
        <v>100</v>
      </c>
      <c r="I8" s="7" t="s">
        <v>2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4">
        <f t="shared" si="0"/>
        <v>100</v>
      </c>
      <c r="Q8" s="1" t="s">
        <v>14</v>
      </c>
      <c r="R8" s="44">
        <v>100</v>
      </c>
      <c r="S8" s="47">
        <v>400</v>
      </c>
      <c r="T8" s="4"/>
    </row>
    <row r="9" spans="1:20" x14ac:dyDescent="0.25">
      <c r="A9" s="7">
        <v>6</v>
      </c>
      <c r="D9" s="9" t="s">
        <v>24</v>
      </c>
      <c r="E9" s="10"/>
      <c r="F9" s="10"/>
      <c r="G9" s="11"/>
      <c r="H9" s="12">
        <v>100</v>
      </c>
      <c r="I9" s="7" t="s">
        <v>2</v>
      </c>
      <c r="J9" s="3">
        <v>0</v>
      </c>
      <c r="K9" s="3">
        <v>0</v>
      </c>
      <c r="L9" s="3">
        <v>0</v>
      </c>
      <c r="M9" s="3">
        <v>0</v>
      </c>
      <c r="N9" s="3">
        <v>40</v>
      </c>
      <c r="O9" s="3">
        <v>22</v>
      </c>
      <c r="P9" s="4">
        <f t="shared" si="0"/>
        <v>38</v>
      </c>
      <c r="Q9" s="1" t="s">
        <v>14</v>
      </c>
      <c r="R9" s="44">
        <v>60</v>
      </c>
      <c r="S9" s="47">
        <v>200</v>
      </c>
      <c r="T9" s="4"/>
    </row>
    <row r="10" spans="1:20" x14ac:dyDescent="0.25">
      <c r="A10" s="7">
        <v>7</v>
      </c>
      <c r="D10" s="16" t="s">
        <v>101</v>
      </c>
      <c r="E10" s="17"/>
      <c r="F10" s="17"/>
      <c r="G10" s="18"/>
      <c r="H10" s="12">
        <v>550</v>
      </c>
      <c r="I10" s="7" t="s">
        <v>2</v>
      </c>
      <c r="J10" s="3">
        <v>500</v>
      </c>
      <c r="K10" s="3">
        <v>0</v>
      </c>
      <c r="L10" s="3">
        <v>42</v>
      </c>
      <c r="M10" s="3">
        <v>0</v>
      </c>
      <c r="N10" s="3">
        <v>40</v>
      </c>
      <c r="O10" s="3">
        <v>20</v>
      </c>
      <c r="P10" s="4">
        <f t="shared" si="0"/>
        <v>948</v>
      </c>
      <c r="Q10" s="1" t="s">
        <v>14</v>
      </c>
      <c r="R10" s="44">
        <v>200</v>
      </c>
      <c r="S10" s="47">
        <v>500</v>
      </c>
      <c r="T10" s="4"/>
    </row>
    <row r="11" spans="1:20" x14ac:dyDescent="0.25">
      <c r="A11" s="7">
        <v>8</v>
      </c>
      <c r="D11" s="9" t="s">
        <v>25</v>
      </c>
      <c r="E11" s="10"/>
      <c r="F11" s="10"/>
      <c r="G11" s="11"/>
      <c r="H11" s="12">
        <v>340</v>
      </c>
      <c r="I11" s="7" t="s">
        <v>2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6</v>
      </c>
      <c r="P11" s="4">
        <f t="shared" si="0"/>
        <v>334</v>
      </c>
      <c r="Q11" s="1" t="s">
        <v>14</v>
      </c>
      <c r="R11" s="44">
        <v>50</v>
      </c>
      <c r="S11" s="47">
        <v>300</v>
      </c>
      <c r="T11" s="4"/>
    </row>
    <row r="12" spans="1:20" x14ac:dyDescent="0.25">
      <c r="A12" s="7">
        <v>9</v>
      </c>
      <c r="D12" s="16" t="s">
        <v>26</v>
      </c>
      <c r="E12" s="17"/>
      <c r="F12" s="17"/>
      <c r="G12" s="18"/>
      <c r="H12" s="12">
        <v>0</v>
      </c>
      <c r="I12" s="7" t="s">
        <v>2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4">
        <f t="shared" si="0"/>
        <v>0</v>
      </c>
      <c r="Q12" s="1" t="s">
        <v>14</v>
      </c>
      <c r="R12" s="44">
        <v>200</v>
      </c>
      <c r="S12" s="47">
        <v>400</v>
      </c>
      <c r="T12" s="4"/>
    </row>
    <row r="13" spans="1:20" x14ac:dyDescent="0.25">
      <c r="A13" s="7">
        <v>10</v>
      </c>
      <c r="D13" s="9" t="s">
        <v>6</v>
      </c>
      <c r="E13" s="10"/>
      <c r="F13" s="10"/>
      <c r="G13" s="11"/>
      <c r="H13" s="12">
        <v>60</v>
      </c>
      <c r="I13" s="7" t="s">
        <v>2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4">
        <f t="shared" si="0"/>
        <v>60</v>
      </c>
      <c r="Q13" s="1" t="s">
        <v>14</v>
      </c>
      <c r="R13" s="44">
        <v>10</v>
      </c>
      <c r="S13" s="46">
        <v>100</v>
      </c>
      <c r="T13" s="4"/>
    </row>
    <row r="14" spans="1:20" x14ac:dyDescent="0.25">
      <c r="A14" s="7">
        <v>11</v>
      </c>
      <c r="D14" s="16" t="s">
        <v>7</v>
      </c>
      <c r="E14" s="17"/>
      <c r="F14" s="17"/>
      <c r="G14" s="18"/>
      <c r="H14" s="12">
        <v>20</v>
      </c>
      <c r="I14" s="7" t="s">
        <v>171</v>
      </c>
      <c r="J14" s="3">
        <v>0</v>
      </c>
      <c r="K14" s="3">
        <v>0</v>
      </c>
      <c r="L14" s="3">
        <v>6</v>
      </c>
      <c r="M14" s="3">
        <v>2</v>
      </c>
      <c r="N14" s="3">
        <v>1</v>
      </c>
      <c r="O14" s="3">
        <v>0</v>
      </c>
      <c r="P14" s="4">
        <f t="shared" si="0"/>
        <v>11</v>
      </c>
      <c r="Q14" s="1" t="s">
        <v>14</v>
      </c>
      <c r="R14" s="44">
        <v>20</v>
      </c>
      <c r="S14" s="47">
        <v>50</v>
      </c>
      <c r="T14" s="4"/>
    </row>
    <row r="15" spans="1:20" x14ac:dyDescent="0.25">
      <c r="A15" s="7">
        <v>12</v>
      </c>
      <c r="D15" s="9" t="s">
        <v>69</v>
      </c>
      <c r="E15" s="10"/>
      <c r="F15" s="10"/>
      <c r="G15" s="11"/>
      <c r="H15" s="12">
        <v>20</v>
      </c>
      <c r="I15" s="7" t="s">
        <v>171</v>
      </c>
      <c r="J15" s="3">
        <v>0</v>
      </c>
      <c r="K15" s="3">
        <v>0</v>
      </c>
      <c r="L15" s="3">
        <v>10</v>
      </c>
      <c r="M15" s="3">
        <v>0</v>
      </c>
      <c r="N15" s="3">
        <v>1</v>
      </c>
      <c r="O15" s="3">
        <v>0</v>
      </c>
      <c r="P15" s="4">
        <f t="shared" si="0"/>
        <v>9</v>
      </c>
      <c r="Q15" s="1" t="s">
        <v>14</v>
      </c>
      <c r="R15" s="44">
        <v>100</v>
      </c>
      <c r="S15" s="47">
        <v>200</v>
      </c>
      <c r="T15" s="4"/>
    </row>
    <row r="16" spans="1:20" x14ac:dyDescent="0.25">
      <c r="A16" s="7">
        <v>13</v>
      </c>
      <c r="D16" s="16" t="s">
        <v>27</v>
      </c>
      <c r="E16" s="17"/>
      <c r="F16" s="17"/>
      <c r="G16" s="18"/>
      <c r="H16" s="12">
        <v>0</v>
      </c>
      <c r="I16" s="7" t="s">
        <v>2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4">
        <f t="shared" si="0"/>
        <v>0</v>
      </c>
      <c r="Q16" s="1" t="s">
        <v>14</v>
      </c>
      <c r="R16" s="44">
        <v>0</v>
      </c>
      <c r="S16" s="46"/>
      <c r="T16" s="4"/>
    </row>
    <row r="17" spans="1:20" x14ac:dyDescent="0.25">
      <c r="A17" s="7">
        <v>14</v>
      </c>
      <c r="D17" s="9" t="s">
        <v>73</v>
      </c>
      <c r="E17" s="10"/>
      <c r="F17" s="10"/>
      <c r="G17" s="11"/>
      <c r="H17" s="12">
        <v>781</v>
      </c>
      <c r="I17" s="7" t="s">
        <v>2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4">
        <f t="shared" si="0"/>
        <v>781</v>
      </c>
      <c r="Q17" s="1" t="s">
        <v>14</v>
      </c>
      <c r="R17" s="44">
        <v>0</v>
      </c>
      <c r="S17" s="46"/>
      <c r="T17" s="4"/>
    </row>
    <row r="18" spans="1:20" x14ac:dyDescent="0.25">
      <c r="A18" s="7">
        <v>15</v>
      </c>
      <c r="D18" s="16" t="s">
        <v>28</v>
      </c>
      <c r="E18" s="17"/>
      <c r="F18" s="17"/>
      <c r="G18" s="18"/>
      <c r="H18" s="12">
        <v>110</v>
      </c>
      <c r="I18" s="7" t="s">
        <v>2</v>
      </c>
      <c r="J18" s="3">
        <v>0</v>
      </c>
      <c r="K18" s="3">
        <v>0</v>
      </c>
      <c r="L18" s="3">
        <v>20</v>
      </c>
      <c r="M18" s="3">
        <v>1</v>
      </c>
      <c r="N18" s="3">
        <v>20</v>
      </c>
      <c r="O18" s="3">
        <v>0</v>
      </c>
      <c r="P18" s="4">
        <f t="shared" si="0"/>
        <v>69</v>
      </c>
      <c r="Q18" s="1" t="s">
        <v>14</v>
      </c>
      <c r="R18" s="44">
        <v>20</v>
      </c>
      <c r="S18" s="47">
        <v>50</v>
      </c>
      <c r="T18" s="4"/>
    </row>
    <row r="19" spans="1:20" x14ac:dyDescent="0.25">
      <c r="A19" s="7">
        <v>16</v>
      </c>
      <c r="D19" s="9" t="s">
        <v>29</v>
      </c>
      <c r="E19" s="10"/>
      <c r="F19" s="10"/>
      <c r="G19" s="11"/>
      <c r="H19" s="12">
        <v>102</v>
      </c>
      <c r="I19" s="7" t="s">
        <v>2</v>
      </c>
      <c r="J19" s="3">
        <v>0</v>
      </c>
      <c r="K19" s="3">
        <v>0</v>
      </c>
      <c r="L19" s="3">
        <v>20</v>
      </c>
      <c r="M19" s="3">
        <v>1</v>
      </c>
      <c r="N19" s="3">
        <v>20</v>
      </c>
      <c r="O19" s="3">
        <v>0</v>
      </c>
      <c r="P19" s="4">
        <f t="shared" si="0"/>
        <v>61</v>
      </c>
      <c r="Q19" s="1" t="s">
        <v>14</v>
      </c>
      <c r="R19" s="44">
        <v>20</v>
      </c>
      <c r="S19" s="47">
        <v>50</v>
      </c>
      <c r="T19" s="4"/>
    </row>
    <row r="20" spans="1:20" x14ac:dyDescent="0.25">
      <c r="A20" s="7">
        <v>17</v>
      </c>
      <c r="D20" s="16" t="s">
        <v>30</v>
      </c>
      <c r="E20" s="17"/>
      <c r="F20" s="17"/>
      <c r="G20" s="18"/>
      <c r="H20" s="12">
        <v>130</v>
      </c>
      <c r="I20" s="7" t="s">
        <v>2</v>
      </c>
      <c r="J20" s="3">
        <v>0</v>
      </c>
      <c r="K20" s="3">
        <v>0</v>
      </c>
      <c r="L20" s="3">
        <v>20</v>
      </c>
      <c r="M20" s="3">
        <v>1</v>
      </c>
      <c r="N20" s="3">
        <v>20</v>
      </c>
      <c r="O20" s="3">
        <v>0</v>
      </c>
      <c r="P20" s="4">
        <f t="shared" si="0"/>
        <v>89</v>
      </c>
      <c r="Q20" s="1" t="s">
        <v>14</v>
      </c>
      <c r="R20" s="44">
        <v>20</v>
      </c>
      <c r="S20" s="47">
        <v>50</v>
      </c>
      <c r="T20" s="4"/>
    </row>
    <row r="21" spans="1:20" x14ac:dyDescent="0.25">
      <c r="A21" s="7">
        <v>18</v>
      </c>
      <c r="D21" s="9" t="s">
        <v>129</v>
      </c>
      <c r="E21" s="10"/>
      <c r="F21" s="10"/>
      <c r="G21" s="11"/>
      <c r="H21" s="12">
        <v>16</v>
      </c>
      <c r="I21" s="7" t="s">
        <v>2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4">
        <f t="shared" si="0"/>
        <v>16</v>
      </c>
      <c r="Q21" s="1" t="s">
        <v>14</v>
      </c>
      <c r="R21" s="44">
        <v>10</v>
      </c>
      <c r="S21" s="46">
        <v>50</v>
      </c>
      <c r="T21" s="4"/>
    </row>
    <row r="22" spans="1:20" x14ac:dyDescent="0.25">
      <c r="A22" s="7">
        <v>19</v>
      </c>
      <c r="D22" s="55" t="s">
        <v>164</v>
      </c>
      <c r="E22" s="56"/>
      <c r="F22" s="56"/>
      <c r="G22" s="57"/>
      <c r="H22" s="12">
        <v>65</v>
      </c>
      <c r="I22" s="59" t="s">
        <v>1</v>
      </c>
      <c r="J22" s="3">
        <v>240</v>
      </c>
      <c r="K22" s="3">
        <v>15</v>
      </c>
      <c r="L22" s="3">
        <v>25</v>
      </c>
      <c r="M22" s="3">
        <v>115</v>
      </c>
      <c r="N22" s="3">
        <v>30</v>
      </c>
      <c r="O22" s="3">
        <v>10</v>
      </c>
      <c r="P22" s="46">
        <f t="shared" si="0"/>
        <v>110</v>
      </c>
      <c r="Q22" s="1" t="s">
        <v>14</v>
      </c>
      <c r="R22" s="44">
        <v>50</v>
      </c>
      <c r="S22" s="47">
        <v>200</v>
      </c>
      <c r="T22" s="4"/>
    </row>
    <row r="23" spans="1:20" x14ac:dyDescent="0.25">
      <c r="A23" s="7">
        <v>20</v>
      </c>
      <c r="D23" s="9" t="s">
        <v>32</v>
      </c>
      <c r="E23" s="10"/>
      <c r="F23" s="10"/>
      <c r="G23" s="11"/>
      <c r="H23" s="12">
        <v>850</v>
      </c>
      <c r="I23" s="7" t="s">
        <v>2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4">
        <f t="shared" si="0"/>
        <v>850</v>
      </c>
      <c r="Q23" s="1" t="s">
        <v>14</v>
      </c>
      <c r="R23" s="44">
        <v>50</v>
      </c>
      <c r="S23" s="46">
        <v>200</v>
      </c>
      <c r="T23" s="4"/>
    </row>
    <row r="24" spans="1:20" x14ac:dyDescent="0.25">
      <c r="A24" s="7">
        <v>21</v>
      </c>
      <c r="D24" s="16" t="s">
        <v>140</v>
      </c>
      <c r="E24" s="17"/>
      <c r="F24" s="17"/>
      <c r="G24" s="18"/>
      <c r="H24" s="12">
        <v>102</v>
      </c>
      <c r="I24" s="7" t="s">
        <v>2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4">
        <f t="shared" si="0"/>
        <v>102</v>
      </c>
      <c r="Q24" s="1" t="s">
        <v>14</v>
      </c>
      <c r="R24" s="44">
        <v>10</v>
      </c>
      <c r="S24" s="46">
        <v>100</v>
      </c>
      <c r="T24" s="4"/>
    </row>
    <row r="25" spans="1:20" x14ac:dyDescent="0.25">
      <c r="A25" s="7">
        <v>22</v>
      </c>
      <c r="D25" s="9" t="s">
        <v>34</v>
      </c>
      <c r="E25" s="10"/>
      <c r="F25" s="10"/>
      <c r="G25" s="11"/>
      <c r="H25" s="12">
        <v>25</v>
      </c>
      <c r="I25" s="7" t="s">
        <v>2</v>
      </c>
      <c r="J25" s="3">
        <v>0</v>
      </c>
      <c r="K25" s="3">
        <v>0</v>
      </c>
      <c r="L25" s="3">
        <v>0</v>
      </c>
      <c r="M25" s="3">
        <v>4</v>
      </c>
      <c r="N25" s="3">
        <v>0</v>
      </c>
      <c r="O25" s="3">
        <v>0</v>
      </c>
      <c r="P25" s="4">
        <f t="shared" si="0"/>
        <v>21</v>
      </c>
      <c r="Q25" s="1" t="s">
        <v>14</v>
      </c>
      <c r="R25" s="44">
        <v>10</v>
      </c>
      <c r="S25" s="46">
        <v>50</v>
      </c>
      <c r="T25" s="4"/>
    </row>
    <row r="26" spans="1:20" x14ac:dyDescent="0.25">
      <c r="A26" s="7">
        <v>23</v>
      </c>
      <c r="D26" s="16" t="s">
        <v>142</v>
      </c>
      <c r="E26" s="17"/>
      <c r="F26" s="17"/>
      <c r="G26" s="18"/>
      <c r="H26" s="12">
        <v>45</v>
      </c>
      <c r="I26" s="7" t="s">
        <v>2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4">
        <f t="shared" si="0"/>
        <v>45</v>
      </c>
      <c r="Q26" s="1" t="s">
        <v>14</v>
      </c>
      <c r="R26" s="44">
        <v>20</v>
      </c>
      <c r="S26" s="47">
        <v>50</v>
      </c>
      <c r="T26" s="4"/>
    </row>
    <row r="27" spans="1:20" x14ac:dyDescent="0.25">
      <c r="A27" s="7">
        <v>24</v>
      </c>
      <c r="D27" s="9" t="s">
        <v>141</v>
      </c>
      <c r="E27" s="10"/>
      <c r="F27" s="10"/>
      <c r="G27" s="11"/>
      <c r="H27" s="12">
        <v>0</v>
      </c>
      <c r="I27" s="7" t="s">
        <v>2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  <c r="P27" s="4">
        <f t="shared" si="0"/>
        <v>0</v>
      </c>
      <c r="Q27" s="1"/>
      <c r="R27" s="44">
        <v>20</v>
      </c>
      <c r="S27" s="47">
        <v>50</v>
      </c>
      <c r="T27" s="4"/>
    </row>
    <row r="28" spans="1:20" x14ac:dyDescent="0.25">
      <c r="A28" s="7">
        <v>25</v>
      </c>
      <c r="D28" s="9" t="s">
        <v>137</v>
      </c>
      <c r="E28" s="10"/>
      <c r="F28" s="10"/>
      <c r="G28" s="11"/>
      <c r="H28" s="12">
        <v>108</v>
      </c>
      <c r="I28" s="7" t="s">
        <v>2</v>
      </c>
      <c r="J28" s="3">
        <v>0</v>
      </c>
      <c r="K28" s="3">
        <v>0</v>
      </c>
      <c r="L28" s="3">
        <v>4</v>
      </c>
      <c r="M28" s="3">
        <v>4</v>
      </c>
      <c r="N28" s="3">
        <v>0</v>
      </c>
      <c r="O28" s="3">
        <v>0</v>
      </c>
      <c r="P28" s="4">
        <f t="shared" si="0"/>
        <v>100</v>
      </c>
      <c r="Q28" s="1" t="s">
        <v>14</v>
      </c>
      <c r="R28" s="44">
        <v>20</v>
      </c>
      <c r="S28" s="47">
        <v>50</v>
      </c>
      <c r="T28" s="4"/>
    </row>
    <row r="29" spans="1:20" x14ac:dyDescent="0.25">
      <c r="A29" s="7">
        <v>26</v>
      </c>
      <c r="D29" s="9" t="s">
        <v>138</v>
      </c>
      <c r="E29" s="10"/>
      <c r="F29" s="10"/>
      <c r="G29" s="11"/>
      <c r="H29" s="12">
        <v>148</v>
      </c>
      <c r="I29" s="7" t="s">
        <v>2</v>
      </c>
      <c r="J29" s="3">
        <v>0</v>
      </c>
      <c r="K29" s="3">
        <v>0</v>
      </c>
      <c r="L29" s="3">
        <v>4</v>
      </c>
      <c r="M29" s="3">
        <v>4</v>
      </c>
      <c r="N29" s="3">
        <v>0</v>
      </c>
      <c r="O29" s="3">
        <v>0</v>
      </c>
      <c r="P29" s="4">
        <f t="shared" si="0"/>
        <v>140</v>
      </c>
      <c r="Q29" s="1"/>
      <c r="R29" s="44">
        <v>10</v>
      </c>
      <c r="S29" s="47">
        <v>50</v>
      </c>
      <c r="T29" s="4"/>
    </row>
    <row r="30" spans="1:20" x14ac:dyDescent="0.25">
      <c r="A30" s="7">
        <v>27</v>
      </c>
      <c r="D30" s="16" t="s">
        <v>35</v>
      </c>
      <c r="E30" s="17"/>
      <c r="F30" s="17"/>
      <c r="G30" s="18"/>
      <c r="H30" s="12">
        <v>385</v>
      </c>
      <c r="I30" s="7" t="s">
        <v>2</v>
      </c>
      <c r="J30" s="3">
        <v>0</v>
      </c>
      <c r="K30" s="3">
        <v>0</v>
      </c>
      <c r="L30" s="3">
        <v>120</v>
      </c>
      <c r="M30" s="3">
        <v>0</v>
      </c>
      <c r="N30" s="3">
        <v>0</v>
      </c>
      <c r="O30" s="3">
        <v>0</v>
      </c>
      <c r="P30" s="4">
        <f t="shared" si="0"/>
        <v>265</v>
      </c>
      <c r="Q30" s="1" t="s">
        <v>14</v>
      </c>
      <c r="R30" s="44">
        <v>50</v>
      </c>
      <c r="S30" s="47">
        <v>100</v>
      </c>
      <c r="T30" s="4"/>
    </row>
    <row r="31" spans="1:20" x14ac:dyDescent="0.25">
      <c r="A31" s="7">
        <v>28</v>
      </c>
      <c r="D31" s="9" t="s">
        <v>36</v>
      </c>
      <c r="E31" s="10"/>
      <c r="F31" s="10"/>
      <c r="G31" s="11"/>
      <c r="H31" s="12">
        <v>140</v>
      </c>
      <c r="I31" s="7" t="s">
        <v>2</v>
      </c>
      <c r="J31" s="3">
        <v>0</v>
      </c>
      <c r="K31" s="3">
        <v>0</v>
      </c>
      <c r="L31" s="3">
        <v>120</v>
      </c>
      <c r="M31" s="3">
        <v>0</v>
      </c>
      <c r="N31" s="3">
        <v>0</v>
      </c>
      <c r="O31" s="3">
        <v>0</v>
      </c>
      <c r="P31" s="4">
        <f t="shared" si="0"/>
        <v>20</v>
      </c>
      <c r="Q31" s="1" t="s">
        <v>14</v>
      </c>
      <c r="R31" s="44">
        <v>50</v>
      </c>
      <c r="S31" s="47">
        <v>100</v>
      </c>
      <c r="T31" s="4"/>
    </row>
    <row r="32" spans="1:20" x14ac:dyDescent="0.25">
      <c r="A32" s="7">
        <v>29</v>
      </c>
      <c r="D32" s="16" t="s">
        <v>37</v>
      </c>
      <c r="E32" s="17"/>
      <c r="F32" s="17"/>
      <c r="G32" s="18"/>
      <c r="H32" s="12">
        <v>179</v>
      </c>
      <c r="I32" s="7" t="s">
        <v>2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4">
        <f t="shared" si="0"/>
        <v>179</v>
      </c>
      <c r="Q32" s="1" t="s">
        <v>14</v>
      </c>
      <c r="R32" s="44">
        <v>20</v>
      </c>
      <c r="S32" s="47">
        <v>50</v>
      </c>
      <c r="T32" s="4"/>
    </row>
    <row r="33" spans="1:20" x14ac:dyDescent="0.25">
      <c r="A33" s="7">
        <v>30</v>
      </c>
      <c r="D33" s="9" t="s">
        <v>38</v>
      </c>
      <c r="E33" s="10"/>
      <c r="F33" s="10"/>
      <c r="G33" s="11"/>
      <c r="H33" s="12">
        <v>134</v>
      </c>
      <c r="I33" s="7" t="s">
        <v>2</v>
      </c>
      <c r="J33" s="3">
        <v>300</v>
      </c>
      <c r="K33" s="3">
        <v>4</v>
      </c>
      <c r="L33" s="3">
        <v>2</v>
      </c>
      <c r="M33" s="3">
        <v>17</v>
      </c>
      <c r="N33" s="3">
        <v>0</v>
      </c>
      <c r="O33" s="3">
        <v>2</v>
      </c>
      <c r="P33" s="4">
        <f t="shared" si="0"/>
        <v>409</v>
      </c>
      <c r="Q33" s="1" t="s">
        <v>14</v>
      </c>
      <c r="R33" s="44">
        <v>50</v>
      </c>
      <c r="S33" s="47">
        <v>100</v>
      </c>
      <c r="T33" s="4"/>
    </row>
    <row r="34" spans="1:20" x14ac:dyDescent="0.25">
      <c r="A34" s="7">
        <v>31</v>
      </c>
      <c r="D34" s="16" t="s">
        <v>39</v>
      </c>
      <c r="E34" s="17"/>
      <c r="F34" s="17"/>
      <c r="G34" s="18"/>
      <c r="H34" s="12">
        <v>52</v>
      </c>
      <c r="I34" s="7" t="s">
        <v>2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4">
        <f t="shared" si="0"/>
        <v>52</v>
      </c>
      <c r="Q34" s="1" t="s">
        <v>14</v>
      </c>
      <c r="R34" s="44">
        <v>20</v>
      </c>
      <c r="S34" s="47">
        <v>50</v>
      </c>
      <c r="T34" s="4"/>
    </row>
    <row r="35" spans="1:20" x14ac:dyDescent="0.25">
      <c r="A35" s="7">
        <v>32</v>
      </c>
      <c r="D35" s="9" t="s">
        <v>40</v>
      </c>
      <c r="E35" s="10"/>
      <c r="F35" s="10"/>
      <c r="G35" s="11"/>
      <c r="H35" s="12">
        <f>'ARALIK 3 HAFTA '!P33</f>
        <v>1075</v>
      </c>
      <c r="I35" s="7" t="s">
        <v>2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4">
        <f t="shared" si="0"/>
        <v>1075</v>
      </c>
      <c r="Q35" s="1" t="s">
        <v>14</v>
      </c>
      <c r="R35" s="44">
        <v>100</v>
      </c>
      <c r="S35" s="46">
        <v>300</v>
      </c>
      <c r="T35" s="4"/>
    </row>
    <row r="36" spans="1:20" x14ac:dyDescent="0.25">
      <c r="A36" s="7">
        <v>33</v>
      </c>
      <c r="D36" s="9" t="s">
        <v>9</v>
      </c>
      <c r="E36" s="10"/>
      <c r="F36" s="10"/>
      <c r="G36" s="11"/>
      <c r="H36" s="83">
        <v>67</v>
      </c>
      <c r="I36" s="7" t="s">
        <v>132</v>
      </c>
      <c r="J36" s="3">
        <v>50</v>
      </c>
      <c r="K36" s="3">
        <v>2</v>
      </c>
      <c r="L36" s="3">
        <v>6</v>
      </c>
      <c r="M36" s="3">
        <v>4</v>
      </c>
      <c r="N36" s="3">
        <v>2</v>
      </c>
      <c r="O36" s="3">
        <v>0</v>
      </c>
      <c r="P36" s="4">
        <f t="shared" si="0"/>
        <v>103</v>
      </c>
      <c r="Q36" s="1" t="s">
        <v>14</v>
      </c>
      <c r="R36" s="44">
        <v>50</v>
      </c>
      <c r="S36" s="47">
        <v>100</v>
      </c>
      <c r="T36" s="4"/>
    </row>
    <row r="37" spans="1:20" x14ac:dyDescent="0.25">
      <c r="A37" s="7">
        <v>34</v>
      </c>
      <c r="D37" s="19" t="s">
        <v>166</v>
      </c>
      <c r="E37" s="20"/>
      <c r="F37" s="20"/>
      <c r="G37" s="21"/>
      <c r="H37" s="69">
        <v>172</v>
      </c>
      <c r="I37" s="7" t="s">
        <v>2</v>
      </c>
      <c r="J37" s="3">
        <v>0</v>
      </c>
      <c r="K37" s="3">
        <v>2</v>
      </c>
      <c r="L37" s="3">
        <v>6</v>
      </c>
      <c r="M37" s="3">
        <v>4</v>
      </c>
      <c r="N37" s="3">
        <v>2</v>
      </c>
      <c r="O37" s="3">
        <v>13</v>
      </c>
      <c r="P37" s="4">
        <f t="shared" si="0"/>
        <v>145</v>
      </c>
      <c r="Q37" s="1" t="s">
        <v>14</v>
      </c>
      <c r="R37" s="44">
        <v>50</v>
      </c>
      <c r="S37" s="46">
        <v>200</v>
      </c>
      <c r="T37" s="4"/>
    </row>
    <row r="38" spans="1:20" x14ac:dyDescent="0.25">
      <c r="A38" s="7">
        <v>35</v>
      </c>
      <c r="D38" s="16" t="s">
        <v>143</v>
      </c>
      <c r="E38" s="17"/>
      <c r="F38" s="17"/>
      <c r="G38" s="18"/>
      <c r="H38" s="12">
        <v>30</v>
      </c>
      <c r="I38" s="7" t="s">
        <v>2</v>
      </c>
      <c r="J38" s="3">
        <v>100</v>
      </c>
      <c r="K38" s="3">
        <v>2</v>
      </c>
      <c r="L38" s="3">
        <v>6</v>
      </c>
      <c r="M38" s="3">
        <v>4</v>
      </c>
      <c r="N38" s="3">
        <v>2</v>
      </c>
      <c r="O38" s="3">
        <v>13</v>
      </c>
      <c r="P38" s="4">
        <f t="shared" si="0"/>
        <v>103</v>
      </c>
      <c r="Q38" s="1" t="s">
        <v>14</v>
      </c>
      <c r="R38" s="44">
        <v>50</v>
      </c>
      <c r="S38" s="46">
        <v>100</v>
      </c>
      <c r="T38" s="4"/>
    </row>
    <row r="39" spans="1:20" x14ac:dyDescent="0.25">
      <c r="A39" s="7">
        <v>36</v>
      </c>
      <c r="D39" s="9" t="s">
        <v>144</v>
      </c>
      <c r="E39" s="10"/>
      <c r="F39" s="10"/>
      <c r="G39" s="11"/>
      <c r="H39" s="12">
        <v>67</v>
      </c>
      <c r="I39" s="7" t="s">
        <v>2</v>
      </c>
      <c r="J39" s="3">
        <v>60</v>
      </c>
      <c r="K39" s="3">
        <v>2</v>
      </c>
      <c r="L39" s="3">
        <v>6</v>
      </c>
      <c r="M39" s="3">
        <v>4</v>
      </c>
      <c r="N39" s="3">
        <v>2</v>
      </c>
      <c r="O39" s="3">
        <v>13</v>
      </c>
      <c r="P39" s="4">
        <f t="shared" si="0"/>
        <v>100</v>
      </c>
      <c r="Q39" s="1" t="s">
        <v>14</v>
      </c>
      <c r="R39" s="44">
        <v>50</v>
      </c>
      <c r="S39" s="47">
        <v>100</v>
      </c>
      <c r="T39" s="4"/>
    </row>
    <row r="40" spans="1:20" x14ac:dyDescent="0.25">
      <c r="A40" s="7">
        <v>37</v>
      </c>
      <c r="D40" s="16" t="s">
        <v>42</v>
      </c>
      <c r="E40" s="17"/>
      <c r="F40" s="17"/>
      <c r="G40" s="18"/>
      <c r="H40" s="12">
        <v>80</v>
      </c>
      <c r="I40" s="7" t="s">
        <v>2</v>
      </c>
      <c r="J40" s="3">
        <v>30</v>
      </c>
      <c r="K40" s="3">
        <v>2</v>
      </c>
      <c r="L40" s="3">
        <v>6</v>
      </c>
      <c r="M40" s="3">
        <v>4</v>
      </c>
      <c r="N40" s="3">
        <v>2</v>
      </c>
      <c r="O40" s="3">
        <v>13</v>
      </c>
      <c r="P40" s="4">
        <f t="shared" si="0"/>
        <v>83</v>
      </c>
      <c r="Q40" s="1" t="s">
        <v>14</v>
      </c>
      <c r="R40" s="44">
        <v>50</v>
      </c>
      <c r="S40" s="47">
        <v>100</v>
      </c>
      <c r="T40" s="4"/>
    </row>
    <row r="41" spans="1:20" x14ac:dyDescent="0.25">
      <c r="A41" s="7">
        <v>38</v>
      </c>
      <c r="D41" s="9" t="s">
        <v>133</v>
      </c>
      <c r="E41" s="10"/>
      <c r="F41" s="10"/>
      <c r="G41" s="11"/>
      <c r="H41" s="12">
        <v>145</v>
      </c>
      <c r="I41" s="7" t="s">
        <v>2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4">
        <f t="shared" si="0"/>
        <v>145</v>
      </c>
      <c r="Q41" s="1" t="s">
        <v>14</v>
      </c>
      <c r="R41" s="44">
        <v>20</v>
      </c>
      <c r="S41" s="47">
        <v>50</v>
      </c>
      <c r="T41" s="4"/>
    </row>
    <row r="42" spans="1:20" x14ac:dyDescent="0.25">
      <c r="A42" s="7">
        <v>39</v>
      </c>
      <c r="D42" s="16" t="s">
        <v>145</v>
      </c>
      <c r="E42" s="17"/>
      <c r="F42" s="17"/>
      <c r="G42" s="18"/>
      <c r="H42" s="12">
        <v>145</v>
      </c>
      <c r="I42" s="7" t="s">
        <v>2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4">
        <f t="shared" si="0"/>
        <v>145</v>
      </c>
      <c r="Q42" s="1" t="s">
        <v>14</v>
      </c>
      <c r="R42" s="44">
        <v>20</v>
      </c>
      <c r="S42" s="46">
        <v>50</v>
      </c>
      <c r="T42" s="4"/>
    </row>
    <row r="43" spans="1:20" x14ac:dyDescent="0.25">
      <c r="A43" s="7">
        <v>40</v>
      </c>
      <c r="D43" s="9" t="s">
        <v>71</v>
      </c>
      <c r="E43" s="10"/>
      <c r="F43" s="10"/>
      <c r="G43" s="11"/>
      <c r="H43" s="12">
        <v>0</v>
      </c>
      <c r="I43" s="7" t="s">
        <v>2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4">
        <f t="shared" si="0"/>
        <v>0</v>
      </c>
      <c r="Q43" s="1" t="s">
        <v>14</v>
      </c>
      <c r="R43" s="44">
        <v>5</v>
      </c>
      <c r="S43" s="47">
        <v>10</v>
      </c>
      <c r="T43" s="4"/>
    </row>
    <row r="44" spans="1:20" x14ac:dyDescent="0.25">
      <c r="A44" s="7">
        <v>41</v>
      </c>
      <c r="D44" s="16" t="s">
        <v>10</v>
      </c>
      <c r="E44" s="17"/>
      <c r="F44" s="17"/>
      <c r="G44" s="18"/>
      <c r="H44" s="12">
        <v>150</v>
      </c>
      <c r="I44" s="7" t="s">
        <v>2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4">
        <f t="shared" si="0"/>
        <v>150</v>
      </c>
      <c r="Q44" s="1" t="s">
        <v>14</v>
      </c>
      <c r="R44" s="44">
        <v>40</v>
      </c>
      <c r="S44" s="47">
        <v>100</v>
      </c>
      <c r="T44" s="4"/>
    </row>
    <row r="45" spans="1:20" x14ac:dyDescent="0.25">
      <c r="A45" s="7">
        <v>42</v>
      </c>
      <c r="D45" s="9" t="s">
        <v>45</v>
      </c>
      <c r="E45" s="10"/>
      <c r="F45" s="10"/>
      <c r="G45" s="11"/>
      <c r="H45" s="12">
        <v>82</v>
      </c>
      <c r="I45" s="7" t="s">
        <v>2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4">
        <f t="shared" si="0"/>
        <v>82</v>
      </c>
      <c r="Q45" s="1" t="s">
        <v>14</v>
      </c>
      <c r="R45" s="44">
        <v>20</v>
      </c>
      <c r="S45" s="47">
        <v>50</v>
      </c>
      <c r="T45" s="4"/>
    </row>
    <row r="46" spans="1:20" x14ac:dyDescent="0.25">
      <c r="A46" s="7">
        <v>43</v>
      </c>
      <c r="D46" s="16" t="s">
        <v>46</v>
      </c>
      <c r="E46" s="17"/>
      <c r="F46" s="17"/>
      <c r="G46" s="18"/>
      <c r="H46" s="12">
        <v>64</v>
      </c>
      <c r="I46" s="7" t="s">
        <v>2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4">
        <f t="shared" si="0"/>
        <v>64</v>
      </c>
      <c r="Q46" s="1" t="s">
        <v>14</v>
      </c>
      <c r="R46" s="44">
        <v>20</v>
      </c>
      <c r="S46" s="47">
        <v>50</v>
      </c>
      <c r="T46" s="4"/>
    </row>
    <row r="47" spans="1:20" x14ac:dyDescent="0.25">
      <c r="A47" s="7">
        <v>44</v>
      </c>
      <c r="D47" s="9" t="s">
        <v>47</v>
      </c>
      <c r="E47" s="10"/>
      <c r="F47" s="10"/>
      <c r="G47" s="11"/>
      <c r="H47" s="12">
        <v>62</v>
      </c>
      <c r="I47" s="7" t="s">
        <v>2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4">
        <f t="shared" si="0"/>
        <v>62</v>
      </c>
      <c r="Q47" s="1" t="s">
        <v>14</v>
      </c>
      <c r="R47" s="44">
        <v>20</v>
      </c>
      <c r="S47" s="47">
        <v>50</v>
      </c>
      <c r="T47" s="4"/>
    </row>
    <row r="48" spans="1:20" x14ac:dyDescent="0.25">
      <c r="A48" s="7">
        <v>45</v>
      </c>
      <c r="D48" s="16" t="s">
        <v>79</v>
      </c>
      <c r="E48" s="17"/>
      <c r="F48" s="17"/>
      <c r="G48" s="18"/>
      <c r="H48" s="12">
        <v>7</v>
      </c>
      <c r="I48" s="7" t="s">
        <v>2</v>
      </c>
      <c r="J48" s="3">
        <v>0</v>
      </c>
      <c r="K48" s="3">
        <v>0</v>
      </c>
      <c r="L48" s="3">
        <v>0</v>
      </c>
      <c r="M48" s="3">
        <v>5</v>
      </c>
      <c r="N48" s="3">
        <v>0</v>
      </c>
      <c r="O48" s="3">
        <v>0</v>
      </c>
      <c r="P48" s="4">
        <f t="shared" si="0"/>
        <v>2</v>
      </c>
      <c r="Q48" s="1" t="s">
        <v>14</v>
      </c>
      <c r="R48" s="44">
        <v>10</v>
      </c>
      <c r="S48" s="47">
        <v>20</v>
      </c>
      <c r="T48" s="4"/>
    </row>
    <row r="49" spans="1:20" x14ac:dyDescent="0.25">
      <c r="A49" s="7">
        <v>46</v>
      </c>
      <c r="D49" s="9" t="s">
        <v>48</v>
      </c>
      <c r="E49" s="10"/>
      <c r="F49" s="10"/>
      <c r="G49" s="11"/>
      <c r="H49" s="12">
        <v>72</v>
      </c>
      <c r="I49" s="7" t="s">
        <v>2</v>
      </c>
      <c r="J49" s="3">
        <v>0</v>
      </c>
      <c r="K49" s="3">
        <v>0</v>
      </c>
      <c r="L49" s="3">
        <v>0</v>
      </c>
      <c r="M49" s="3">
        <v>5</v>
      </c>
      <c r="N49" s="3">
        <v>0</v>
      </c>
      <c r="O49" s="3">
        <v>0</v>
      </c>
      <c r="P49" s="4">
        <f t="shared" si="0"/>
        <v>67</v>
      </c>
      <c r="Q49" s="1" t="s">
        <v>14</v>
      </c>
      <c r="R49" s="44">
        <v>10</v>
      </c>
      <c r="S49" s="47">
        <v>20</v>
      </c>
      <c r="T49" s="4" t="s">
        <v>14</v>
      </c>
    </row>
    <row r="50" spans="1:20" x14ac:dyDescent="0.25">
      <c r="A50" s="7">
        <v>47</v>
      </c>
      <c r="D50" s="16" t="s">
        <v>49</v>
      </c>
      <c r="E50" s="17"/>
      <c r="F50" s="17"/>
      <c r="G50" s="18"/>
      <c r="H50" s="12">
        <v>114</v>
      </c>
      <c r="I50" s="7" t="s">
        <v>2</v>
      </c>
      <c r="J50" s="3">
        <v>0</v>
      </c>
      <c r="K50" s="3">
        <v>0</v>
      </c>
      <c r="L50" s="3">
        <v>0</v>
      </c>
      <c r="M50" s="3">
        <v>5</v>
      </c>
      <c r="N50" s="3">
        <v>0</v>
      </c>
      <c r="O50" s="3">
        <v>0</v>
      </c>
      <c r="P50" s="4">
        <f t="shared" si="0"/>
        <v>109</v>
      </c>
      <c r="Q50" s="1" t="s">
        <v>14</v>
      </c>
      <c r="R50" s="44">
        <v>10</v>
      </c>
      <c r="S50" s="47">
        <v>20</v>
      </c>
      <c r="T50" s="4"/>
    </row>
    <row r="51" spans="1:20" x14ac:dyDescent="0.25">
      <c r="A51" s="7">
        <v>48</v>
      </c>
      <c r="D51" s="9" t="s">
        <v>169</v>
      </c>
      <c r="E51" s="10"/>
      <c r="F51" s="10"/>
      <c r="G51" s="11"/>
      <c r="H51" s="12">
        <v>45</v>
      </c>
      <c r="I51" s="7" t="s">
        <v>1</v>
      </c>
      <c r="J51" s="3">
        <v>0</v>
      </c>
      <c r="K51" s="3">
        <v>0</v>
      </c>
      <c r="L51" s="3">
        <v>0</v>
      </c>
      <c r="M51" s="3">
        <v>15</v>
      </c>
      <c r="N51" s="3">
        <v>0</v>
      </c>
      <c r="O51" s="3">
        <v>0</v>
      </c>
      <c r="P51" s="4">
        <f t="shared" si="0"/>
        <v>30</v>
      </c>
      <c r="Q51" s="1" t="s">
        <v>14</v>
      </c>
      <c r="R51" s="44">
        <v>20</v>
      </c>
      <c r="S51" s="47">
        <v>100</v>
      </c>
      <c r="T51" s="4"/>
    </row>
    <row r="52" spans="1:20" x14ac:dyDescent="0.25">
      <c r="A52" s="7">
        <v>49</v>
      </c>
      <c r="D52" s="88"/>
      <c r="E52" s="89"/>
      <c r="F52" s="90" t="s">
        <v>111</v>
      </c>
      <c r="G52" s="87"/>
      <c r="H52" s="12">
        <v>16</v>
      </c>
      <c r="I52" s="7" t="s">
        <v>2</v>
      </c>
      <c r="J52" s="3">
        <v>250</v>
      </c>
      <c r="K52" s="3">
        <v>0</v>
      </c>
      <c r="L52" s="3">
        <v>0</v>
      </c>
      <c r="M52" s="3">
        <v>5</v>
      </c>
      <c r="N52" s="3">
        <v>0</v>
      </c>
      <c r="O52" s="3">
        <v>0</v>
      </c>
      <c r="P52" s="4">
        <f t="shared" si="0"/>
        <v>261</v>
      </c>
      <c r="Q52" s="1" t="s">
        <v>14</v>
      </c>
      <c r="R52" s="44">
        <v>30</v>
      </c>
      <c r="S52" s="47">
        <v>100</v>
      </c>
      <c r="T52" s="4"/>
    </row>
    <row r="53" spans="1:20" x14ac:dyDescent="0.25">
      <c r="A53" s="7">
        <v>50</v>
      </c>
      <c r="D53" s="9" t="s">
        <v>51</v>
      </c>
      <c r="E53" s="10"/>
      <c r="F53" s="10"/>
      <c r="G53" s="11"/>
      <c r="H53" s="12">
        <v>90</v>
      </c>
      <c r="I53" s="7" t="s">
        <v>2</v>
      </c>
      <c r="J53" s="3">
        <v>150</v>
      </c>
      <c r="K53" s="3">
        <v>90</v>
      </c>
      <c r="L53" s="3">
        <v>0</v>
      </c>
      <c r="M53" s="3">
        <v>100</v>
      </c>
      <c r="N53" s="3">
        <v>0</v>
      </c>
      <c r="O53" s="3">
        <v>4</v>
      </c>
      <c r="P53" s="4">
        <f t="shared" si="0"/>
        <v>46</v>
      </c>
      <c r="Q53" s="1" t="s">
        <v>14</v>
      </c>
      <c r="R53" s="44">
        <v>20</v>
      </c>
      <c r="S53" s="47">
        <v>50</v>
      </c>
      <c r="T53" s="4"/>
    </row>
    <row r="54" spans="1:20" x14ac:dyDescent="0.25">
      <c r="A54" s="7">
        <v>51</v>
      </c>
      <c r="D54" s="16" t="s">
        <v>52</v>
      </c>
      <c r="E54" s="17"/>
      <c r="F54" s="17"/>
      <c r="G54" s="18"/>
      <c r="H54" s="12">
        <v>92</v>
      </c>
      <c r="I54" s="7" t="s">
        <v>2</v>
      </c>
      <c r="J54" s="3">
        <v>150</v>
      </c>
      <c r="K54" s="3">
        <v>92</v>
      </c>
      <c r="L54" s="3">
        <v>0</v>
      </c>
      <c r="M54" s="3">
        <v>86</v>
      </c>
      <c r="N54" s="3">
        <v>5</v>
      </c>
      <c r="O54" s="3">
        <v>4</v>
      </c>
      <c r="P54" s="4">
        <f t="shared" si="0"/>
        <v>55</v>
      </c>
      <c r="Q54" s="1" t="s">
        <v>14</v>
      </c>
      <c r="R54" s="44">
        <v>20</v>
      </c>
      <c r="S54" s="47">
        <v>50</v>
      </c>
      <c r="T54" s="4" t="s">
        <v>14</v>
      </c>
    </row>
    <row r="55" spans="1:20" x14ac:dyDescent="0.25">
      <c r="A55" s="7">
        <v>52</v>
      </c>
      <c r="D55" s="9" t="s">
        <v>53</v>
      </c>
      <c r="E55" s="10"/>
      <c r="F55" s="10"/>
      <c r="G55" s="11"/>
      <c r="H55" s="12">
        <v>50</v>
      </c>
      <c r="I55" s="7" t="s">
        <v>2</v>
      </c>
      <c r="J55" s="3">
        <v>150</v>
      </c>
      <c r="K55" s="3">
        <v>50</v>
      </c>
      <c r="L55" s="3">
        <v>0</v>
      </c>
      <c r="M55" s="3">
        <v>133</v>
      </c>
      <c r="N55" s="3">
        <v>5</v>
      </c>
      <c r="O55" s="3">
        <v>4</v>
      </c>
      <c r="P55" s="4">
        <f t="shared" si="0"/>
        <v>8</v>
      </c>
      <c r="Q55" s="1" t="s">
        <v>14</v>
      </c>
      <c r="R55" s="44">
        <v>20</v>
      </c>
      <c r="S55" s="47">
        <v>50</v>
      </c>
      <c r="T55" s="4"/>
    </row>
    <row r="56" spans="1:20" x14ac:dyDescent="0.25">
      <c r="A56" s="7">
        <v>53</v>
      </c>
      <c r="D56" s="70" t="s">
        <v>54</v>
      </c>
      <c r="E56" s="71"/>
      <c r="F56" s="71"/>
      <c r="G56" s="72"/>
      <c r="H56" s="12">
        <v>660</v>
      </c>
      <c r="I56" s="7" t="s">
        <v>1</v>
      </c>
      <c r="J56" s="3">
        <v>1440</v>
      </c>
      <c r="K56" s="3">
        <v>120</v>
      </c>
      <c r="L56" s="3">
        <v>60</v>
      </c>
      <c r="M56" s="3">
        <v>120</v>
      </c>
      <c r="N56" s="3">
        <v>105</v>
      </c>
      <c r="O56" s="3">
        <v>135</v>
      </c>
      <c r="P56" s="4">
        <f t="shared" si="0"/>
        <v>1560</v>
      </c>
      <c r="Q56" s="1" t="s">
        <v>120</v>
      </c>
      <c r="R56" s="44">
        <v>250</v>
      </c>
      <c r="S56" s="47">
        <v>750</v>
      </c>
      <c r="T56" s="4"/>
    </row>
    <row r="57" spans="1:20" x14ac:dyDescent="0.25">
      <c r="A57" s="7">
        <v>54</v>
      </c>
      <c r="D57" s="16" t="s">
        <v>61</v>
      </c>
      <c r="E57" s="17"/>
      <c r="F57" s="17"/>
      <c r="G57" s="18"/>
      <c r="H57" s="12">
        <v>246</v>
      </c>
      <c r="I57" s="7" t="s">
        <v>2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  <c r="P57" s="4">
        <f t="shared" si="0"/>
        <v>246</v>
      </c>
      <c r="Q57" s="1" t="s">
        <v>14</v>
      </c>
      <c r="R57" s="44">
        <v>10</v>
      </c>
      <c r="S57" s="46">
        <v>200</v>
      </c>
      <c r="T57" s="4"/>
    </row>
    <row r="58" spans="1:20" x14ac:dyDescent="0.25">
      <c r="A58" s="7">
        <v>55</v>
      </c>
      <c r="D58" s="9" t="s">
        <v>62</v>
      </c>
      <c r="E58" s="10"/>
      <c r="F58" s="10"/>
      <c r="G58" s="11"/>
      <c r="H58" s="12">
        <v>186</v>
      </c>
      <c r="I58" s="7" t="s">
        <v>2</v>
      </c>
      <c r="J58" s="3">
        <v>936</v>
      </c>
      <c r="K58" s="3">
        <v>64</v>
      </c>
      <c r="L58" s="3">
        <v>57</v>
      </c>
      <c r="M58" s="3">
        <v>194</v>
      </c>
      <c r="N58" s="3">
        <v>89</v>
      </c>
      <c r="O58" s="3">
        <v>50</v>
      </c>
      <c r="P58" s="4">
        <f t="shared" si="0"/>
        <v>668</v>
      </c>
      <c r="Q58" s="1" t="s">
        <v>14</v>
      </c>
      <c r="R58" s="44">
        <v>200</v>
      </c>
      <c r="S58" s="47">
        <v>1000</v>
      </c>
      <c r="T58" s="4"/>
    </row>
    <row r="59" spans="1:20" x14ac:dyDescent="0.25">
      <c r="A59" s="7">
        <v>56</v>
      </c>
      <c r="D59" s="16" t="s">
        <v>13</v>
      </c>
      <c r="E59" s="17"/>
      <c r="F59" s="17"/>
      <c r="G59" s="18"/>
      <c r="H59" s="12">
        <v>106</v>
      </c>
      <c r="I59" s="7" t="s">
        <v>2</v>
      </c>
      <c r="J59" s="3">
        <v>300</v>
      </c>
      <c r="K59" s="3">
        <v>0</v>
      </c>
      <c r="L59" s="3">
        <v>0</v>
      </c>
      <c r="M59" s="3">
        <v>5</v>
      </c>
      <c r="N59" s="3">
        <v>14</v>
      </c>
      <c r="O59" s="3">
        <v>0</v>
      </c>
      <c r="P59" s="4">
        <f t="shared" si="0"/>
        <v>387</v>
      </c>
      <c r="Q59" s="1" t="s">
        <v>14</v>
      </c>
      <c r="R59" s="44">
        <v>100</v>
      </c>
      <c r="S59" s="47">
        <v>300</v>
      </c>
      <c r="T59" s="4"/>
    </row>
    <row r="60" spans="1:20" x14ac:dyDescent="0.25">
      <c r="A60" s="7">
        <v>57</v>
      </c>
      <c r="D60" s="9" t="s">
        <v>72</v>
      </c>
      <c r="E60" s="10"/>
      <c r="F60" s="10"/>
      <c r="G60" s="11"/>
      <c r="H60" s="12">
        <v>150</v>
      </c>
      <c r="I60" s="7" t="s">
        <v>2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16</v>
      </c>
      <c r="P60" s="4">
        <f t="shared" si="0"/>
        <v>134</v>
      </c>
      <c r="Q60" s="1" t="s">
        <v>14</v>
      </c>
      <c r="R60" s="44">
        <v>100</v>
      </c>
      <c r="S60" s="47">
        <v>300</v>
      </c>
      <c r="T60" s="4"/>
    </row>
    <row r="61" spans="1:20" x14ac:dyDescent="0.25">
      <c r="A61" s="7">
        <v>58</v>
      </c>
      <c r="D61" s="16" t="s">
        <v>63</v>
      </c>
      <c r="E61" s="17"/>
      <c r="F61" s="17"/>
      <c r="G61" s="18"/>
      <c r="H61" s="12">
        <v>26</v>
      </c>
      <c r="I61" s="7" t="s">
        <v>2</v>
      </c>
      <c r="J61" s="3">
        <v>0</v>
      </c>
      <c r="K61" s="3">
        <v>6</v>
      </c>
      <c r="L61" s="3">
        <v>0</v>
      </c>
      <c r="M61" s="3">
        <v>0</v>
      </c>
      <c r="N61" s="3">
        <v>16</v>
      </c>
      <c r="O61" s="3">
        <v>0</v>
      </c>
      <c r="P61" s="4">
        <f t="shared" si="0"/>
        <v>4</v>
      </c>
      <c r="Q61" s="1" t="s">
        <v>14</v>
      </c>
      <c r="R61" s="44">
        <v>100</v>
      </c>
      <c r="S61" s="47">
        <v>300</v>
      </c>
      <c r="T61" s="4"/>
    </row>
    <row r="62" spans="1:20" x14ac:dyDescent="0.25">
      <c r="A62" s="7">
        <v>59</v>
      </c>
      <c r="D62" s="9" t="s">
        <v>77</v>
      </c>
      <c r="E62" s="10"/>
      <c r="F62" s="10"/>
      <c r="G62" s="11"/>
      <c r="H62" s="12">
        <v>510</v>
      </c>
      <c r="I62" s="7" t="s">
        <v>2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4">
        <f t="shared" si="0"/>
        <v>510</v>
      </c>
      <c r="Q62" s="1" t="s">
        <v>14</v>
      </c>
      <c r="R62" s="44">
        <v>100</v>
      </c>
      <c r="S62" s="47">
        <v>300</v>
      </c>
      <c r="T62" s="4"/>
    </row>
    <row r="63" spans="1:20" x14ac:dyDescent="0.25">
      <c r="A63" s="7">
        <v>60</v>
      </c>
      <c r="D63" s="16" t="s">
        <v>130</v>
      </c>
      <c r="E63" s="17"/>
      <c r="F63" s="17"/>
      <c r="G63" s="18"/>
      <c r="H63" s="12">
        <v>230</v>
      </c>
      <c r="I63" s="7" t="s">
        <v>2</v>
      </c>
      <c r="J63" s="3">
        <v>0</v>
      </c>
      <c r="K63" s="3">
        <v>0</v>
      </c>
      <c r="L63" s="3">
        <v>0</v>
      </c>
      <c r="M63" s="3">
        <v>3</v>
      </c>
      <c r="N63" s="3">
        <v>7</v>
      </c>
      <c r="O63" s="3">
        <v>0</v>
      </c>
      <c r="P63" s="4">
        <f t="shared" si="0"/>
        <v>220</v>
      </c>
      <c r="Q63" s="1" t="s">
        <v>14</v>
      </c>
      <c r="R63" s="44">
        <v>20</v>
      </c>
      <c r="S63" s="46">
        <v>200</v>
      </c>
      <c r="T63" s="4"/>
    </row>
    <row r="64" spans="1:20" x14ac:dyDescent="0.25">
      <c r="A64" s="7">
        <v>61</v>
      </c>
      <c r="D64" s="26" t="s">
        <v>146</v>
      </c>
      <c r="E64" s="27"/>
      <c r="F64" s="27"/>
      <c r="G64" s="28"/>
      <c r="H64" s="12">
        <v>43</v>
      </c>
      <c r="I64" s="30" t="s">
        <v>2</v>
      </c>
      <c r="J64" s="3">
        <v>0</v>
      </c>
      <c r="K64" s="3">
        <v>4</v>
      </c>
      <c r="L64" s="3">
        <v>2</v>
      </c>
      <c r="M64" s="3">
        <v>14</v>
      </c>
      <c r="N64" s="3">
        <v>0</v>
      </c>
      <c r="O64" s="3">
        <v>2</v>
      </c>
      <c r="P64" s="4">
        <f t="shared" si="0"/>
        <v>21</v>
      </c>
      <c r="Q64" s="1" t="s">
        <v>14</v>
      </c>
      <c r="R64" s="44">
        <v>50</v>
      </c>
      <c r="S64" s="47">
        <v>100</v>
      </c>
      <c r="T64" s="4"/>
    </row>
    <row r="65" spans="1:20" x14ac:dyDescent="0.25">
      <c r="A65" s="7">
        <v>62</v>
      </c>
      <c r="D65" s="16" t="s">
        <v>65</v>
      </c>
      <c r="E65" s="17"/>
      <c r="F65" s="17"/>
      <c r="G65" s="18"/>
      <c r="H65" s="12">
        <v>59</v>
      </c>
      <c r="I65" s="7" t="s">
        <v>2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2</v>
      </c>
      <c r="P65" s="4">
        <f t="shared" si="0"/>
        <v>57</v>
      </c>
      <c r="Q65" s="1" t="s">
        <v>14</v>
      </c>
      <c r="R65" s="44">
        <v>10</v>
      </c>
      <c r="S65" s="46">
        <v>50</v>
      </c>
      <c r="T65" s="4"/>
    </row>
    <row r="66" spans="1:20" x14ac:dyDescent="0.25">
      <c r="A66" s="7">
        <v>63</v>
      </c>
      <c r="D66" s="9" t="s">
        <v>66</v>
      </c>
      <c r="E66" s="10"/>
      <c r="F66" s="10"/>
      <c r="G66" s="11"/>
      <c r="H66" s="12">
        <v>50</v>
      </c>
      <c r="I66" s="7" t="s">
        <v>2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  <c r="P66" s="4">
        <f t="shared" si="0"/>
        <v>50</v>
      </c>
      <c r="Q66" s="1" t="s">
        <v>14</v>
      </c>
      <c r="R66" s="44">
        <v>300</v>
      </c>
      <c r="S66" s="47">
        <v>1000</v>
      </c>
      <c r="T66" s="4"/>
    </row>
    <row r="67" spans="1:20" x14ac:dyDescent="0.25">
      <c r="A67" s="7">
        <v>64</v>
      </c>
      <c r="D67" s="19" t="s">
        <v>165</v>
      </c>
      <c r="E67" s="20"/>
      <c r="F67" s="20"/>
      <c r="G67" s="21"/>
      <c r="H67" s="12">
        <v>95</v>
      </c>
      <c r="I67" s="7" t="s">
        <v>2</v>
      </c>
      <c r="J67" s="3">
        <v>0</v>
      </c>
      <c r="K67" s="3">
        <v>0</v>
      </c>
      <c r="L67" s="3">
        <v>0</v>
      </c>
      <c r="M67" s="3">
        <v>0</v>
      </c>
      <c r="N67" s="3">
        <v>7</v>
      </c>
      <c r="O67" s="3">
        <v>0</v>
      </c>
      <c r="P67" s="4">
        <f t="shared" si="0"/>
        <v>88</v>
      </c>
      <c r="Q67" s="1" t="s">
        <v>14</v>
      </c>
      <c r="R67" s="44">
        <v>50</v>
      </c>
      <c r="S67" s="47">
        <v>150</v>
      </c>
      <c r="T67" s="4"/>
    </row>
    <row r="68" spans="1:20" x14ac:dyDescent="0.25">
      <c r="A68" s="7">
        <v>65</v>
      </c>
      <c r="D68" s="22" t="s">
        <v>74</v>
      </c>
      <c r="E68" s="10"/>
      <c r="F68" s="10"/>
      <c r="G68" s="11"/>
      <c r="H68" s="12">
        <v>80</v>
      </c>
      <c r="I68" s="8" t="s">
        <v>75</v>
      </c>
      <c r="J68" s="3">
        <v>0</v>
      </c>
      <c r="K68" s="3">
        <v>0</v>
      </c>
      <c r="L68" s="3">
        <v>32</v>
      </c>
      <c r="M68" s="3">
        <v>0</v>
      </c>
      <c r="N68" s="3">
        <v>0</v>
      </c>
      <c r="O68" s="3">
        <v>0</v>
      </c>
      <c r="P68" s="4">
        <f t="shared" ref="P68:P89" si="1">+H68+J68-K68-L68-M68-N68-O68</f>
        <v>48</v>
      </c>
      <c r="Q68" s="1" t="s">
        <v>91</v>
      </c>
      <c r="R68" s="44">
        <v>65</v>
      </c>
      <c r="S68" s="47">
        <v>150</v>
      </c>
      <c r="T68" s="4"/>
    </row>
    <row r="69" spans="1:20" x14ac:dyDescent="0.25">
      <c r="A69" s="7">
        <v>66</v>
      </c>
      <c r="C69" s="1" t="s">
        <v>14</v>
      </c>
      <c r="D69" s="22" t="s">
        <v>76</v>
      </c>
      <c r="E69" s="10"/>
      <c r="F69" s="10"/>
      <c r="G69" s="11"/>
      <c r="H69" s="12">
        <v>240</v>
      </c>
      <c r="I69" s="8" t="s">
        <v>2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4">
        <f t="shared" si="1"/>
        <v>240</v>
      </c>
      <c r="Q69" s="1" t="s">
        <v>14</v>
      </c>
      <c r="R69" s="44">
        <v>50</v>
      </c>
      <c r="S69" s="47">
        <v>100</v>
      </c>
      <c r="T69" s="4"/>
    </row>
    <row r="70" spans="1:20" x14ac:dyDescent="0.25">
      <c r="A70" s="7">
        <v>67</v>
      </c>
      <c r="D70" s="25" t="s">
        <v>147</v>
      </c>
      <c r="H70" s="12">
        <v>44</v>
      </c>
      <c r="I70" s="30" t="s">
        <v>2</v>
      </c>
      <c r="J70" s="3">
        <v>300</v>
      </c>
      <c r="K70" s="3">
        <v>4</v>
      </c>
      <c r="L70" s="3">
        <v>2</v>
      </c>
      <c r="M70" s="3">
        <v>15</v>
      </c>
      <c r="N70" s="3">
        <v>0</v>
      </c>
      <c r="O70" s="3">
        <v>2</v>
      </c>
      <c r="P70" s="4">
        <f t="shared" si="1"/>
        <v>321</v>
      </c>
      <c r="Q70" s="1" t="s">
        <v>14</v>
      </c>
      <c r="R70" s="44">
        <v>50</v>
      </c>
      <c r="S70" s="47">
        <v>100</v>
      </c>
      <c r="T70" s="4"/>
    </row>
    <row r="71" spans="1:20" x14ac:dyDescent="0.25">
      <c r="A71" s="7">
        <v>68</v>
      </c>
      <c r="D71" s="26" t="s">
        <v>80</v>
      </c>
      <c r="E71" s="27"/>
      <c r="F71" s="27"/>
      <c r="G71" s="28"/>
      <c r="H71" s="12">
        <v>105</v>
      </c>
      <c r="I71" s="8" t="s">
        <v>2</v>
      </c>
      <c r="J71" s="3">
        <v>0</v>
      </c>
      <c r="K71" s="3">
        <v>0</v>
      </c>
      <c r="L71" s="3">
        <v>4</v>
      </c>
      <c r="M71" s="3">
        <v>0</v>
      </c>
      <c r="N71" s="3">
        <v>0</v>
      </c>
      <c r="O71" s="3">
        <v>3</v>
      </c>
      <c r="P71" s="4">
        <f t="shared" si="1"/>
        <v>98</v>
      </c>
      <c r="Q71" s="1" t="s">
        <v>14</v>
      </c>
      <c r="R71" s="44">
        <v>20</v>
      </c>
      <c r="S71" s="46">
        <v>200</v>
      </c>
      <c r="T71" s="4"/>
    </row>
    <row r="72" spans="1:20" x14ac:dyDescent="0.25">
      <c r="A72" s="7">
        <v>69</v>
      </c>
      <c r="D72" s="26" t="s">
        <v>84</v>
      </c>
      <c r="E72" s="27"/>
      <c r="F72" s="27"/>
      <c r="G72" s="28"/>
      <c r="H72" s="12">
        <v>0</v>
      </c>
      <c r="I72" s="8" t="s">
        <v>2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  <c r="P72" s="4">
        <f t="shared" si="1"/>
        <v>0</v>
      </c>
      <c r="Q72" s="1" t="s">
        <v>14</v>
      </c>
      <c r="R72" s="44">
        <v>100</v>
      </c>
      <c r="S72" s="47">
        <v>200</v>
      </c>
      <c r="T72" s="4"/>
    </row>
    <row r="73" spans="1:20" x14ac:dyDescent="0.25">
      <c r="A73" s="7">
        <v>70</v>
      </c>
      <c r="D73" s="26" t="s">
        <v>167</v>
      </c>
      <c r="E73" s="27"/>
      <c r="F73" s="27"/>
      <c r="G73" s="28"/>
      <c r="H73" s="12">
        <v>105</v>
      </c>
      <c r="I73" s="8" t="s">
        <v>2</v>
      </c>
      <c r="J73" s="3">
        <v>0</v>
      </c>
      <c r="K73" s="3">
        <v>0</v>
      </c>
      <c r="L73" s="3">
        <v>4</v>
      </c>
      <c r="M73" s="3">
        <v>0</v>
      </c>
      <c r="N73" s="3">
        <v>0</v>
      </c>
      <c r="O73" s="3">
        <v>3</v>
      </c>
      <c r="P73" s="4">
        <f t="shared" si="1"/>
        <v>98</v>
      </c>
      <c r="R73" s="44">
        <v>20</v>
      </c>
      <c r="S73" s="46">
        <v>200</v>
      </c>
      <c r="T73" s="4"/>
    </row>
    <row r="74" spans="1:20" x14ac:dyDescent="0.25">
      <c r="A74" s="7">
        <v>71</v>
      </c>
      <c r="D74" s="37" t="s">
        <v>14</v>
      </c>
      <c r="E74" s="17"/>
      <c r="F74" s="33"/>
      <c r="G74" s="33"/>
      <c r="H74" s="12">
        <v>0</v>
      </c>
      <c r="I74" s="8" t="s">
        <v>14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4">
        <f t="shared" si="1"/>
        <v>0</v>
      </c>
      <c r="Q74" s="1" t="s">
        <v>14</v>
      </c>
      <c r="R74" s="44">
        <v>100</v>
      </c>
      <c r="S74" s="47">
        <v>500</v>
      </c>
      <c r="T74" s="4"/>
    </row>
    <row r="75" spans="1:20" x14ac:dyDescent="0.25">
      <c r="A75" s="7">
        <v>72</v>
      </c>
      <c r="D75" s="22" t="s">
        <v>100</v>
      </c>
      <c r="E75" s="10"/>
      <c r="F75" s="10"/>
      <c r="G75" s="28"/>
      <c r="H75" s="12">
        <v>0</v>
      </c>
      <c r="I75" s="8" t="s">
        <v>2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4">
        <f t="shared" si="1"/>
        <v>0</v>
      </c>
      <c r="R75" s="44">
        <v>0</v>
      </c>
      <c r="S75" s="46"/>
      <c r="T75" s="4"/>
    </row>
    <row r="76" spans="1:20" x14ac:dyDescent="0.25">
      <c r="A76" s="7">
        <v>73</v>
      </c>
      <c r="D76" s="37" t="s">
        <v>113</v>
      </c>
      <c r="E76" s="17"/>
      <c r="F76" s="17"/>
      <c r="G76" s="33"/>
      <c r="H76" s="12">
        <v>925</v>
      </c>
      <c r="I76" s="8" t="s">
        <v>97</v>
      </c>
      <c r="J76" s="3">
        <v>0</v>
      </c>
      <c r="K76" s="3">
        <v>42</v>
      </c>
      <c r="L76" s="3">
        <v>69</v>
      </c>
      <c r="M76" s="3">
        <v>97</v>
      </c>
      <c r="N76" s="3">
        <v>56</v>
      </c>
      <c r="O76" s="3">
        <v>38</v>
      </c>
      <c r="P76" s="4">
        <f t="shared" si="1"/>
        <v>623</v>
      </c>
      <c r="Q76" s="65" t="s">
        <v>121</v>
      </c>
      <c r="R76" s="44">
        <v>30</v>
      </c>
      <c r="S76" s="47">
        <v>100</v>
      </c>
      <c r="T76" s="4"/>
    </row>
    <row r="77" spans="1:20" x14ac:dyDescent="0.25">
      <c r="A77" s="7">
        <v>74</v>
      </c>
      <c r="D77" s="22" t="s">
        <v>103</v>
      </c>
      <c r="E77" s="10"/>
      <c r="F77" s="10"/>
      <c r="G77" s="28"/>
      <c r="H77" s="12">
        <v>120</v>
      </c>
      <c r="I77" s="8" t="s">
        <v>2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4">
        <f t="shared" si="1"/>
        <v>120</v>
      </c>
      <c r="R77" s="44">
        <v>60</v>
      </c>
      <c r="S77" s="47">
        <v>100</v>
      </c>
      <c r="T77" s="4"/>
    </row>
    <row r="78" spans="1:20" x14ac:dyDescent="0.25">
      <c r="A78" s="8">
        <v>75</v>
      </c>
      <c r="D78" s="49" t="s">
        <v>108</v>
      </c>
      <c r="E78" s="20"/>
      <c r="F78" s="20"/>
      <c r="G78" s="20"/>
      <c r="H78" s="12">
        <v>11500</v>
      </c>
      <c r="I78" s="8" t="s">
        <v>110</v>
      </c>
      <c r="J78" s="3">
        <v>0</v>
      </c>
      <c r="K78" s="3">
        <v>0</v>
      </c>
      <c r="L78" s="3">
        <v>1000</v>
      </c>
      <c r="M78" s="3">
        <v>1000</v>
      </c>
      <c r="N78" s="3">
        <v>1000</v>
      </c>
      <c r="O78" s="3">
        <v>5500</v>
      </c>
      <c r="P78" s="4">
        <f t="shared" si="1"/>
        <v>3000</v>
      </c>
      <c r="R78" s="43">
        <v>1000</v>
      </c>
      <c r="S78" s="46">
        <v>10000</v>
      </c>
      <c r="T78" s="4"/>
    </row>
    <row r="79" spans="1:20" x14ac:dyDescent="0.25">
      <c r="A79" s="48">
        <v>76</v>
      </c>
      <c r="B79" s="41"/>
      <c r="C79" s="41"/>
      <c r="D79" s="22" t="s">
        <v>115</v>
      </c>
      <c r="E79" s="10"/>
      <c r="F79" s="10"/>
      <c r="G79" s="11"/>
      <c r="H79" s="12">
        <v>36</v>
      </c>
      <c r="I79" s="62" t="s">
        <v>2</v>
      </c>
      <c r="J79" s="3">
        <v>300</v>
      </c>
      <c r="K79" s="3">
        <v>4</v>
      </c>
      <c r="L79" s="3">
        <v>2</v>
      </c>
      <c r="M79" s="3">
        <v>14</v>
      </c>
      <c r="N79" s="3">
        <v>0</v>
      </c>
      <c r="O79" s="3">
        <v>0</v>
      </c>
      <c r="P79" s="64">
        <f t="shared" si="1"/>
        <v>316</v>
      </c>
      <c r="R79" s="64">
        <v>50</v>
      </c>
      <c r="S79" s="64">
        <v>100</v>
      </c>
      <c r="T79" s="4" t="s">
        <v>14</v>
      </c>
    </row>
    <row r="80" spans="1:20" x14ac:dyDescent="0.25">
      <c r="A80" s="73">
        <v>77</v>
      </c>
      <c r="B80" s="41"/>
      <c r="C80" s="41"/>
      <c r="D80" s="49" t="s">
        <v>134</v>
      </c>
      <c r="E80" s="35"/>
      <c r="F80" s="35"/>
      <c r="G80" s="60"/>
      <c r="H80" s="12">
        <v>325</v>
      </c>
      <c r="I80" s="8" t="s">
        <v>2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  <c r="P80" s="4">
        <f t="shared" si="1"/>
        <v>325</v>
      </c>
      <c r="Q80" s="4"/>
      <c r="R80" s="4">
        <v>20</v>
      </c>
      <c r="S80" s="4">
        <v>50</v>
      </c>
      <c r="T80" s="4"/>
    </row>
    <row r="81" spans="1:20" x14ac:dyDescent="0.25">
      <c r="A81" s="8">
        <v>78</v>
      </c>
      <c r="D81" s="22" t="s">
        <v>123</v>
      </c>
      <c r="E81" s="10"/>
      <c r="F81" s="10"/>
      <c r="G81" s="11"/>
      <c r="H81" s="12">
        <v>2500</v>
      </c>
      <c r="I81" s="8" t="s">
        <v>2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  <c r="P81" s="4">
        <f t="shared" si="1"/>
        <v>2500</v>
      </c>
      <c r="Q81" s="4"/>
      <c r="R81" s="4">
        <v>100</v>
      </c>
      <c r="S81" s="4">
        <v>500</v>
      </c>
      <c r="T81" s="4"/>
    </row>
    <row r="82" spans="1:20" x14ac:dyDescent="0.25">
      <c r="A82" s="48">
        <v>79</v>
      </c>
      <c r="B82" s="41"/>
      <c r="C82" s="41"/>
      <c r="D82" s="22" t="s">
        <v>154</v>
      </c>
      <c r="E82" s="10"/>
      <c r="F82" s="10"/>
      <c r="G82" s="11"/>
      <c r="H82" s="4">
        <v>15</v>
      </c>
      <c r="I82" s="8" t="s">
        <v>2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  <c r="P82" s="4">
        <f t="shared" si="1"/>
        <v>15</v>
      </c>
      <c r="Q82" s="4"/>
      <c r="R82" s="4">
        <v>10</v>
      </c>
      <c r="S82" s="4">
        <v>50</v>
      </c>
      <c r="T82" s="4"/>
    </row>
    <row r="83" spans="1:20" x14ac:dyDescent="0.25">
      <c r="A83" s="48">
        <v>80</v>
      </c>
      <c r="B83" s="41"/>
      <c r="C83" s="41"/>
      <c r="D83" s="37" t="s">
        <v>155</v>
      </c>
      <c r="E83" s="17"/>
      <c r="F83" s="17"/>
      <c r="G83" s="18"/>
      <c r="H83" s="64">
        <v>15</v>
      </c>
      <c r="I83" s="62" t="s">
        <v>2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64">
        <f t="shared" si="1"/>
        <v>15</v>
      </c>
      <c r="Q83" s="64"/>
      <c r="R83" s="64">
        <v>10</v>
      </c>
      <c r="S83" s="64">
        <v>50</v>
      </c>
      <c r="T83" s="4"/>
    </row>
    <row r="84" spans="1:20" x14ac:dyDescent="0.25">
      <c r="A84" s="48">
        <v>81</v>
      </c>
      <c r="B84" s="11"/>
      <c r="C84" s="23"/>
      <c r="D84" s="23" t="s">
        <v>149</v>
      </c>
      <c r="E84" s="23"/>
      <c r="F84" s="23"/>
      <c r="G84" s="23"/>
      <c r="H84" s="23">
        <v>10</v>
      </c>
      <c r="I84" s="8" t="s">
        <v>2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4">
        <f t="shared" si="1"/>
        <v>10</v>
      </c>
      <c r="Q84" s="4"/>
      <c r="R84" s="4">
        <v>10</v>
      </c>
      <c r="S84" s="4">
        <v>50</v>
      </c>
      <c r="T84" s="4"/>
    </row>
    <row r="85" spans="1:20" x14ac:dyDescent="0.25">
      <c r="A85" s="8">
        <v>82</v>
      </c>
      <c r="D85" s="68" t="s">
        <v>148</v>
      </c>
      <c r="E85" s="27"/>
      <c r="F85" s="27"/>
      <c r="G85" s="28"/>
      <c r="H85" s="4">
        <v>98</v>
      </c>
      <c r="I85" s="8" t="s">
        <v>2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4">
        <f t="shared" si="1"/>
        <v>98</v>
      </c>
      <c r="Q85" s="4"/>
      <c r="R85" s="4">
        <v>50</v>
      </c>
      <c r="S85" s="4">
        <v>200</v>
      </c>
      <c r="T85" s="4"/>
    </row>
    <row r="86" spans="1:20" ht="15.75" customHeight="1" x14ac:dyDescent="0.25">
      <c r="A86" s="8">
        <v>83</v>
      </c>
      <c r="D86" s="79" t="s">
        <v>150</v>
      </c>
      <c r="E86" s="80"/>
      <c r="F86" s="81"/>
      <c r="G86" s="82"/>
      <c r="H86" s="4">
        <v>1200</v>
      </c>
      <c r="I86" s="8" t="s">
        <v>2</v>
      </c>
      <c r="J86" s="3">
        <v>0</v>
      </c>
      <c r="K86" s="3">
        <v>5</v>
      </c>
      <c r="L86" s="3">
        <v>0</v>
      </c>
      <c r="M86" s="3">
        <v>0</v>
      </c>
      <c r="N86" s="3">
        <v>85</v>
      </c>
      <c r="O86" s="3">
        <v>0</v>
      </c>
      <c r="P86" s="4">
        <f t="shared" si="1"/>
        <v>1110</v>
      </c>
      <c r="Q86" s="4"/>
      <c r="R86" s="4">
        <v>50</v>
      </c>
      <c r="S86" s="4">
        <v>300</v>
      </c>
      <c r="T86" s="4"/>
    </row>
    <row r="87" spans="1:20" x14ac:dyDescent="0.25">
      <c r="A87" s="8">
        <v>84</v>
      </c>
      <c r="D87" s="22" t="s">
        <v>160</v>
      </c>
      <c r="E87" s="10"/>
      <c r="F87" s="10"/>
      <c r="G87" s="11"/>
      <c r="H87" s="23">
        <v>841</v>
      </c>
      <c r="I87" s="8" t="s">
        <v>2</v>
      </c>
      <c r="J87" s="3">
        <v>0</v>
      </c>
      <c r="K87" s="3">
        <v>0</v>
      </c>
      <c r="L87" s="3">
        <v>0</v>
      </c>
      <c r="M87" s="3">
        <v>6</v>
      </c>
      <c r="N87" s="3">
        <v>0</v>
      </c>
      <c r="O87" s="3">
        <v>0</v>
      </c>
      <c r="P87" s="4">
        <f t="shared" si="1"/>
        <v>835</v>
      </c>
      <c r="Q87" s="4"/>
      <c r="R87" s="4">
        <v>20</v>
      </c>
      <c r="S87" s="4">
        <v>300</v>
      </c>
      <c r="T87" s="4"/>
    </row>
    <row r="88" spans="1:20" x14ac:dyDescent="0.25">
      <c r="A88" s="8">
        <v>85</v>
      </c>
      <c r="D88" s="49" t="s">
        <v>153</v>
      </c>
      <c r="E88" s="20"/>
      <c r="F88" s="20"/>
      <c r="G88" s="21"/>
      <c r="H88" s="23">
        <v>88</v>
      </c>
      <c r="I88" s="8" t="s">
        <v>2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4">
        <f t="shared" si="1"/>
        <v>88</v>
      </c>
      <c r="Q88" s="4"/>
      <c r="R88" s="4">
        <v>10</v>
      </c>
      <c r="S88" s="4">
        <v>200</v>
      </c>
      <c r="T88" s="4"/>
    </row>
    <row r="89" spans="1:20" x14ac:dyDescent="0.25">
      <c r="A89" s="77">
        <v>86</v>
      </c>
      <c r="D89" s="68" t="s">
        <v>162</v>
      </c>
      <c r="E89" s="27"/>
      <c r="F89" s="27"/>
      <c r="G89" s="28"/>
      <c r="H89" s="74">
        <v>85</v>
      </c>
      <c r="I89" s="75" t="s">
        <v>2</v>
      </c>
      <c r="J89" s="3">
        <v>0</v>
      </c>
      <c r="K89" s="3">
        <v>0</v>
      </c>
      <c r="L89" s="3">
        <v>0</v>
      </c>
      <c r="M89" s="3">
        <v>0</v>
      </c>
      <c r="N89" s="3">
        <v>0</v>
      </c>
      <c r="O89" s="3">
        <v>0</v>
      </c>
      <c r="P89" s="4">
        <f t="shared" si="1"/>
        <v>85</v>
      </c>
      <c r="Q89" s="4"/>
      <c r="R89" s="4">
        <v>10</v>
      </c>
      <c r="S89" s="4">
        <v>50</v>
      </c>
      <c r="T89" s="4"/>
    </row>
  </sheetData>
  <pageMargins left="0.75" right="0.75" top="1" bottom="1" header="0.5" footer="0.5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T89"/>
  <sheetViews>
    <sheetView topLeftCell="A68" workbookViewId="0">
      <selection activeCell="P79" sqref="P79"/>
    </sheetView>
  </sheetViews>
  <sheetFormatPr defaultRowHeight="15" x14ac:dyDescent="0.25"/>
  <cols>
    <col min="1" max="1" width="5.5703125" customWidth="1"/>
    <col min="2" max="3" width="9.140625" hidden="1" customWidth="1"/>
    <col min="6" max="6" width="12.7109375" customWidth="1"/>
    <col min="8" max="8" width="10.140625" customWidth="1"/>
    <col min="9" max="9" width="10" customWidth="1"/>
    <col min="10" max="10" width="7.7109375" customWidth="1"/>
    <col min="11" max="11" width="10.7109375" customWidth="1"/>
    <col min="12" max="12" width="10.140625" customWidth="1"/>
    <col min="13" max="13" width="11.85546875" customWidth="1"/>
    <col min="14" max="15" width="11.7109375" customWidth="1"/>
    <col min="16" max="16" width="10.140625" customWidth="1"/>
    <col min="17" max="17" width="4.7109375" customWidth="1"/>
    <col min="18" max="18" width="12.140625" customWidth="1"/>
    <col min="19" max="19" width="10.85546875" customWidth="1"/>
    <col min="20" max="20" width="13.85546875" customWidth="1"/>
  </cols>
  <sheetData>
    <row r="1" spans="1:20" x14ac:dyDescent="0.25">
      <c r="G1" s="1"/>
      <c r="P1">
        <f>+H1+J1-K1-L1-M1-N1-O1</f>
        <v>0</v>
      </c>
    </row>
    <row r="2" spans="1:20" x14ac:dyDescent="0.25">
      <c r="A2" t="s">
        <v>14</v>
      </c>
      <c r="D2" s="78">
        <v>45323</v>
      </c>
      <c r="O2" s="38" t="s">
        <v>14</v>
      </c>
      <c r="S2" s="50">
        <v>44837</v>
      </c>
    </row>
    <row r="3" spans="1:20" x14ac:dyDescent="0.25">
      <c r="A3" s="3" t="s">
        <v>15</v>
      </c>
      <c r="D3" s="9" t="s">
        <v>17</v>
      </c>
      <c r="E3" s="10"/>
      <c r="F3" s="10"/>
      <c r="G3" s="11"/>
      <c r="H3" s="12" t="s">
        <v>18</v>
      </c>
      <c r="I3" s="4" t="s">
        <v>19</v>
      </c>
      <c r="J3" s="3" t="s">
        <v>20</v>
      </c>
      <c r="K3" s="5">
        <v>45331</v>
      </c>
      <c r="L3" s="6">
        <v>45341</v>
      </c>
      <c r="M3" s="5">
        <v>45345</v>
      </c>
      <c r="N3" s="5">
        <v>45351</v>
      </c>
      <c r="O3" s="6">
        <v>0</v>
      </c>
      <c r="P3" s="3" t="s">
        <v>21</v>
      </c>
      <c r="R3" s="42" t="s">
        <v>105</v>
      </c>
      <c r="S3" s="45" t="s">
        <v>104</v>
      </c>
      <c r="T3" s="4"/>
    </row>
    <row r="4" spans="1:20" x14ac:dyDescent="0.25">
      <c r="A4" s="7">
        <v>1</v>
      </c>
      <c r="D4" s="13" t="s">
        <v>16</v>
      </c>
      <c r="E4" s="14"/>
      <c r="F4" s="14"/>
      <c r="G4" s="15"/>
      <c r="H4" s="12">
        <v>104</v>
      </c>
      <c r="I4" s="7" t="s">
        <v>1</v>
      </c>
      <c r="J4" s="3">
        <v>164.9</v>
      </c>
      <c r="K4" s="3">
        <v>50</v>
      </c>
      <c r="L4" s="3">
        <v>0</v>
      </c>
      <c r="M4" s="3">
        <v>25</v>
      </c>
      <c r="N4" s="3">
        <v>25</v>
      </c>
      <c r="O4" s="3">
        <v>0</v>
      </c>
      <c r="P4" s="4">
        <f t="shared" ref="P4:P67" si="0">+H4+J4-K4-L4-M4-N4-O4</f>
        <v>168.89999999999998</v>
      </c>
      <c r="Q4" t="s">
        <v>67</v>
      </c>
      <c r="R4" s="43">
        <v>100</v>
      </c>
      <c r="S4" s="46">
        <v>500</v>
      </c>
      <c r="T4" s="4" t="s">
        <v>14</v>
      </c>
    </row>
    <row r="5" spans="1:20" x14ac:dyDescent="0.25">
      <c r="A5" s="7">
        <v>2</v>
      </c>
      <c r="D5" s="9" t="s">
        <v>22</v>
      </c>
      <c r="E5" s="10"/>
      <c r="F5" s="10"/>
      <c r="G5" s="11"/>
      <c r="H5" s="12">
        <v>0</v>
      </c>
      <c r="I5" s="7" t="s">
        <v>2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4">
        <f t="shared" si="0"/>
        <v>0</v>
      </c>
      <c r="Q5" s="1" t="s">
        <v>14</v>
      </c>
      <c r="R5" s="44">
        <v>6</v>
      </c>
      <c r="S5" s="47">
        <v>10</v>
      </c>
      <c r="T5" s="4"/>
    </row>
    <row r="6" spans="1:20" x14ac:dyDescent="0.25">
      <c r="A6" s="7">
        <v>3</v>
      </c>
      <c r="D6" s="16" t="s">
        <v>23</v>
      </c>
      <c r="E6" s="17"/>
      <c r="F6" s="17"/>
      <c r="G6" s="18"/>
      <c r="H6" s="12">
        <v>54</v>
      </c>
      <c r="I6" s="7" t="s">
        <v>2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4">
        <f t="shared" si="0"/>
        <v>54</v>
      </c>
      <c r="Q6" s="1" t="s">
        <v>14</v>
      </c>
      <c r="R6" s="44">
        <v>6</v>
      </c>
      <c r="S6" s="47">
        <v>10</v>
      </c>
      <c r="T6" s="4"/>
    </row>
    <row r="7" spans="1:20" x14ac:dyDescent="0.25">
      <c r="A7" s="7">
        <v>4</v>
      </c>
      <c r="D7" s="9" t="s">
        <v>3</v>
      </c>
      <c r="E7" s="10"/>
      <c r="F7" s="10"/>
      <c r="G7" s="11"/>
      <c r="H7" s="12">
        <v>30</v>
      </c>
      <c r="I7" s="7" t="s">
        <v>2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4">
        <f t="shared" si="0"/>
        <v>30</v>
      </c>
      <c r="Q7" s="1" t="s">
        <v>14</v>
      </c>
      <c r="R7" s="44">
        <v>6</v>
      </c>
      <c r="S7" s="47">
        <v>10</v>
      </c>
      <c r="T7" s="4"/>
    </row>
    <row r="8" spans="1:20" x14ac:dyDescent="0.25">
      <c r="A8" s="7">
        <v>5</v>
      </c>
      <c r="D8" s="16" t="s">
        <v>139</v>
      </c>
      <c r="E8" s="17"/>
      <c r="F8" s="17"/>
      <c r="G8" s="18"/>
      <c r="H8" s="12">
        <v>100</v>
      </c>
      <c r="I8" s="7" t="s">
        <v>2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4">
        <f t="shared" si="0"/>
        <v>100</v>
      </c>
      <c r="Q8" s="1" t="s">
        <v>14</v>
      </c>
      <c r="R8" s="44">
        <v>100</v>
      </c>
      <c r="S8" s="47">
        <v>400</v>
      </c>
      <c r="T8" s="4"/>
    </row>
    <row r="9" spans="1:20" x14ac:dyDescent="0.25">
      <c r="A9" s="7">
        <v>6</v>
      </c>
      <c r="D9" s="9" t="s">
        <v>24</v>
      </c>
      <c r="E9" s="10"/>
      <c r="F9" s="10"/>
      <c r="G9" s="11"/>
      <c r="H9" s="12">
        <v>38</v>
      </c>
      <c r="I9" s="7" t="s">
        <v>2</v>
      </c>
      <c r="J9" s="3">
        <v>200</v>
      </c>
      <c r="K9" s="3">
        <v>0</v>
      </c>
      <c r="L9" s="3">
        <v>0</v>
      </c>
      <c r="M9" s="3">
        <v>20</v>
      </c>
      <c r="N9" s="3">
        <v>0</v>
      </c>
      <c r="O9" s="3">
        <v>0</v>
      </c>
      <c r="P9" s="4">
        <f t="shared" si="0"/>
        <v>218</v>
      </c>
      <c r="Q9" s="1" t="s">
        <v>14</v>
      </c>
      <c r="R9" s="44">
        <v>60</v>
      </c>
      <c r="S9" s="47">
        <v>200</v>
      </c>
      <c r="T9" s="4"/>
    </row>
    <row r="10" spans="1:20" x14ac:dyDescent="0.25">
      <c r="A10" s="7">
        <v>7</v>
      </c>
      <c r="D10" s="16" t="s">
        <v>101</v>
      </c>
      <c r="E10" s="17"/>
      <c r="F10" s="17"/>
      <c r="G10" s="18"/>
      <c r="H10" s="12">
        <v>948</v>
      </c>
      <c r="I10" s="7" t="s">
        <v>2</v>
      </c>
      <c r="J10" s="3">
        <v>0</v>
      </c>
      <c r="K10" s="3">
        <v>80</v>
      </c>
      <c r="L10" s="3">
        <v>0</v>
      </c>
      <c r="M10" s="3">
        <v>0</v>
      </c>
      <c r="N10" s="3">
        <v>60</v>
      </c>
      <c r="O10" s="3">
        <v>0</v>
      </c>
      <c r="P10" s="4">
        <f t="shared" si="0"/>
        <v>808</v>
      </c>
      <c r="Q10" s="1" t="s">
        <v>14</v>
      </c>
      <c r="R10" s="44">
        <v>200</v>
      </c>
      <c r="S10" s="47">
        <v>500</v>
      </c>
      <c r="T10" s="4"/>
    </row>
    <row r="11" spans="1:20" x14ac:dyDescent="0.25">
      <c r="A11" s="7">
        <v>8</v>
      </c>
      <c r="D11" s="9" t="s">
        <v>25</v>
      </c>
      <c r="E11" s="10"/>
      <c r="F11" s="10"/>
      <c r="G11" s="11"/>
      <c r="H11" s="12">
        <v>334</v>
      </c>
      <c r="I11" s="7" t="s">
        <v>2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4">
        <f t="shared" si="0"/>
        <v>334</v>
      </c>
      <c r="Q11" s="1" t="s">
        <v>14</v>
      </c>
      <c r="R11" s="44">
        <v>50</v>
      </c>
      <c r="S11" s="47">
        <v>300</v>
      </c>
      <c r="T11" s="4"/>
    </row>
    <row r="12" spans="1:20" x14ac:dyDescent="0.25">
      <c r="A12" s="7">
        <v>9</v>
      </c>
      <c r="D12" s="16" t="s">
        <v>26</v>
      </c>
      <c r="E12" s="17"/>
      <c r="F12" s="17"/>
      <c r="G12" s="18"/>
      <c r="H12" s="12">
        <v>0</v>
      </c>
      <c r="I12" s="7" t="s">
        <v>2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4">
        <f t="shared" si="0"/>
        <v>0</v>
      </c>
      <c r="Q12" s="1" t="s">
        <v>14</v>
      </c>
      <c r="R12" s="44">
        <v>200</v>
      </c>
      <c r="S12" s="47">
        <v>400</v>
      </c>
      <c r="T12" s="4"/>
    </row>
    <row r="13" spans="1:20" x14ac:dyDescent="0.25">
      <c r="A13" s="7">
        <v>10</v>
      </c>
      <c r="D13" s="9" t="s">
        <v>6</v>
      </c>
      <c r="E13" s="10"/>
      <c r="F13" s="10"/>
      <c r="G13" s="11"/>
      <c r="H13" s="12">
        <v>60</v>
      </c>
      <c r="I13" s="7" t="s">
        <v>2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4">
        <f t="shared" si="0"/>
        <v>60</v>
      </c>
      <c r="Q13" s="1" t="s">
        <v>14</v>
      </c>
      <c r="R13" s="44">
        <v>10</v>
      </c>
      <c r="S13" s="46">
        <v>100</v>
      </c>
      <c r="T13" s="4"/>
    </row>
    <row r="14" spans="1:20" x14ac:dyDescent="0.25">
      <c r="A14" s="7">
        <v>11</v>
      </c>
      <c r="D14" s="16" t="s">
        <v>7</v>
      </c>
      <c r="E14" s="17"/>
      <c r="F14" s="17"/>
      <c r="G14" s="18"/>
      <c r="H14" s="12">
        <v>11</v>
      </c>
      <c r="I14" s="7" t="s">
        <v>171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4">
        <f t="shared" si="0"/>
        <v>11</v>
      </c>
      <c r="Q14" s="1" t="s">
        <v>14</v>
      </c>
      <c r="R14" s="44">
        <v>20</v>
      </c>
      <c r="S14" s="47">
        <v>50</v>
      </c>
      <c r="T14" s="4"/>
    </row>
    <row r="15" spans="1:20" x14ac:dyDescent="0.25">
      <c r="A15" s="7">
        <v>12</v>
      </c>
      <c r="D15" s="9" t="s">
        <v>69</v>
      </c>
      <c r="E15" s="10"/>
      <c r="F15" s="10"/>
      <c r="G15" s="11"/>
      <c r="H15" s="12">
        <v>9</v>
      </c>
      <c r="I15" s="7" t="s">
        <v>171</v>
      </c>
      <c r="J15" s="3">
        <v>0</v>
      </c>
      <c r="K15" s="3">
        <v>2</v>
      </c>
      <c r="L15" s="3">
        <v>0</v>
      </c>
      <c r="M15" s="3">
        <v>0</v>
      </c>
      <c r="N15" s="3">
        <v>0</v>
      </c>
      <c r="O15" s="3">
        <v>0</v>
      </c>
      <c r="P15" s="4">
        <f t="shared" si="0"/>
        <v>7</v>
      </c>
      <c r="Q15" s="1" t="s">
        <v>14</v>
      </c>
      <c r="R15" s="44">
        <v>100</v>
      </c>
      <c r="S15" s="47">
        <v>200</v>
      </c>
      <c r="T15" s="4"/>
    </row>
    <row r="16" spans="1:20" x14ac:dyDescent="0.25">
      <c r="A16" s="7">
        <v>13</v>
      </c>
      <c r="D16" s="16" t="s">
        <v>27</v>
      </c>
      <c r="E16" s="17"/>
      <c r="F16" s="17"/>
      <c r="G16" s="18"/>
      <c r="H16" s="12">
        <v>0</v>
      </c>
      <c r="I16" s="7" t="s">
        <v>2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4">
        <f t="shared" si="0"/>
        <v>0</v>
      </c>
      <c r="Q16" s="1" t="s">
        <v>14</v>
      </c>
      <c r="R16" s="44">
        <v>0</v>
      </c>
      <c r="S16" s="46"/>
      <c r="T16" s="4"/>
    </row>
    <row r="17" spans="1:20" x14ac:dyDescent="0.25">
      <c r="A17" s="7">
        <v>14</v>
      </c>
      <c r="D17" s="9" t="s">
        <v>73</v>
      </c>
      <c r="E17" s="10"/>
      <c r="F17" s="10"/>
      <c r="G17" s="11"/>
      <c r="H17" s="12">
        <v>781</v>
      </c>
      <c r="I17" s="7" t="s">
        <v>2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4">
        <f t="shared" si="0"/>
        <v>781</v>
      </c>
      <c r="Q17" s="1" t="s">
        <v>14</v>
      </c>
      <c r="R17" s="44">
        <v>0</v>
      </c>
      <c r="S17" s="46"/>
      <c r="T17" s="4"/>
    </row>
    <row r="18" spans="1:20" x14ac:dyDescent="0.25">
      <c r="A18" s="7">
        <v>15</v>
      </c>
      <c r="D18" s="16" t="s">
        <v>28</v>
      </c>
      <c r="E18" s="17"/>
      <c r="F18" s="17"/>
      <c r="G18" s="18"/>
      <c r="H18" s="12">
        <v>69</v>
      </c>
      <c r="I18" s="7" t="s">
        <v>2</v>
      </c>
      <c r="J18" s="3">
        <v>50</v>
      </c>
      <c r="K18" s="3">
        <v>30</v>
      </c>
      <c r="L18" s="3">
        <v>0</v>
      </c>
      <c r="M18" s="3">
        <v>0</v>
      </c>
      <c r="N18" s="3">
        <v>0</v>
      </c>
      <c r="O18" s="3">
        <v>0</v>
      </c>
      <c r="P18" s="4">
        <f t="shared" si="0"/>
        <v>89</v>
      </c>
      <c r="Q18" s="1" t="s">
        <v>14</v>
      </c>
      <c r="R18" s="44">
        <v>20</v>
      </c>
      <c r="S18" s="47">
        <v>50</v>
      </c>
      <c r="T18" s="4"/>
    </row>
    <row r="19" spans="1:20" x14ac:dyDescent="0.25">
      <c r="A19" s="7">
        <v>16</v>
      </c>
      <c r="D19" s="9" t="s">
        <v>29</v>
      </c>
      <c r="E19" s="10"/>
      <c r="F19" s="10"/>
      <c r="G19" s="11"/>
      <c r="H19" s="12">
        <v>61</v>
      </c>
      <c r="I19" s="7" t="s">
        <v>2</v>
      </c>
      <c r="J19" s="3">
        <v>50</v>
      </c>
      <c r="K19" s="3">
        <v>30</v>
      </c>
      <c r="L19" s="3">
        <v>0</v>
      </c>
      <c r="M19" s="3">
        <v>0</v>
      </c>
      <c r="N19" s="3">
        <v>0</v>
      </c>
      <c r="O19" s="3">
        <v>0</v>
      </c>
      <c r="P19" s="4">
        <f t="shared" si="0"/>
        <v>81</v>
      </c>
      <c r="Q19" s="1" t="s">
        <v>14</v>
      </c>
      <c r="R19" s="44">
        <v>20</v>
      </c>
      <c r="S19" s="47">
        <v>50</v>
      </c>
      <c r="T19" s="4"/>
    </row>
    <row r="20" spans="1:20" x14ac:dyDescent="0.25">
      <c r="A20" s="7">
        <v>17</v>
      </c>
      <c r="D20" s="16" t="s">
        <v>30</v>
      </c>
      <c r="E20" s="17"/>
      <c r="F20" s="17"/>
      <c r="G20" s="18"/>
      <c r="H20" s="12">
        <v>89</v>
      </c>
      <c r="I20" s="7" t="s">
        <v>2</v>
      </c>
      <c r="J20" s="3">
        <v>40</v>
      </c>
      <c r="K20" s="3">
        <v>30</v>
      </c>
      <c r="L20" s="3">
        <v>0</v>
      </c>
      <c r="M20" s="3">
        <v>0</v>
      </c>
      <c r="N20" s="3">
        <v>0</v>
      </c>
      <c r="O20" s="3">
        <v>0</v>
      </c>
      <c r="P20" s="4">
        <f t="shared" si="0"/>
        <v>99</v>
      </c>
      <c r="Q20" s="1" t="s">
        <v>14</v>
      </c>
      <c r="R20" s="44">
        <v>20</v>
      </c>
      <c r="S20" s="47">
        <v>50</v>
      </c>
      <c r="T20" s="4"/>
    </row>
    <row r="21" spans="1:20" x14ac:dyDescent="0.25">
      <c r="A21" s="7">
        <v>18</v>
      </c>
      <c r="D21" s="9" t="s">
        <v>129</v>
      </c>
      <c r="E21" s="10"/>
      <c r="F21" s="10"/>
      <c r="G21" s="11"/>
      <c r="H21" s="12">
        <v>16</v>
      </c>
      <c r="I21" s="7" t="s">
        <v>2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4">
        <f t="shared" si="0"/>
        <v>16</v>
      </c>
      <c r="Q21" s="1" t="s">
        <v>14</v>
      </c>
      <c r="R21" s="44">
        <v>10</v>
      </c>
      <c r="S21" s="46">
        <v>50</v>
      </c>
      <c r="T21" s="4"/>
    </row>
    <row r="22" spans="1:20" x14ac:dyDescent="0.25">
      <c r="A22" s="7">
        <v>19</v>
      </c>
      <c r="D22" s="55" t="s">
        <v>164</v>
      </c>
      <c r="E22" s="56"/>
      <c r="F22" s="56"/>
      <c r="G22" s="57"/>
      <c r="H22" s="12">
        <v>110</v>
      </c>
      <c r="I22" s="59" t="s">
        <v>1</v>
      </c>
      <c r="J22" s="3">
        <v>280</v>
      </c>
      <c r="K22" s="3">
        <v>40</v>
      </c>
      <c r="L22" s="3">
        <v>35</v>
      </c>
      <c r="M22" s="3">
        <v>35</v>
      </c>
      <c r="N22" s="3">
        <v>35</v>
      </c>
      <c r="O22" s="3">
        <v>0</v>
      </c>
      <c r="P22" s="46">
        <f t="shared" si="0"/>
        <v>245</v>
      </c>
      <c r="Q22" s="1" t="s">
        <v>14</v>
      </c>
      <c r="R22" s="44">
        <v>50</v>
      </c>
      <c r="S22" s="47">
        <v>200</v>
      </c>
      <c r="T22" s="4"/>
    </row>
    <row r="23" spans="1:20" x14ac:dyDescent="0.25">
      <c r="A23" s="7">
        <v>20</v>
      </c>
      <c r="D23" s="9" t="s">
        <v>32</v>
      </c>
      <c r="E23" s="10"/>
      <c r="F23" s="10"/>
      <c r="G23" s="11"/>
      <c r="H23" s="12">
        <v>850</v>
      </c>
      <c r="I23" s="7" t="s">
        <v>2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4">
        <f t="shared" si="0"/>
        <v>850</v>
      </c>
      <c r="Q23" s="1" t="s">
        <v>14</v>
      </c>
      <c r="R23" s="44">
        <v>50</v>
      </c>
      <c r="S23" s="46">
        <v>200</v>
      </c>
      <c r="T23" s="4"/>
    </row>
    <row r="24" spans="1:20" x14ac:dyDescent="0.25">
      <c r="A24" s="7">
        <v>21</v>
      </c>
      <c r="D24" s="16" t="s">
        <v>140</v>
      </c>
      <c r="E24" s="17"/>
      <c r="F24" s="17"/>
      <c r="G24" s="18"/>
      <c r="H24" s="12">
        <v>102</v>
      </c>
      <c r="I24" s="7" t="s">
        <v>2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4">
        <f t="shared" si="0"/>
        <v>102</v>
      </c>
      <c r="Q24" s="1" t="s">
        <v>14</v>
      </c>
      <c r="R24" s="44">
        <v>10</v>
      </c>
      <c r="S24" s="46">
        <v>100</v>
      </c>
      <c r="T24" s="4"/>
    </row>
    <row r="25" spans="1:20" x14ac:dyDescent="0.25">
      <c r="A25" s="7">
        <v>22</v>
      </c>
      <c r="D25" s="9" t="s">
        <v>34</v>
      </c>
      <c r="E25" s="10"/>
      <c r="F25" s="10"/>
      <c r="G25" s="11"/>
      <c r="H25" s="12">
        <v>21</v>
      </c>
      <c r="I25" s="7" t="s">
        <v>2</v>
      </c>
      <c r="J25" s="3">
        <v>0</v>
      </c>
      <c r="K25" s="3">
        <v>0</v>
      </c>
      <c r="L25" s="3">
        <v>0</v>
      </c>
      <c r="M25" s="3">
        <v>0</v>
      </c>
      <c r="N25" s="3">
        <v>4</v>
      </c>
      <c r="O25" s="3">
        <v>0</v>
      </c>
      <c r="P25" s="4">
        <f t="shared" si="0"/>
        <v>17</v>
      </c>
      <c r="Q25" s="1" t="s">
        <v>14</v>
      </c>
      <c r="R25" s="44">
        <v>10</v>
      </c>
      <c r="S25" s="46">
        <v>50</v>
      </c>
      <c r="T25" s="4"/>
    </row>
    <row r="26" spans="1:20" x14ac:dyDescent="0.25">
      <c r="A26" s="7">
        <v>23</v>
      </c>
      <c r="D26" s="16" t="s">
        <v>142</v>
      </c>
      <c r="E26" s="17"/>
      <c r="F26" s="17"/>
      <c r="G26" s="18"/>
      <c r="H26" s="12">
        <v>45</v>
      </c>
      <c r="I26" s="7" t="s">
        <v>2</v>
      </c>
      <c r="J26" s="3">
        <v>0</v>
      </c>
      <c r="K26" s="3">
        <v>0</v>
      </c>
      <c r="L26" s="3">
        <v>0</v>
      </c>
      <c r="M26" s="3">
        <v>0</v>
      </c>
      <c r="N26" s="3">
        <v>1</v>
      </c>
      <c r="O26" s="3">
        <v>0</v>
      </c>
      <c r="P26" s="4">
        <f t="shared" si="0"/>
        <v>44</v>
      </c>
      <c r="Q26" s="1" t="s">
        <v>14</v>
      </c>
      <c r="R26" s="44">
        <v>20</v>
      </c>
      <c r="S26" s="47">
        <v>50</v>
      </c>
      <c r="T26" s="4"/>
    </row>
    <row r="27" spans="1:20" x14ac:dyDescent="0.25">
      <c r="A27" s="7">
        <v>24</v>
      </c>
      <c r="D27" s="9" t="s">
        <v>141</v>
      </c>
      <c r="E27" s="10"/>
      <c r="F27" s="10"/>
      <c r="G27" s="11"/>
      <c r="H27" s="12">
        <v>0</v>
      </c>
      <c r="I27" s="7" t="s">
        <v>2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  <c r="P27" s="4">
        <f t="shared" si="0"/>
        <v>0</v>
      </c>
      <c r="Q27" s="1"/>
      <c r="R27" s="44">
        <v>20</v>
      </c>
      <c r="S27" s="47">
        <v>50</v>
      </c>
      <c r="T27" s="4"/>
    </row>
    <row r="28" spans="1:20" x14ac:dyDescent="0.25">
      <c r="A28" s="7">
        <v>25</v>
      </c>
      <c r="D28" s="9" t="s">
        <v>137</v>
      </c>
      <c r="E28" s="10"/>
      <c r="F28" s="10"/>
      <c r="G28" s="11"/>
      <c r="H28" s="12">
        <v>100</v>
      </c>
      <c r="I28" s="7" t="s">
        <v>2</v>
      </c>
      <c r="J28" s="3">
        <v>0</v>
      </c>
      <c r="K28" s="3">
        <v>0</v>
      </c>
      <c r="L28" s="3">
        <v>0</v>
      </c>
      <c r="M28" s="3">
        <v>0</v>
      </c>
      <c r="N28" s="3">
        <v>4</v>
      </c>
      <c r="O28" s="3">
        <v>0</v>
      </c>
      <c r="P28" s="4">
        <f t="shared" si="0"/>
        <v>96</v>
      </c>
      <c r="Q28" s="1" t="s">
        <v>14</v>
      </c>
      <c r="R28" s="44">
        <v>20</v>
      </c>
      <c r="S28" s="47">
        <v>50</v>
      </c>
      <c r="T28" s="4"/>
    </row>
    <row r="29" spans="1:20" x14ac:dyDescent="0.25">
      <c r="A29" s="7">
        <v>26</v>
      </c>
      <c r="D29" s="9" t="s">
        <v>138</v>
      </c>
      <c r="E29" s="10"/>
      <c r="F29" s="10"/>
      <c r="G29" s="11"/>
      <c r="H29" s="12">
        <v>140</v>
      </c>
      <c r="I29" s="7" t="s">
        <v>2</v>
      </c>
      <c r="J29" s="3">
        <v>0</v>
      </c>
      <c r="K29" s="3">
        <v>0</v>
      </c>
      <c r="L29" s="3">
        <v>0</v>
      </c>
      <c r="M29" s="3">
        <v>0</v>
      </c>
      <c r="N29" s="3">
        <v>4</v>
      </c>
      <c r="O29" s="3">
        <v>0</v>
      </c>
      <c r="P29" s="4">
        <f t="shared" si="0"/>
        <v>136</v>
      </c>
      <c r="Q29" s="1"/>
      <c r="R29" s="44">
        <v>10</v>
      </c>
      <c r="S29" s="47">
        <v>50</v>
      </c>
      <c r="T29" s="4"/>
    </row>
    <row r="30" spans="1:20" x14ac:dyDescent="0.25">
      <c r="A30" s="7">
        <v>27</v>
      </c>
      <c r="D30" s="16" t="s">
        <v>35</v>
      </c>
      <c r="E30" s="17"/>
      <c r="F30" s="17"/>
      <c r="G30" s="18"/>
      <c r="H30" s="12">
        <v>265</v>
      </c>
      <c r="I30" s="7" t="s">
        <v>2</v>
      </c>
      <c r="J30" s="3">
        <v>0</v>
      </c>
      <c r="K30" s="3">
        <v>0</v>
      </c>
      <c r="L30" s="3">
        <v>0</v>
      </c>
      <c r="M30" s="3">
        <v>0</v>
      </c>
      <c r="N30" s="3">
        <v>2</v>
      </c>
      <c r="O30" s="3">
        <v>0</v>
      </c>
      <c r="P30" s="4">
        <f t="shared" si="0"/>
        <v>263</v>
      </c>
      <c r="Q30" s="1" t="s">
        <v>14</v>
      </c>
      <c r="R30" s="44">
        <v>50</v>
      </c>
      <c r="S30" s="47">
        <v>100</v>
      </c>
      <c r="T30" s="4"/>
    </row>
    <row r="31" spans="1:20" x14ac:dyDescent="0.25">
      <c r="A31" s="7">
        <v>28</v>
      </c>
      <c r="D31" s="9" t="s">
        <v>36</v>
      </c>
      <c r="E31" s="10"/>
      <c r="F31" s="10"/>
      <c r="G31" s="11"/>
      <c r="H31" s="12">
        <v>20</v>
      </c>
      <c r="I31" s="7" t="s">
        <v>2</v>
      </c>
      <c r="J31" s="3">
        <v>0</v>
      </c>
      <c r="K31" s="3">
        <v>0</v>
      </c>
      <c r="L31" s="3">
        <v>0</v>
      </c>
      <c r="M31" s="3">
        <v>0</v>
      </c>
      <c r="N31" s="3">
        <v>2</v>
      </c>
      <c r="O31" s="3">
        <v>0</v>
      </c>
      <c r="P31" s="4">
        <f t="shared" si="0"/>
        <v>18</v>
      </c>
      <c r="Q31" s="1" t="s">
        <v>14</v>
      </c>
      <c r="R31" s="44">
        <v>50</v>
      </c>
      <c r="S31" s="47">
        <v>100</v>
      </c>
      <c r="T31" s="4"/>
    </row>
    <row r="32" spans="1:20" x14ac:dyDescent="0.25">
      <c r="A32" s="7">
        <v>29</v>
      </c>
      <c r="D32" s="16" t="s">
        <v>37</v>
      </c>
      <c r="E32" s="17"/>
      <c r="F32" s="17"/>
      <c r="G32" s="18"/>
      <c r="H32" s="12">
        <v>179</v>
      </c>
      <c r="I32" s="7" t="s">
        <v>2</v>
      </c>
      <c r="J32" s="3">
        <v>0</v>
      </c>
      <c r="K32" s="3">
        <v>0</v>
      </c>
      <c r="L32" s="3">
        <v>0</v>
      </c>
      <c r="M32" s="3">
        <v>0</v>
      </c>
      <c r="N32" s="3">
        <v>1</v>
      </c>
      <c r="O32" s="3">
        <v>0</v>
      </c>
      <c r="P32" s="4">
        <f t="shared" si="0"/>
        <v>178</v>
      </c>
      <c r="Q32" s="1" t="s">
        <v>14</v>
      </c>
      <c r="R32" s="44">
        <v>20</v>
      </c>
      <c r="S32" s="47">
        <v>50</v>
      </c>
      <c r="T32" s="4"/>
    </row>
    <row r="33" spans="1:20" x14ac:dyDescent="0.25">
      <c r="A33" s="7">
        <v>30</v>
      </c>
      <c r="D33" s="9" t="s">
        <v>38</v>
      </c>
      <c r="E33" s="10"/>
      <c r="F33" s="10"/>
      <c r="G33" s="11"/>
      <c r="H33" s="12">
        <v>409</v>
      </c>
      <c r="I33" s="7" t="s">
        <v>2</v>
      </c>
      <c r="J33" s="3">
        <v>0</v>
      </c>
      <c r="K33" s="3">
        <v>20</v>
      </c>
      <c r="L33" s="3">
        <v>0</v>
      </c>
      <c r="M33" s="3">
        <v>0</v>
      </c>
      <c r="N33" s="3">
        <v>10</v>
      </c>
      <c r="O33" s="3">
        <v>0</v>
      </c>
      <c r="P33" s="4">
        <f t="shared" si="0"/>
        <v>379</v>
      </c>
      <c r="Q33" s="1" t="s">
        <v>14</v>
      </c>
      <c r="R33" s="44">
        <v>50</v>
      </c>
      <c r="S33" s="47">
        <v>100</v>
      </c>
      <c r="T33" s="4"/>
    </row>
    <row r="34" spans="1:20" x14ac:dyDescent="0.25">
      <c r="A34" s="7">
        <v>31</v>
      </c>
      <c r="D34" s="16" t="s">
        <v>39</v>
      </c>
      <c r="E34" s="17"/>
      <c r="F34" s="17"/>
      <c r="G34" s="18"/>
      <c r="H34" s="12">
        <v>52</v>
      </c>
      <c r="I34" s="7" t="s">
        <v>2</v>
      </c>
      <c r="J34" s="3">
        <v>0</v>
      </c>
      <c r="K34" s="3">
        <v>0</v>
      </c>
      <c r="L34" s="3">
        <v>0</v>
      </c>
      <c r="M34" s="3">
        <v>0</v>
      </c>
      <c r="N34" s="3">
        <v>1</v>
      </c>
      <c r="O34" s="3">
        <v>0</v>
      </c>
      <c r="P34" s="4">
        <f t="shared" si="0"/>
        <v>51</v>
      </c>
      <c r="Q34" s="1" t="s">
        <v>14</v>
      </c>
      <c r="R34" s="44">
        <v>20</v>
      </c>
      <c r="S34" s="47">
        <v>50</v>
      </c>
      <c r="T34" s="4"/>
    </row>
    <row r="35" spans="1:20" x14ac:dyDescent="0.25">
      <c r="A35" s="7">
        <v>32</v>
      </c>
      <c r="D35" s="9" t="s">
        <v>40</v>
      </c>
      <c r="E35" s="10"/>
      <c r="F35" s="10"/>
      <c r="G35" s="11"/>
      <c r="H35" s="12">
        <f>'ARALIK 3 HAFTA '!P33</f>
        <v>1075</v>
      </c>
      <c r="I35" s="7" t="s">
        <v>2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4">
        <f t="shared" si="0"/>
        <v>1075</v>
      </c>
      <c r="Q35" s="1" t="s">
        <v>14</v>
      </c>
      <c r="R35" s="44">
        <v>100</v>
      </c>
      <c r="S35" s="46">
        <v>300</v>
      </c>
      <c r="T35" s="4"/>
    </row>
    <row r="36" spans="1:20" x14ac:dyDescent="0.25">
      <c r="A36" s="7">
        <v>33</v>
      </c>
      <c r="D36" s="9" t="s">
        <v>9</v>
      </c>
      <c r="E36" s="10"/>
      <c r="F36" s="10"/>
      <c r="G36" s="11"/>
      <c r="H36" s="83">
        <v>103</v>
      </c>
      <c r="I36" s="7" t="s">
        <v>132</v>
      </c>
      <c r="J36" s="3">
        <v>0</v>
      </c>
      <c r="K36" s="3">
        <v>0</v>
      </c>
      <c r="L36" s="3">
        <v>7</v>
      </c>
      <c r="M36" s="3">
        <v>0</v>
      </c>
      <c r="N36" s="3">
        <v>10</v>
      </c>
      <c r="O36" s="3">
        <v>0</v>
      </c>
      <c r="P36" s="4">
        <f t="shared" si="0"/>
        <v>86</v>
      </c>
      <c r="Q36" s="1" t="s">
        <v>14</v>
      </c>
      <c r="R36" s="44">
        <v>50</v>
      </c>
      <c r="S36" s="47">
        <v>100</v>
      </c>
      <c r="T36" s="4"/>
    </row>
    <row r="37" spans="1:20" x14ac:dyDescent="0.25">
      <c r="A37" s="7">
        <v>34</v>
      </c>
      <c r="D37" s="19" t="s">
        <v>166</v>
      </c>
      <c r="E37" s="20"/>
      <c r="F37" s="20"/>
      <c r="G37" s="21"/>
      <c r="H37" s="69">
        <v>145</v>
      </c>
      <c r="I37" s="7" t="s">
        <v>2</v>
      </c>
      <c r="J37" s="3">
        <v>0</v>
      </c>
      <c r="K37" s="3">
        <v>0</v>
      </c>
      <c r="L37" s="3">
        <v>7</v>
      </c>
      <c r="M37" s="3">
        <v>0</v>
      </c>
      <c r="N37" s="3">
        <v>10</v>
      </c>
      <c r="O37" s="3">
        <v>0</v>
      </c>
      <c r="P37" s="4">
        <f t="shared" si="0"/>
        <v>128</v>
      </c>
      <c r="Q37" s="1" t="s">
        <v>14</v>
      </c>
      <c r="R37" s="44">
        <v>50</v>
      </c>
      <c r="S37" s="46">
        <v>200</v>
      </c>
      <c r="T37" s="4"/>
    </row>
    <row r="38" spans="1:20" x14ac:dyDescent="0.25">
      <c r="A38" s="7">
        <v>35</v>
      </c>
      <c r="D38" s="16" t="s">
        <v>143</v>
      </c>
      <c r="E38" s="17"/>
      <c r="F38" s="17"/>
      <c r="G38" s="18"/>
      <c r="H38" s="12">
        <v>103</v>
      </c>
      <c r="I38" s="7" t="s">
        <v>2</v>
      </c>
      <c r="J38" s="3">
        <v>0</v>
      </c>
      <c r="K38" s="3">
        <v>0</v>
      </c>
      <c r="L38" s="3">
        <v>7</v>
      </c>
      <c r="M38" s="3">
        <v>0</v>
      </c>
      <c r="N38" s="3">
        <v>10</v>
      </c>
      <c r="O38" s="3">
        <v>0</v>
      </c>
      <c r="P38" s="4">
        <f t="shared" si="0"/>
        <v>86</v>
      </c>
      <c r="Q38" s="1" t="s">
        <v>14</v>
      </c>
      <c r="R38" s="44">
        <v>50</v>
      </c>
      <c r="S38" s="46">
        <v>100</v>
      </c>
      <c r="T38" s="4"/>
    </row>
    <row r="39" spans="1:20" x14ac:dyDescent="0.25">
      <c r="A39" s="7">
        <v>36</v>
      </c>
      <c r="D39" s="9" t="s">
        <v>144</v>
      </c>
      <c r="E39" s="10"/>
      <c r="F39" s="10"/>
      <c r="G39" s="11"/>
      <c r="H39" s="12">
        <v>100</v>
      </c>
      <c r="I39" s="7" t="s">
        <v>2</v>
      </c>
      <c r="J39" s="3">
        <v>0</v>
      </c>
      <c r="K39" s="3">
        <v>0</v>
      </c>
      <c r="L39" s="3">
        <v>7</v>
      </c>
      <c r="M39" s="3">
        <v>0</v>
      </c>
      <c r="N39" s="3">
        <v>10</v>
      </c>
      <c r="O39" s="3">
        <v>0</v>
      </c>
      <c r="P39" s="4">
        <f t="shared" si="0"/>
        <v>83</v>
      </c>
      <c r="Q39" s="1" t="s">
        <v>14</v>
      </c>
      <c r="R39" s="44">
        <v>50</v>
      </c>
      <c r="S39" s="47">
        <v>100</v>
      </c>
      <c r="T39" s="4"/>
    </row>
    <row r="40" spans="1:20" x14ac:dyDescent="0.25">
      <c r="A40" s="7">
        <v>37</v>
      </c>
      <c r="D40" s="16" t="s">
        <v>42</v>
      </c>
      <c r="E40" s="17"/>
      <c r="F40" s="17"/>
      <c r="G40" s="18"/>
      <c r="H40" s="12">
        <v>83</v>
      </c>
      <c r="I40" s="7" t="s">
        <v>2</v>
      </c>
      <c r="J40" s="3">
        <v>0</v>
      </c>
      <c r="K40" s="3">
        <v>0</v>
      </c>
      <c r="L40" s="3">
        <v>7</v>
      </c>
      <c r="M40" s="3">
        <v>0</v>
      </c>
      <c r="N40" s="3">
        <v>10</v>
      </c>
      <c r="O40" s="3">
        <v>0</v>
      </c>
      <c r="P40" s="4">
        <f t="shared" si="0"/>
        <v>66</v>
      </c>
      <c r="Q40" s="1" t="s">
        <v>14</v>
      </c>
      <c r="R40" s="44">
        <v>50</v>
      </c>
      <c r="S40" s="47">
        <v>100</v>
      </c>
      <c r="T40" s="4"/>
    </row>
    <row r="41" spans="1:20" x14ac:dyDescent="0.25">
      <c r="A41" s="7">
        <v>38</v>
      </c>
      <c r="D41" s="9" t="s">
        <v>133</v>
      </c>
      <c r="E41" s="10"/>
      <c r="F41" s="10"/>
      <c r="G41" s="11"/>
      <c r="H41" s="12">
        <v>145</v>
      </c>
      <c r="I41" s="7" t="s">
        <v>2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4">
        <f t="shared" si="0"/>
        <v>145</v>
      </c>
      <c r="Q41" s="1" t="s">
        <v>14</v>
      </c>
      <c r="R41" s="44">
        <v>20</v>
      </c>
      <c r="S41" s="47">
        <v>50</v>
      </c>
      <c r="T41" s="4"/>
    </row>
    <row r="42" spans="1:20" x14ac:dyDescent="0.25">
      <c r="A42" s="7">
        <v>39</v>
      </c>
      <c r="D42" s="16" t="s">
        <v>145</v>
      </c>
      <c r="E42" s="17"/>
      <c r="F42" s="17"/>
      <c r="G42" s="18"/>
      <c r="H42" s="12">
        <v>145</v>
      </c>
      <c r="I42" s="7" t="s">
        <v>2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4">
        <f t="shared" si="0"/>
        <v>145</v>
      </c>
      <c r="Q42" s="1" t="s">
        <v>14</v>
      </c>
      <c r="R42" s="44">
        <v>20</v>
      </c>
      <c r="S42" s="46">
        <v>50</v>
      </c>
      <c r="T42" s="4"/>
    </row>
    <row r="43" spans="1:20" x14ac:dyDescent="0.25">
      <c r="A43" s="7">
        <v>40</v>
      </c>
      <c r="D43" s="9" t="s">
        <v>71</v>
      </c>
      <c r="E43" s="10"/>
      <c r="F43" s="10"/>
      <c r="G43" s="11"/>
      <c r="H43" s="12">
        <v>0</v>
      </c>
      <c r="I43" s="7" t="s">
        <v>2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4">
        <f t="shared" si="0"/>
        <v>0</v>
      </c>
      <c r="Q43" s="1" t="s">
        <v>14</v>
      </c>
      <c r="R43" s="44">
        <v>5</v>
      </c>
      <c r="S43" s="47">
        <v>10</v>
      </c>
      <c r="T43" s="4"/>
    </row>
    <row r="44" spans="1:20" x14ac:dyDescent="0.25">
      <c r="A44" s="7">
        <v>41</v>
      </c>
      <c r="D44" s="16" t="s">
        <v>10</v>
      </c>
      <c r="E44" s="17"/>
      <c r="F44" s="17"/>
      <c r="G44" s="18"/>
      <c r="H44" s="12">
        <v>150</v>
      </c>
      <c r="I44" s="7" t="s">
        <v>2</v>
      </c>
      <c r="J44" s="3">
        <v>0</v>
      </c>
      <c r="K44" s="3">
        <v>0</v>
      </c>
      <c r="L44" s="3">
        <v>0</v>
      </c>
      <c r="M44" s="3">
        <v>0</v>
      </c>
      <c r="N44" s="3">
        <v>16</v>
      </c>
      <c r="O44" s="3">
        <v>0</v>
      </c>
      <c r="P44" s="4">
        <f t="shared" si="0"/>
        <v>134</v>
      </c>
      <c r="Q44" s="1" t="s">
        <v>14</v>
      </c>
      <c r="R44" s="44">
        <v>40</v>
      </c>
      <c r="S44" s="47">
        <v>100</v>
      </c>
      <c r="T44" s="4"/>
    </row>
    <row r="45" spans="1:20" x14ac:dyDescent="0.25">
      <c r="A45" s="7">
        <v>42</v>
      </c>
      <c r="D45" s="9" t="s">
        <v>45</v>
      </c>
      <c r="E45" s="10"/>
      <c r="F45" s="10"/>
      <c r="G45" s="11"/>
      <c r="H45" s="12">
        <v>82</v>
      </c>
      <c r="I45" s="7" t="s">
        <v>2</v>
      </c>
      <c r="J45" s="3">
        <v>0</v>
      </c>
      <c r="K45" s="3">
        <v>0</v>
      </c>
      <c r="L45" s="3">
        <v>0</v>
      </c>
      <c r="M45" s="3">
        <v>0</v>
      </c>
      <c r="N45" s="3">
        <v>16</v>
      </c>
      <c r="O45" s="3">
        <v>0</v>
      </c>
      <c r="P45" s="4">
        <f t="shared" si="0"/>
        <v>66</v>
      </c>
      <c r="Q45" s="1" t="s">
        <v>14</v>
      </c>
      <c r="R45" s="44">
        <v>20</v>
      </c>
      <c r="S45" s="47">
        <v>50</v>
      </c>
      <c r="T45" s="4"/>
    </row>
    <row r="46" spans="1:20" x14ac:dyDescent="0.25">
      <c r="A46" s="7">
        <v>43</v>
      </c>
      <c r="D46" s="16" t="s">
        <v>46</v>
      </c>
      <c r="E46" s="17"/>
      <c r="F46" s="17"/>
      <c r="G46" s="18"/>
      <c r="H46" s="12">
        <v>64</v>
      </c>
      <c r="I46" s="7" t="s">
        <v>2</v>
      </c>
      <c r="J46" s="3">
        <v>0</v>
      </c>
      <c r="K46" s="3">
        <v>0</v>
      </c>
      <c r="L46" s="3">
        <v>0</v>
      </c>
      <c r="M46" s="3">
        <v>0</v>
      </c>
      <c r="N46" s="3">
        <v>16</v>
      </c>
      <c r="O46" s="3">
        <v>0</v>
      </c>
      <c r="P46" s="4">
        <f t="shared" si="0"/>
        <v>48</v>
      </c>
      <c r="Q46" s="1" t="s">
        <v>14</v>
      </c>
      <c r="R46" s="44">
        <v>20</v>
      </c>
      <c r="S46" s="47">
        <v>50</v>
      </c>
      <c r="T46" s="4"/>
    </row>
    <row r="47" spans="1:20" x14ac:dyDescent="0.25">
      <c r="A47" s="7">
        <v>44</v>
      </c>
      <c r="D47" s="9" t="s">
        <v>47</v>
      </c>
      <c r="E47" s="10"/>
      <c r="F47" s="10"/>
      <c r="G47" s="11"/>
      <c r="H47" s="12">
        <v>62</v>
      </c>
      <c r="I47" s="7" t="s">
        <v>2</v>
      </c>
      <c r="J47" s="3">
        <v>0</v>
      </c>
      <c r="K47" s="3">
        <v>0</v>
      </c>
      <c r="L47" s="3">
        <v>0</v>
      </c>
      <c r="M47" s="3">
        <v>0</v>
      </c>
      <c r="N47" s="3">
        <v>16</v>
      </c>
      <c r="O47" s="3">
        <v>0</v>
      </c>
      <c r="P47" s="4">
        <f t="shared" si="0"/>
        <v>46</v>
      </c>
      <c r="Q47" s="1" t="s">
        <v>14</v>
      </c>
      <c r="R47" s="44">
        <v>20</v>
      </c>
      <c r="S47" s="47">
        <v>50</v>
      </c>
      <c r="T47" s="4"/>
    </row>
    <row r="48" spans="1:20" x14ac:dyDescent="0.25">
      <c r="A48" s="7">
        <v>45</v>
      </c>
      <c r="D48" s="16" t="s">
        <v>79</v>
      </c>
      <c r="E48" s="17"/>
      <c r="F48" s="17"/>
      <c r="G48" s="18"/>
      <c r="H48" s="12">
        <v>2</v>
      </c>
      <c r="I48" s="7" t="s">
        <v>2</v>
      </c>
      <c r="J48" s="3">
        <v>0</v>
      </c>
      <c r="K48" s="3">
        <v>0</v>
      </c>
      <c r="L48" s="3">
        <v>1</v>
      </c>
      <c r="M48" s="3">
        <v>0</v>
      </c>
      <c r="N48" s="3">
        <v>0</v>
      </c>
      <c r="O48" s="3">
        <v>0</v>
      </c>
      <c r="P48" s="4">
        <f t="shared" si="0"/>
        <v>1</v>
      </c>
      <c r="Q48" s="1" t="s">
        <v>14</v>
      </c>
      <c r="R48" s="44">
        <v>10</v>
      </c>
      <c r="S48" s="47">
        <v>20</v>
      </c>
      <c r="T48" s="4"/>
    </row>
    <row r="49" spans="1:20" x14ac:dyDescent="0.25">
      <c r="A49" s="7">
        <v>46</v>
      </c>
      <c r="D49" s="9" t="s">
        <v>48</v>
      </c>
      <c r="E49" s="10"/>
      <c r="F49" s="10"/>
      <c r="G49" s="11"/>
      <c r="H49" s="12">
        <v>67</v>
      </c>
      <c r="I49" s="7" t="s">
        <v>2</v>
      </c>
      <c r="J49" s="3">
        <v>0</v>
      </c>
      <c r="K49" s="3">
        <v>0</v>
      </c>
      <c r="L49" s="3">
        <v>1</v>
      </c>
      <c r="M49" s="3">
        <v>0</v>
      </c>
      <c r="N49" s="3">
        <v>0</v>
      </c>
      <c r="O49" s="3">
        <v>0</v>
      </c>
      <c r="P49" s="4">
        <f t="shared" si="0"/>
        <v>66</v>
      </c>
      <c r="Q49" s="1" t="s">
        <v>14</v>
      </c>
      <c r="R49" s="44">
        <v>10</v>
      </c>
      <c r="S49" s="47">
        <v>20</v>
      </c>
      <c r="T49" s="4" t="s">
        <v>14</v>
      </c>
    </row>
    <row r="50" spans="1:20" x14ac:dyDescent="0.25">
      <c r="A50" s="7">
        <v>47</v>
      </c>
      <c r="D50" s="16" t="s">
        <v>49</v>
      </c>
      <c r="E50" s="17"/>
      <c r="F50" s="17"/>
      <c r="G50" s="18"/>
      <c r="H50" s="12">
        <v>109</v>
      </c>
      <c r="I50" s="7" t="s">
        <v>2</v>
      </c>
      <c r="J50" s="3">
        <v>0</v>
      </c>
      <c r="K50" s="3">
        <v>0</v>
      </c>
      <c r="L50" s="3">
        <v>1</v>
      </c>
      <c r="M50" s="3">
        <v>0</v>
      </c>
      <c r="N50" s="3">
        <v>0</v>
      </c>
      <c r="O50" s="3">
        <v>0</v>
      </c>
      <c r="P50" s="4">
        <f t="shared" si="0"/>
        <v>108</v>
      </c>
      <c r="Q50" s="1" t="s">
        <v>14</v>
      </c>
      <c r="R50" s="44">
        <v>10</v>
      </c>
      <c r="S50" s="47">
        <v>20</v>
      </c>
      <c r="T50" s="4"/>
    </row>
    <row r="51" spans="1:20" x14ac:dyDescent="0.25">
      <c r="A51" s="7">
        <v>48</v>
      </c>
      <c r="D51" s="9" t="s">
        <v>169</v>
      </c>
      <c r="E51" s="10"/>
      <c r="F51" s="10"/>
      <c r="G51" s="11"/>
      <c r="H51" s="12">
        <v>30</v>
      </c>
      <c r="I51" s="7" t="s">
        <v>1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4">
        <f t="shared" si="0"/>
        <v>30</v>
      </c>
      <c r="Q51" s="1" t="s">
        <v>14</v>
      </c>
      <c r="R51" s="44">
        <v>20</v>
      </c>
      <c r="S51" s="47">
        <v>100</v>
      </c>
      <c r="T51" s="4"/>
    </row>
    <row r="52" spans="1:20" x14ac:dyDescent="0.25">
      <c r="A52" s="7">
        <v>49</v>
      </c>
      <c r="D52" s="88"/>
      <c r="E52" s="89"/>
      <c r="F52" s="90" t="s">
        <v>111</v>
      </c>
      <c r="G52" s="87"/>
      <c r="H52" s="12">
        <v>261</v>
      </c>
      <c r="I52" s="7" t="s">
        <v>2</v>
      </c>
      <c r="J52" s="3">
        <v>0</v>
      </c>
      <c r="K52" s="3">
        <v>0</v>
      </c>
      <c r="L52" s="3">
        <v>5</v>
      </c>
      <c r="M52" s="3">
        <v>0</v>
      </c>
      <c r="N52" s="3">
        <v>0</v>
      </c>
      <c r="O52" s="3">
        <v>0</v>
      </c>
      <c r="P52" s="4">
        <f t="shared" si="0"/>
        <v>256</v>
      </c>
      <c r="Q52" s="1" t="s">
        <v>14</v>
      </c>
      <c r="R52" s="44">
        <v>30</v>
      </c>
      <c r="S52" s="47">
        <v>100</v>
      </c>
      <c r="T52" s="4"/>
    </row>
    <row r="53" spans="1:20" x14ac:dyDescent="0.25">
      <c r="A53" s="7">
        <v>50</v>
      </c>
      <c r="D53" s="9" t="s">
        <v>51</v>
      </c>
      <c r="E53" s="10"/>
      <c r="F53" s="10"/>
      <c r="G53" s="11"/>
      <c r="H53" s="12">
        <v>46</v>
      </c>
      <c r="I53" s="7" t="s">
        <v>2</v>
      </c>
      <c r="J53" s="3">
        <v>0</v>
      </c>
      <c r="K53" s="3">
        <v>9</v>
      </c>
      <c r="L53" s="3">
        <v>0</v>
      </c>
      <c r="M53" s="3">
        <v>0</v>
      </c>
      <c r="N53" s="3">
        <v>0</v>
      </c>
      <c r="O53" s="3">
        <v>0</v>
      </c>
      <c r="P53" s="4">
        <f t="shared" si="0"/>
        <v>37</v>
      </c>
      <c r="Q53" s="1" t="s">
        <v>14</v>
      </c>
      <c r="R53" s="44">
        <v>20</v>
      </c>
      <c r="S53" s="47">
        <v>50</v>
      </c>
      <c r="T53" s="4"/>
    </row>
    <row r="54" spans="1:20" x14ac:dyDescent="0.25">
      <c r="A54" s="7">
        <v>51</v>
      </c>
      <c r="D54" s="16" t="s">
        <v>52</v>
      </c>
      <c r="E54" s="17"/>
      <c r="F54" s="17"/>
      <c r="G54" s="18"/>
      <c r="H54" s="12">
        <v>55</v>
      </c>
      <c r="I54" s="7" t="s">
        <v>2</v>
      </c>
      <c r="J54" s="3">
        <v>0</v>
      </c>
      <c r="K54" s="3">
        <v>9</v>
      </c>
      <c r="L54" s="3">
        <v>0</v>
      </c>
      <c r="M54" s="3">
        <v>0</v>
      </c>
      <c r="N54" s="3">
        <v>0</v>
      </c>
      <c r="O54" s="3">
        <v>0</v>
      </c>
      <c r="P54" s="4">
        <f t="shared" si="0"/>
        <v>46</v>
      </c>
      <c r="Q54" s="1" t="s">
        <v>14</v>
      </c>
      <c r="R54" s="44">
        <v>20</v>
      </c>
      <c r="S54" s="47">
        <v>50</v>
      </c>
      <c r="T54" s="4" t="s">
        <v>14</v>
      </c>
    </row>
    <row r="55" spans="1:20" x14ac:dyDescent="0.25">
      <c r="A55" s="7">
        <v>52</v>
      </c>
      <c r="D55" s="9" t="s">
        <v>53</v>
      </c>
      <c r="E55" s="10"/>
      <c r="F55" s="10"/>
      <c r="G55" s="11"/>
      <c r="H55" s="12">
        <v>9</v>
      </c>
      <c r="I55" s="7" t="s">
        <v>2</v>
      </c>
      <c r="J55" s="3">
        <v>0</v>
      </c>
      <c r="K55" s="3">
        <v>9</v>
      </c>
      <c r="L55" s="3">
        <v>0</v>
      </c>
      <c r="M55" s="3">
        <v>0</v>
      </c>
      <c r="N55" s="3">
        <v>0</v>
      </c>
      <c r="O55" s="3">
        <v>0</v>
      </c>
      <c r="P55" s="4">
        <f t="shared" si="0"/>
        <v>0</v>
      </c>
      <c r="Q55" s="1" t="s">
        <v>14</v>
      </c>
      <c r="R55" s="44">
        <v>20</v>
      </c>
      <c r="S55" s="47">
        <v>50</v>
      </c>
      <c r="T55" s="4"/>
    </row>
    <row r="56" spans="1:20" x14ac:dyDescent="0.25">
      <c r="A56" s="7">
        <v>53</v>
      </c>
      <c r="D56" s="70" t="s">
        <v>54</v>
      </c>
      <c r="E56" s="71"/>
      <c r="F56" s="71"/>
      <c r="G56" s="72"/>
      <c r="H56" s="12">
        <v>1560</v>
      </c>
      <c r="I56" s="7" t="s">
        <v>1</v>
      </c>
      <c r="J56" s="3">
        <v>0</v>
      </c>
      <c r="K56" s="3">
        <v>120</v>
      </c>
      <c r="L56" s="3">
        <v>135</v>
      </c>
      <c r="M56" s="3">
        <v>135</v>
      </c>
      <c r="N56" s="3">
        <v>135</v>
      </c>
      <c r="O56" s="3">
        <v>0</v>
      </c>
      <c r="P56" s="4">
        <f t="shared" si="0"/>
        <v>1035</v>
      </c>
      <c r="Q56" s="1" t="s">
        <v>120</v>
      </c>
      <c r="R56" s="44">
        <v>250</v>
      </c>
      <c r="S56" s="47">
        <v>750</v>
      </c>
      <c r="T56" s="4"/>
    </row>
    <row r="57" spans="1:20" x14ac:dyDescent="0.25">
      <c r="A57" s="7">
        <v>54</v>
      </c>
      <c r="D57" s="16" t="s">
        <v>61</v>
      </c>
      <c r="E57" s="17"/>
      <c r="F57" s="17"/>
      <c r="G57" s="18"/>
      <c r="H57" s="12">
        <v>246</v>
      </c>
      <c r="I57" s="7" t="s">
        <v>2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  <c r="P57" s="4">
        <f t="shared" si="0"/>
        <v>246</v>
      </c>
      <c r="Q57" s="1" t="s">
        <v>14</v>
      </c>
      <c r="R57" s="44">
        <v>10</v>
      </c>
      <c r="S57" s="46">
        <v>200</v>
      </c>
      <c r="T57" s="4"/>
    </row>
    <row r="58" spans="1:20" x14ac:dyDescent="0.25">
      <c r="A58" s="7">
        <v>55</v>
      </c>
      <c r="D58" s="9" t="s">
        <v>62</v>
      </c>
      <c r="E58" s="10"/>
      <c r="F58" s="10"/>
      <c r="G58" s="11"/>
      <c r="H58" s="12">
        <v>668</v>
      </c>
      <c r="I58" s="7" t="s">
        <v>2</v>
      </c>
      <c r="J58" s="3">
        <v>2273</v>
      </c>
      <c r="K58" s="3">
        <v>36</v>
      </c>
      <c r="L58" s="3">
        <v>24</v>
      </c>
      <c r="M58" s="3">
        <v>674</v>
      </c>
      <c r="N58" s="3">
        <v>132</v>
      </c>
      <c r="O58" s="3">
        <v>0</v>
      </c>
      <c r="P58" s="4">
        <f t="shared" si="0"/>
        <v>2075</v>
      </c>
      <c r="Q58" s="1" t="s">
        <v>14</v>
      </c>
      <c r="R58" s="44">
        <v>200</v>
      </c>
      <c r="S58" s="47">
        <v>1000</v>
      </c>
      <c r="T58" s="4"/>
    </row>
    <row r="59" spans="1:20" x14ac:dyDescent="0.25">
      <c r="A59" s="7">
        <v>56</v>
      </c>
      <c r="D59" s="16" t="s">
        <v>13</v>
      </c>
      <c r="E59" s="17"/>
      <c r="F59" s="17"/>
      <c r="G59" s="18"/>
      <c r="H59" s="12">
        <v>387</v>
      </c>
      <c r="I59" s="7" t="s">
        <v>2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  <c r="P59" s="4">
        <f t="shared" si="0"/>
        <v>387</v>
      </c>
      <c r="Q59" s="1" t="s">
        <v>14</v>
      </c>
      <c r="R59" s="44">
        <v>100</v>
      </c>
      <c r="S59" s="47">
        <v>300</v>
      </c>
      <c r="T59" s="4"/>
    </row>
    <row r="60" spans="1:20" x14ac:dyDescent="0.25">
      <c r="A60" s="7">
        <v>57</v>
      </c>
      <c r="D60" s="9" t="s">
        <v>72</v>
      </c>
      <c r="E60" s="10"/>
      <c r="F60" s="10"/>
      <c r="G60" s="11"/>
      <c r="H60" s="12">
        <v>134</v>
      </c>
      <c r="I60" s="7" t="s">
        <v>2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4">
        <f t="shared" si="0"/>
        <v>134</v>
      </c>
      <c r="Q60" s="1" t="s">
        <v>14</v>
      </c>
      <c r="R60" s="44">
        <v>100</v>
      </c>
      <c r="S60" s="47">
        <v>300</v>
      </c>
      <c r="T60" s="4"/>
    </row>
    <row r="61" spans="1:20" x14ac:dyDescent="0.25">
      <c r="A61" s="7">
        <v>58</v>
      </c>
      <c r="D61" s="16" t="s">
        <v>63</v>
      </c>
      <c r="E61" s="17"/>
      <c r="F61" s="17"/>
      <c r="G61" s="18"/>
      <c r="H61" s="12">
        <v>4</v>
      </c>
      <c r="I61" s="7" t="s">
        <v>2</v>
      </c>
      <c r="J61" s="3">
        <v>0</v>
      </c>
      <c r="K61" s="3">
        <v>4</v>
      </c>
      <c r="L61" s="3">
        <v>0</v>
      </c>
      <c r="M61" s="3">
        <v>0</v>
      </c>
      <c r="N61" s="3">
        <v>0</v>
      </c>
      <c r="O61" s="3">
        <v>0</v>
      </c>
      <c r="P61" s="4">
        <f t="shared" si="0"/>
        <v>0</v>
      </c>
      <c r="Q61" s="1" t="s">
        <v>14</v>
      </c>
      <c r="R61" s="44">
        <v>100</v>
      </c>
      <c r="S61" s="47">
        <v>300</v>
      </c>
      <c r="T61" s="4"/>
    </row>
    <row r="62" spans="1:20" x14ac:dyDescent="0.25">
      <c r="A62" s="7">
        <v>59</v>
      </c>
      <c r="D62" s="9" t="s">
        <v>77</v>
      </c>
      <c r="E62" s="10"/>
      <c r="F62" s="10"/>
      <c r="G62" s="11"/>
      <c r="H62" s="12">
        <v>510</v>
      </c>
      <c r="I62" s="7" t="s">
        <v>2</v>
      </c>
      <c r="J62" s="3">
        <v>0</v>
      </c>
      <c r="K62" s="3">
        <v>0</v>
      </c>
      <c r="L62" s="3">
        <v>0</v>
      </c>
      <c r="M62" s="3">
        <v>0</v>
      </c>
      <c r="N62" s="3">
        <v>6</v>
      </c>
      <c r="O62" s="3">
        <v>0</v>
      </c>
      <c r="P62" s="4">
        <f t="shared" si="0"/>
        <v>504</v>
      </c>
      <c r="Q62" s="1" t="s">
        <v>14</v>
      </c>
      <c r="R62" s="44">
        <v>100</v>
      </c>
      <c r="S62" s="47">
        <v>300</v>
      </c>
      <c r="T62" s="4"/>
    </row>
    <row r="63" spans="1:20" x14ac:dyDescent="0.25">
      <c r="A63" s="7">
        <v>60</v>
      </c>
      <c r="D63" s="16" t="s">
        <v>130</v>
      </c>
      <c r="E63" s="17"/>
      <c r="F63" s="17"/>
      <c r="G63" s="18"/>
      <c r="H63" s="12">
        <v>220</v>
      </c>
      <c r="I63" s="7" t="s">
        <v>2</v>
      </c>
      <c r="J63" s="3">
        <v>0</v>
      </c>
      <c r="K63" s="3">
        <v>3</v>
      </c>
      <c r="L63" s="3">
        <v>1</v>
      </c>
      <c r="M63" s="3">
        <v>5</v>
      </c>
      <c r="N63" s="3">
        <v>4</v>
      </c>
      <c r="O63" s="3">
        <v>0</v>
      </c>
      <c r="P63" s="4">
        <f t="shared" si="0"/>
        <v>207</v>
      </c>
      <c r="Q63" s="1" t="s">
        <v>14</v>
      </c>
      <c r="R63" s="44">
        <v>20</v>
      </c>
      <c r="S63" s="46">
        <v>200</v>
      </c>
      <c r="T63" s="4"/>
    </row>
    <row r="64" spans="1:20" x14ac:dyDescent="0.25">
      <c r="A64" s="7">
        <v>61</v>
      </c>
      <c r="D64" s="26" t="s">
        <v>146</v>
      </c>
      <c r="E64" s="27"/>
      <c r="F64" s="27"/>
      <c r="G64" s="28"/>
      <c r="H64" s="12">
        <v>21</v>
      </c>
      <c r="I64" s="30" t="s">
        <v>2</v>
      </c>
      <c r="J64" s="3">
        <v>0</v>
      </c>
      <c r="K64" s="3">
        <v>20</v>
      </c>
      <c r="L64" s="3">
        <v>0</v>
      </c>
      <c r="M64" s="3">
        <v>0</v>
      </c>
      <c r="N64" s="3">
        <v>0</v>
      </c>
      <c r="O64" s="3">
        <v>0</v>
      </c>
      <c r="P64" s="4">
        <f t="shared" si="0"/>
        <v>1</v>
      </c>
      <c r="Q64" s="1" t="s">
        <v>14</v>
      </c>
      <c r="R64" s="44">
        <v>50</v>
      </c>
      <c r="S64" s="47">
        <v>100</v>
      </c>
      <c r="T64" s="4"/>
    </row>
    <row r="65" spans="1:20" x14ac:dyDescent="0.25">
      <c r="A65" s="7">
        <v>62</v>
      </c>
      <c r="D65" s="16" t="s">
        <v>65</v>
      </c>
      <c r="E65" s="17"/>
      <c r="F65" s="17"/>
      <c r="G65" s="18"/>
      <c r="H65" s="12">
        <v>57</v>
      </c>
      <c r="I65" s="7" t="s">
        <v>2</v>
      </c>
      <c r="J65" s="3">
        <v>0</v>
      </c>
      <c r="K65" s="3">
        <v>3</v>
      </c>
      <c r="L65" s="3">
        <v>0</v>
      </c>
      <c r="M65" s="3">
        <v>0</v>
      </c>
      <c r="N65" s="3">
        <v>0</v>
      </c>
      <c r="O65" s="3">
        <v>0</v>
      </c>
      <c r="P65" s="4">
        <f t="shared" si="0"/>
        <v>54</v>
      </c>
      <c r="Q65" s="1" t="s">
        <v>14</v>
      </c>
      <c r="R65" s="44">
        <v>10</v>
      </c>
      <c r="S65" s="46">
        <v>50</v>
      </c>
      <c r="T65" s="4"/>
    </row>
    <row r="66" spans="1:20" x14ac:dyDescent="0.25">
      <c r="A66" s="7">
        <v>63</v>
      </c>
      <c r="D66" s="9" t="s">
        <v>66</v>
      </c>
      <c r="E66" s="10"/>
      <c r="F66" s="10"/>
      <c r="G66" s="11"/>
      <c r="H66" s="12">
        <v>50</v>
      </c>
      <c r="I66" s="7" t="s">
        <v>2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  <c r="P66" s="4">
        <f t="shared" si="0"/>
        <v>50</v>
      </c>
      <c r="Q66" s="1" t="s">
        <v>14</v>
      </c>
      <c r="R66" s="44">
        <v>300</v>
      </c>
      <c r="S66" s="47">
        <v>1000</v>
      </c>
      <c r="T66" s="4"/>
    </row>
    <row r="67" spans="1:20" x14ac:dyDescent="0.25">
      <c r="A67" s="7">
        <v>64</v>
      </c>
      <c r="D67" s="19" t="s">
        <v>165</v>
      </c>
      <c r="E67" s="20"/>
      <c r="F67" s="20"/>
      <c r="G67" s="21"/>
      <c r="H67" s="12">
        <v>88</v>
      </c>
      <c r="I67" s="7" t="s">
        <v>2</v>
      </c>
      <c r="J67" s="3">
        <v>0</v>
      </c>
      <c r="K67" s="3">
        <v>0</v>
      </c>
      <c r="L67" s="3">
        <v>0</v>
      </c>
      <c r="M67" s="3">
        <v>5</v>
      </c>
      <c r="N67" s="3">
        <v>4</v>
      </c>
      <c r="O67" s="3">
        <v>0</v>
      </c>
      <c r="P67" s="4">
        <f t="shared" si="0"/>
        <v>79</v>
      </c>
      <c r="Q67" s="1" t="s">
        <v>14</v>
      </c>
      <c r="R67" s="44">
        <v>50</v>
      </c>
      <c r="S67" s="47">
        <v>150</v>
      </c>
      <c r="T67" s="4"/>
    </row>
    <row r="68" spans="1:20" x14ac:dyDescent="0.25">
      <c r="A68" s="7">
        <v>65</v>
      </c>
      <c r="D68" s="22" t="s">
        <v>74</v>
      </c>
      <c r="E68" s="10"/>
      <c r="F68" s="10"/>
      <c r="G68" s="11"/>
      <c r="H68" s="12">
        <v>640</v>
      </c>
      <c r="I68" s="8" t="s">
        <v>75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4">
        <f t="shared" ref="P68:P89" si="1">+H68+J68-K68-L68-M68-N68-O68</f>
        <v>640</v>
      </c>
      <c r="Q68" s="1" t="s">
        <v>91</v>
      </c>
      <c r="R68" s="44">
        <v>65</v>
      </c>
      <c r="S68" s="47">
        <v>150</v>
      </c>
      <c r="T68" s="4"/>
    </row>
    <row r="69" spans="1:20" x14ac:dyDescent="0.25">
      <c r="A69" s="7">
        <v>66</v>
      </c>
      <c r="C69" s="1" t="s">
        <v>14</v>
      </c>
      <c r="D69" s="22" t="s">
        <v>76</v>
      </c>
      <c r="E69" s="10"/>
      <c r="F69" s="10"/>
      <c r="G69" s="11"/>
      <c r="H69" s="12">
        <v>240</v>
      </c>
      <c r="I69" s="8" t="s">
        <v>2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4">
        <f t="shared" si="1"/>
        <v>240</v>
      </c>
      <c r="Q69" s="1" t="s">
        <v>14</v>
      </c>
      <c r="R69" s="44">
        <v>50</v>
      </c>
      <c r="S69" s="47">
        <v>100</v>
      </c>
      <c r="T69" s="4"/>
    </row>
    <row r="70" spans="1:20" x14ac:dyDescent="0.25">
      <c r="A70" s="7">
        <v>67</v>
      </c>
      <c r="D70" s="25" t="s">
        <v>147</v>
      </c>
      <c r="H70" s="12">
        <v>321</v>
      </c>
      <c r="I70" s="30" t="s">
        <v>2</v>
      </c>
      <c r="J70" s="3">
        <v>0</v>
      </c>
      <c r="K70" s="3">
        <v>20</v>
      </c>
      <c r="L70" s="3">
        <v>0</v>
      </c>
      <c r="M70" s="3">
        <v>0</v>
      </c>
      <c r="N70" s="3">
        <v>0</v>
      </c>
      <c r="O70" s="3">
        <v>0</v>
      </c>
      <c r="P70" s="4">
        <f t="shared" si="1"/>
        <v>301</v>
      </c>
      <c r="Q70" s="1" t="s">
        <v>14</v>
      </c>
      <c r="R70" s="44">
        <v>50</v>
      </c>
      <c r="S70" s="47">
        <v>100</v>
      </c>
      <c r="T70" s="4"/>
    </row>
    <row r="71" spans="1:20" x14ac:dyDescent="0.25">
      <c r="A71" s="7">
        <v>68</v>
      </c>
      <c r="D71" s="26" t="s">
        <v>80</v>
      </c>
      <c r="E71" s="27"/>
      <c r="F71" s="27"/>
      <c r="G71" s="28"/>
      <c r="H71" s="12">
        <v>98</v>
      </c>
      <c r="I71" s="8" t="s">
        <v>2</v>
      </c>
      <c r="J71" s="3">
        <v>0</v>
      </c>
      <c r="K71" s="3">
        <v>3</v>
      </c>
      <c r="L71" s="3">
        <v>0</v>
      </c>
      <c r="M71" s="3">
        <v>0</v>
      </c>
      <c r="N71" s="3">
        <v>12</v>
      </c>
      <c r="O71" s="3">
        <v>0</v>
      </c>
      <c r="P71" s="4">
        <f t="shared" si="1"/>
        <v>83</v>
      </c>
      <c r="Q71" s="1" t="s">
        <v>14</v>
      </c>
      <c r="R71" s="44">
        <v>20</v>
      </c>
      <c r="S71" s="46">
        <v>200</v>
      </c>
      <c r="T71" s="4"/>
    </row>
    <row r="72" spans="1:20" x14ac:dyDescent="0.25">
      <c r="A72" s="7">
        <v>69</v>
      </c>
      <c r="D72" s="26" t="s">
        <v>84</v>
      </c>
      <c r="E72" s="27"/>
      <c r="F72" s="27"/>
      <c r="G72" s="28"/>
      <c r="H72" s="12">
        <v>0</v>
      </c>
      <c r="I72" s="8" t="s">
        <v>2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  <c r="P72" s="4">
        <f t="shared" si="1"/>
        <v>0</v>
      </c>
      <c r="Q72" s="1" t="s">
        <v>14</v>
      </c>
      <c r="R72" s="44">
        <v>100</v>
      </c>
      <c r="S72" s="47">
        <v>200</v>
      </c>
      <c r="T72" s="4"/>
    </row>
    <row r="73" spans="1:20" x14ac:dyDescent="0.25">
      <c r="A73" s="7">
        <v>70</v>
      </c>
      <c r="D73" s="26" t="s">
        <v>167</v>
      </c>
      <c r="E73" s="27"/>
      <c r="F73" s="27"/>
      <c r="G73" s="28"/>
      <c r="H73" s="12">
        <v>98</v>
      </c>
      <c r="I73" s="8" t="s">
        <v>2</v>
      </c>
      <c r="J73" s="3">
        <v>0</v>
      </c>
      <c r="K73" s="3">
        <v>3</v>
      </c>
      <c r="L73" s="3">
        <v>0</v>
      </c>
      <c r="M73" s="3">
        <v>0</v>
      </c>
      <c r="N73" s="3">
        <v>12</v>
      </c>
      <c r="O73" s="3">
        <v>0</v>
      </c>
      <c r="P73" s="4">
        <f t="shared" si="1"/>
        <v>83</v>
      </c>
      <c r="R73" s="44">
        <v>20</v>
      </c>
      <c r="S73" s="46">
        <v>200</v>
      </c>
      <c r="T73" s="4"/>
    </row>
    <row r="74" spans="1:20" x14ac:dyDescent="0.25">
      <c r="A74" s="7">
        <v>71</v>
      </c>
      <c r="D74" s="37" t="s">
        <v>14</v>
      </c>
      <c r="E74" s="17"/>
      <c r="F74" s="33"/>
      <c r="G74" s="33"/>
      <c r="H74" s="12">
        <v>0</v>
      </c>
      <c r="I74" s="8" t="s">
        <v>14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4">
        <f t="shared" si="1"/>
        <v>0</v>
      </c>
      <c r="Q74" s="1" t="s">
        <v>14</v>
      </c>
      <c r="R74" s="44">
        <v>100</v>
      </c>
      <c r="S74" s="47">
        <v>500</v>
      </c>
      <c r="T74" s="4"/>
    </row>
    <row r="75" spans="1:20" x14ac:dyDescent="0.25">
      <c r="A75" s="7">
        <v>72</v>
      </c>
      <c r="D75" s="22" t="s">
        <v>100</v>
      </c>
      <c r="E75" s="10"/>
      <c r="F75" s="10"/>
      <c r="G75" s="28"/>
      <c r="H75" s="12">
        <v>0</v>
      </c>
      <c r="I75" s="8" t="s">
        <v>2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4">
        <f t="shared" si="1"/>
        <v>0</v>
      </c>
      <c r="R75" s="44">
        <v>0</v>
      </c>
      <c r="S75" s="46"/>
      <c r="T75" s="4"/>
    </row>
    <row r="76" spans="1:20" x14ac:dyDescent="0.25">
      <c r="A76" s="7">
        <v>73</v>
      </c>
      <c r="D76" s="37" t="s">
        <v>113</v>
      </c>
      <c r="E76" s="17"/>
      <c r="F76" s="17"/>
      <c r="G76" s="33"/>
      <c r="H76" s="12">
        <v>623</v>
      </c>
      <c r="I76" s="8" t="s">
        <v>97</v>
      </c>
      <c r="J76" s="3">
        <v>0</v>
      </c>
      <c r="K76" s="3">
        <v>111</v>
      </c>
      <c r="L76" s="3">
        <v>41</v>
      </c>
      <c r="M76" s="3">
        <v>41</v>
      </c>
      <c r="N76" s="3">
        <v>55</v>
      </c>
      <c r="O76" s="3">
        <v>0</v>
      </c>
      <c r="P76" s="4">
        <f t="shared" si="1"/>
        <v>375</v>
      </c>
      <c r="Q76" s="65" t="s">
        <v>121</v>
      </c>
      <c r="R76" s="44">
        <v>30</v>
      </c>
      <c r="S76" s="47">
        <v>100</v>
      </c>
      <c r="T76" s="4"/>
    </row>
    <row r="77" spans="1:20" x14ac:dyDescent="0.25">
      <c r="A77" s="7">
        <v>74</v>
      </c>
      <c r="D77" s="22" t="s">
        <v>103</v>
      </c>
      <c r="E77" s="10"/>
      <c r="F77" s="10"/>
      <c r="G77" s="28"/>
      <c r="H77" s="12">
        <v>120</v>
      </c>
      <c r="I77" s="8" t="s">
        <v>2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4">
        <f t="shared" si="1"/>
        <v>120</v>
      </c>
      <c r="R77" s="44">
        <v>60</v>
      </c>
      <c r="S77" s="47">
        <v>100</v>
      </c>
      <c r="T77" s="4"/>
    </row>
    <row r="78" spans="1:20" x14ac:dyDescent="0.25">
      <c r="A78" s="8">
        <v>75</v>
      </c>
      <c r="D78" s="49" t="s">
        <v>108</v>
      </c>
      <c r="E78" s="20"/>
      <c r="F78" s="20"/>
      <c r="G78" s="20"/>
      <c r="H78" s="12">
        <v>3000</v>
      </c>
      <c r="I78" s="8" t="s">
        <v>110</v>
      </c>
      <c r="J78" s="3">
        <v>36000</v>
      </c>
      <c r="K78" s="3">
        <v>1000</v>
      </c>
      <c r="L78" s="3">
        <v>1500</v>
      </c>
      <c r="M78" s="3">
        <v>2000</v>
      </c>
      <c r="N78" s="3">
        <v>3000</v>
      </c>
      <c r="O78" s="3">
        <v>0</v>
      </c>
      <c r="P78" s="4">
        <f t="shared" si="1"/>
        <v>31500</v>
      </c>
      <c r="R78" s="43">
        <v>1000</v>
      </c>
      <c r="S78" s="46">
        <v>10000</v>
      </c>
      <c r="T78" s="4"/>
    </row>
    <row r="79" spans="1:20" x14ac:dyDescent="0.25">
      <c r="A79" s="48">
        <v>76</v>
      </c>
      <c r="B79" s="41"/>
      <c r="C79" s="41"/>
      <c r="D79" s="22" t="s">
        <v>115</v>
      </c>
      <c r="E79" s="10"/>
      <c r="F79" s="10"/>
      <c r="G79" s="11"/>
      <c r="H79" s="12">
        <v>316</v>
      </c>
      <c r="I79" s="62" t="s">
        <v>2</v>
      </c>
      <c r="J79" s="3">
        <v>0</v>
      </c>
      <c r="K79" s="3">
        <v>20</v>
      </c>
      <c r="L79" s="3">
        <v>0</v>
      </c>
      <c r="M79" s="3">
        <v>0</v>
      </c>
      <c r="N79" s="3">
        <v>0</v>
      </c>
      <c r="O79" s="3">
        <v>0</v>
      </c>
      <c r="P79" s="64">
        <f t="shared" si="1"/>
        <v>296</v>
      </c>
      <c r="R79" s="64">
        <v>50</v>
      </c>
      <c r="S79" s="64">
        <v>100</v>
      </c>
      <c r="T79" s="4" t="s">
        <v>14</v>
      </c>
    </row>
    <row r="80" spans="1:20" x14ac:dyDescent="0.25">
      <c r="A80" s="73">
        <v>77</v>
      </c>
      <c r="B80" s="41"/>
      <c r="C80" s="41"/>
      <c r="D80" s="49" t="s">
        <v>134</v>
      </c>
      <c r="E80" s="35"/>
      <c r="F80" s="35"/>
      <c r="G80" s="60"/>
      <c r="H80" s="12">
        <v>325</v>
      </c>
      <c r="I80" s="8" t="s">
        <v>2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  <c r="P80" s="4">
        <f t="shared" si="1"/>
        <v>325</v>
      </c>
      <c r="Q80" s="4"/>
      <c r="R80" s="4">
        <v>20</v>
      </c>
      <c r="S80" s="4">
        <v>50</v>
      </c>
      <c r="T80" s="4"/>
    </row>
    <row r="81" spans="1:20" x14ac:dyDescent="0.25">
      <c r="A81" s="8">
        <v>78</v>
      </c>
      <c r="D81" s="22" t="s">
        <v>123</v>
      </c>
      <c r="E81" s="10"/>
      <c r="F81" s="10"/>
      <c r="G81" s="11"/>
      <c r="H81" s="12">
        <v>2500</v>
      </c>
      <c r="I81" s="8" t="s">
        <v>2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  <c r="P81" s="4">
        <f t="shared" si="1"/>
        <v>2500</v>
      </c>
      <c r="Q81" s="4"/>
      <c r="R81" s="4">
        <v>100</v>
      </c>
      <c r="S81" s="4">
        <v>500</v>
      </c>
      <c r="T81" s="4"/>
    </row>
    <row r="82" spans="1:20" x14ac:dyDescent="0.25">
      <c r="A82" s="48">
        <v>79</v>
      </c>
      <c r="B82" s="41"/>
      <c r="C82" s="41"/>
      <c r="D82" s="22" t="s">
        <v>154</v>
      </c>
      <c r="E82" s="10"/>
      <c r="F82" s="10"/>
      <c r="G82" s="11"/>
      <c r="H82" s="4">
        <v>15</v>
      </c>
      <c r="I82" s="8" t="s">
        <v>2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  <c r="P82" s="4">
        <f t="shared" si="1"/>
        <v>15</v>
      </c>
      <c r="Q82" s="4"/>
      <c r="R82" s="4">
        <v>10</v>
      </c>
      <c r="S82" s="4">
        <v>50</v>
      </c>
      <c r="T82" s="4"/>
    </row>
    <row r="83" spans="1:20" x14ac:dyDescent="0.25">
      <c r="A83" s="48">
        <v>80</v>
      </c>
      <c r="B83" s="41"/>
      <c r="C83" s="41"/>
      <c r="D83" s="37" t="s">
        <v>155</v>
      </c>
      <c r="E83" s="17"/>
      <c r="F83" s="17"/>
      <c r="G83" s="18"/>
      <c r="H83" s="64">
        <v>15</v>
      </c>
      <c r="I83" s="62" t="s">
        <v>2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64">
        <f t="shared" si="1"/>
        <v>15</v>
      </c>
      <c r="Q83" s="64"/>
      <c r="R83" s="64">
        <v>10</v>
      </c>
      <c r="S83" s="64">
        <v>50</v>
      </c>
      <c r="T83" s="4"/>
    </row>
    <row r="84" spans="1:20" x14ac:dyDescent="0.25">
      <c r="A84" s="48">
        <v>81</v>
      </c>
      <c r="B84" s="11"/>
      <c r="C84" s="23"/>
      <c r="D84" s="23" t="s">
        <v>149</v>
      </c>
      <c r="E84" s="23"/>
      <c r="F84" s="23"/>
      <c r="G84" s="23"/>
      <c r="H84" s="23">
        <v>10</v>
      </c>
      <c r="I84" s="8" t="s">
        <v>2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4">
        <f t="shared" si="1"/>
        <v>10</v>
      </c>
      <c r="Q84" s="4"/>
      <c r="R84" s="4">
        <v>10</v>
      </c>
      <c r="S84" s="4">
        <v>50</v>
      </c>
      <c r="T84" s="4"/>
    </row>
    <row r="85" spans="1:20" x14ac:dyDescent="0.25">
      <c r="A85" s="8">
        <v>82</v>
      </c>
      <c r="D85" s="68" t="s">
        <v>148</v>
      </c>
      <c r="E85" s="27"/>
      <c r="F85" s="27"/>
      <c r="G85" s="28"/>
      <c r="H85" s="4">
        <v>98</v>
      </c>
      <c r="I85" s="8" t="s">
        <v>2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4">
        <f t="shared" si="1"/>
        <v>98</v>
      </c>
      <c r="Q85" s="4"/>
      <c r="R85" s="4">
        <v>50</v>
      </c>
      <c r="S85" s="4">
        <v>200</v>
      </c>
      <c r="T85" s="4"/>
    </row>
    <row r="86" spans="1:20" ht="15.75" customHeight="1" x14ac:dyDescent="0.25">
      <c r="A86" s="8">
        <v>83</v>
      </c>
      <c r="D86" s="79" t="s">
        <v>150</v>
      </c>
      <c r="E86" s="80"/>
      <c r="F86" s="81"/>
      <c r="G86" s="82"/>
      <c r="H86" s="4">
        <v>1200</v>
      </c>
      <c r="I86" s="8" t="s">
        <v>2</v>
      </c>
      <c r="J86" s="3">
        <v>0</v>
      </c>
      <c r="K86" s="3">
        <v>0</v>
      </c>
      <c r="L86" s="3">
        <v>410</v>
      </c>
      <c r="M86" s="3">
        <v>0</v>
      </c>
      <c r="N86" s="3">
        <v>305</v>
      </c>
      <c r="O86" s="3">
        <v>0</v>
      </c>
      <c r="P86" s="4">
        <f t="shared" si="1"/>
        <v>485</v>
      </c>
      <c r="Q86" s="4"/>
      <c r="R86" s="4">
        <v>50</v>
      </c>
      <c r="S86" s="4">
        <v>300</v>
      </c>
      <c r="T86" s="4"/>
    </row>
    <row r="87" spans="1:20" x14ac:dyDescent="0.25">
      <c r="A87" s="8">
        <v>84</v>
      </c>
      <c r="D87" s="22" t="s">
        <v>160</v>
      </c>
      <c r="E87" s="10"/>
      <c r="F87" s="10"/>
      <c r="G87" s="11"/>
      <c r="H87" s="23">
        <v>841</v>
      </c>
      <c r="I87" s="8" t="s">
        <v>2</v>
      </c>
      <c r="J87" s="3">
        <v>0</v>
      </c>
      <c r="K87" s="3">
        <v>0</v>
      </c>
      <c r="L87" s="3">
        <v>3</v>
      </c>
      <c r="M87" s="3">
        <v>1</v>
      </c>
      <c r="N87" s="3">
        <v>0</v>
      </c>
      <c r="O87" s="3">
        <v>0</v>
      </c>
      <c r="P87" s="4">
        <f t="shared" si="1"/>
        <v>837</v>
      </c>
      <c r="Q87" s="4"/>
      <c r="R87" s="4">
        <v>20</v>
      </c>
      <c r="S87" s="4">
        <v>300</v>
      </c>
      <c r="T87" s="4"/>
    </row>
    <row r="88" spans="1:20" x14ac:dyDescent="0.25">
      <c r="A88" s="8">
        <v>85</v>
      </c>
      <c r="D88" s="49" t="s">
        <v>153</v>
      </c>
      <c r="E88" s="20"/>
      <c r="F88" s="20"/>
      <c r="G88" s="21"/>
      <c r="H88" s="23">
        <v>88</v>
      </c>
      <c r="I88" s="8" t="s">
        <v>2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4">
        <f t="shared" si="1"/>
        <v>88</v>
      </c>
      <c r="Q88" s="4"/>
      <c r="R88" s="4">
        <v>10</v>
      </c>
      <c r="S88" s="4">
        <v>200</v>
      </c>
      <c r="T88" s="4"/>
    </row>
    <row r="89" spans="1:20" x14ac:dyDescent="0.25">
      <c r="A89" s="77">
        <v>86</v>
      </c>
      <c r="D89" s="68" t="s">
        <v>162</v>
      </c>
      <c r="E89" s="27"/>
      <c r="F89" s="27"/>
      <c r="G89" s="28"/>
      <c r="H89" s="74">
        <v>85</v>
      </c>
      <c r="I89" s="75" t="s">
        <v>2</v>
      </c>
      <c r="J89" s="3">
        <v>0</v>
      </c>
      <c r="K89" s="3">
        <v>0</v>
      </c>
      <c r="L89" s="3">
        <v>0</v>
      </c>
      <c r="M89" s="3">
        <v>0</v>
      </c>
      <c r="N89" s="3">
        <v>0</v>
      </c>
      <c r="O89" s="3">
        <v>0</v>
      </c>
      <c r="P89" s="4">
        <f t="shared" si="1"/>
        <v>85</v>
      </c>
      <c r="Q89" s="4"/>
      <c r="R89" s="4">
        <v>10</v>
      </c>
      <c r="S89" s="4">
        <v>50</v>
      </c>
      <c r="T89" s="4"/>
    </row>
  </sheetData>
  <pageMargins left="0.75" right="0.75" top="1" bottom="1" header="0.5" footer="0.5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T89"/>
  <sheetViews>
    <sheetView topLeftCell="D1" workbookViewId="0">
      <selection activeCell="N50" sqref="N50"/>
    </sheetView>
  </sheetViews>
  <sheetFormatPr defaultRowHeight="15" x14ac:dyDescent="0.25"/>
  <cols>
    <col min="1" max="1" width="5.5703125" customWidth="1"/>
    <col min="2" max="3" width="9.140625" hidden="1" customWidth="1"/>
    <col min="6" max="6" width="12.7109375" customWidth="1"/>
    <col min="8" max="8" width="10.140625" customWidth="1"/>
    <col min="9" max="9" width="10" customWidth="1"/>
    <col min="10" max="10" width="7.7109375" customWidth="1"/>
    <col min="11" max="11" width="10.7109375" customWidth="1"/>
    <col min="12" max="12" width="10.140625" customWidth="1"/>
    <col min="13" max="13" width="11.85546875" customWidth="1"/>
    <col min="14" max="15" width="11.7109375" customWidth="1"/>
    <col min="16" max="16" width="10.140625" customWidth="1"/>
    <col min="17" max="17" width="4.7109375" customWidth="1"/>
    <col min="18" max="18" width="12.140625" customWidth="1"/>
    <col min="19" max="19" width="10.85546875" customWidth="1"/>
    <col min="20" max="20" width="13.85546875" customWidth="1"/>
  </cols>
  <sheetData>
    <row r="1" spans="1:20" x14ac:dyDescent="0.25">
      <c r="G1" s="1"/>
      <c r="P1">
        <f>+H1+J1-K1-L1-M1-N1-O1</f>
        <v>0</v>
      </c>
    </row>
    <row r="2" spans="1:20" x14ac:dyDescent="0.25">
      <c r="A2" t="s">
        <v>14</v>
      </c>
      <c r="D2" s="78">
        <v>45352</v>
      </c>
      <c r="O2" s="38" t="s">
        <v>14</v>
      </c>
      <c r="S2" s="50">
        <v>44837</v>
      </c>
    </row>
    <row r="3" spans="1:20" x14ac:dyDescent="0.25">
      <c r="A3" s="3" t="s">
        <v>15</v>
      </c>
      <c r="D3" s="9" t="s">
        <v>17</v>
      </c>
      <c r="E3" s="10"/>
      <c r="F3" s="10"/>
      <c r="G3" s="11"/>
      <c r="H3" s="12" t="s">
        <v>18</v>
      </c>
      <c r="I3" s="4" t="s">
        <v>19</v>
      </c>
      <c r="J3" s="3" t="s">
        <v>20</v>
      </c>
      <c r="K3" s="5">
        <v>45359</v>
      </c>
      <c r="L3" s="6">
        <v>45366</v>
      </c>
      <c r="M3" s="5">
        <v>45373</v>
      </c>
      <c r="N3" s="5">
        <v>45380</v>
      </c>
      <c r="O3" s="6">
        <v>45382</v>
      </c>
      <c r="P3" s="3" t="s">
        <v>21</v>
      </c>
      <c r="R3" s="42" t="s">
        <v>105</v>
      </c>
      <c r="S3" s="45" t="s">
        <v>104</v>
      </c>
      <c r="T3" s="4"/>
    </row>
    <row r="4" spans="1:20" x14ac:dyDescent="0.25">
      <c r="A4" s="7">
        <v>1</v>
      </c>
      <c r="D4" s="13" t="s">
        <v>16</v>
      </c>
      <c r="E4" s="14"/>
      <c r="F4" s="14"/>
      <c r="G4" s="15"/>
      <c r="H4" s="12">
        <v>168</v>
      </c>
      <c r="I4" s="7" t="s">
        <v>1</v>
      </c>
      <c r="J4" s="3">
        <v>115.9</v>
      </c>
      <c r="K4" s="3">
        <v>40</v>
      </c>
      <c r="L4" s="3">
        <v>0</v>
      </c>
      <c r="M4" s="3">
        <v>17</v>
      </c>
      <c r="N4" s="3">
        <v>40</v>
      </c>
      <c r="O4" s="3">
        <v>0</v>
      </c>
      <c r="P4" s="4">
        <f t="shared" ref="P4:P67" si="0">+H4+J4-K4-L4-M4-N4-O4</f>
        <v>186.89999999999998</v>
      </c>
      <c r="Q4" t="s">
        <v>67</v>
      </c>
      <c r="R4" s="43">
        <v>100</v>
      </c>
      <c r="S4" s="46">
        <v>500</v>
      </c>
      <c r="T4" s="4" t="s">
        <v>14</v>
      </c>
    </row>
    <row r="5" spans="1:20" x14ac:dyDescent="0.25">
      <c r="A5" s="7">
        <v>2</v>
      </c>
      <c r="D5" s="9" t="s">
        <v>22</v>
      </c>
      <c r="E5" s="10"/>
      <c r="F5" s="10"/>
      <c r="G5" s="11"/>
      <c r="H5" s="12">
        <v>0</v>
      </c>
      <c r="I5" s="7" t="s">
        <v>2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4">
        <f t="shared" si="0"/>
        <v>0</v>
      </c>
      <c r="Q5" s="1" t="s">
        <v>14</v>
      </c>
      <c r="R5" s="44">
        <v>6</v>
      </c>
      <c r="S5" s="47">
        <v>10</v>
      </c>
      <c r="T5" s="4"/>
    </row>
    <row r="6" spans="1:20" x14ac:dyDescent="0.25">
      <c r="A6" s="7">
        <v>3</v>
      </c>
      <c r="D6" s="16" t="s">
        <v>23</v>
      </c>
      <c r="E6" s="17"/>
      <c r="F6" s="17"/>
      <c r="G6" s="18"/>
      <c r="H6" s="12">
        <v>54</v>
      </c>
      <c r="I6" s="7" t="s">
        <v>2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4">
        <f t="shared" si="0"/>
        <v>54</v>
      </c>
      <c r="Q6" s="1" t="s">
        <v>14</v>
      </c>
      <c r="R6" s="44">
        <v>6</v>
      </c>
      <c r="S6" s="47">
        <v>10</v>
      </c>
      <c r="T6" s="4"/>
    </row>
    <row r="7" spans="1:20" x14ac:dyDescent="0.25">
      <c r="A7" s="7">
        <v>4</v>
      </c>
      <c r="D7" s="9" t="s">
        <v>3</v>
      </c>
      <c r="E7" s="10"/>
      <c r="F7" s="10"/>
      <c r="G7" s="11"/>
      <c r="H7" s="12">
        <v>30</v>
      </c>
      <c r="I7" s="7" t="s">
        <v>2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4">
        <f t="shared" si="0"/>
        <v>30</v>
      </c>
      <c r="Q7" s="1" t="s">
        <v>14</v>
      </c>
      <c r="R7" s="44">
        <v>6</v>
      </c>
      <c r="S7" s="47">
        <v>10</v>
      </c>
      <c r="T7" s="4"/>
    </row>
    <row r="8" spans="1:20" x14ac:dyDescent="0.25">
      <c r="A8" s="7">
        <v>5</v>
      </c>
      <c r="D8" s="16" t="s">
        <v>139</v>
      </c>
      <c r="E8" s="17"/>
      <c r="F8" s="17"/>
      <c r="G8" s="18"/>
      <c r="H8" s="12">
        <v>100</v>
      </c>
      <c r="I8" s="7" t="s">
        <v>2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4">
        <f t="shared" si="0"/>
        <v>100</v>
      </c>
      <c r="Q8" s="1" t="s">
        <v>14</v>
      </c>
      <c r="R8" s="44">
        <v>100</v>
      </c>
      <c r="S8" s="47">
        <v>400</v>
      </c>
      <c r="T8" s="4"/>
    </row>
    <row r="9" spans="1:20" x14ac:dyDescent="0.25">
      <c r="A9" s="7">
        <v>6</v>
      </c>
      <c r="D9" s="9" t="s">
        <v>24</v>
      </c>
      <c r="E9" s="10"/>
      <c r="F9" s="10"/>
      <c r="G9" s="11"/>
      <c r="H9" s="12">
        <v>218</v>
      </c>
      <c r="I9" s="7" t="s">
        <v>2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4">
        <f t="shared" si="0"/>
        <v>218</v>
      </c>
      <c r="Q9" s="1" t="s">
        <v>14</v>
      </c>
      <c r="R9" s="44">
        <v>60</v>
      </c>
      <c r="S9" s="47">
        <v>200</v>
      </c>
      <c r="T9" s="4"/>
    </row>
    <row r="10" spans="1:20" x14ac:dyDescent="0.25">
      <c r="A10" s="7">
        <v>7</v>
      </c>
      <c r="D10" s="16" t="s">
        <v>101</v>
      </c>
      <c r="E10" s="17"/>
      <c r="F10" s="17"/>
      <c r="G10" s="18"/>
      <c r="H10" s="12">
        <v>808</v>
      </c>
      <c r="I10" s="7" t="s">
        <v>2</v>
      </c>
      <c r="J10" s="3">
        <v>0</v>
      </c>
      <c r="K10" s="3">
        <v>360</v>
      </c>
      <c r="L10" s="3">
        <v>0</v>
      </c>
      <c r="M10" s="3">
        <v>0</v>
      </c>
      <c r="N10" s="3">
        <v>0</v>
      </c>
      <c r="O10" s="3">
        <v>0</v>
      </c>
      <c r="P10" s="4">
        <f t="shared" si="0"/>
        <v>448</v>
      </c>
      <c r="Q10" s="1" t="s">
        <v>14</v>
      </c>
      <c r="R10" s="44">
        <v>200</v>
      </c>
      <c r="S10" s="47">
        <v>500</v>
      </c>
      <c r="T10" s="4"/>
    </row>
    <row r="11" spans="1:20" x14ac:dyDescent="0.25">
      <c r="A11" s="7">
        <v>8</v>
      </c>
      <c r="D11" s="9" t="s">
        <v>25</v>
      </c>
      <c r="E11" s="10"/>
      <c r="F11" s="10"/>
      <c r="G11" s="11"/>
      <c r="H11" s="12">
        <v>334</v>
      </c>
      <c r="I11" s="7" t="s">
        <v>2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4">
        <f t="shared" si="0"/>
        <v>334</v>
      </c>
      <c r="Q11" s="1" t="s">
        <v>14</v>
      </c>
      <c r="R11" s="44">
        <v>50</v>
      </c>
      <c r="S11" s="47">
        <v>300</v>
      </c>
      <c r="T11" s="4"/>
    </row>
    <row r="12" spans="1:20" x14ac:dyDescent="0.25">
      <c r="A12" s="7">
        <v>9</v>
      </c>
      <c r="D12" s="16" t="s">
        <v>26</v>
      </c>
      <c r="E12" s="17"/>
      <c r="F12" s="17"/>
      <c r="G12" s="18"/>
      <c r="H12" s="12">
        <v>0</v>
      </c>
      <c r="I12" s="7" t="s">
        <v>2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4">
        <f t="shared" si="0"/>
        <v>0</v>
      </c>
      <c r="Q12" s="1" t="s">
        <v>14</v>
      </c>
      <c r="R12" s="44">
        <v>200</v>
      </c>
      <c r="S12" s="47">
        <v>400</v>
      </c>
      <c r="T12" s="4"/>
    </row>
    <row r="13" spans="1:20" x14ac:dyDescent="0.25">
      <c r="A13" s="7">
        <v>10</v>
      </c>
      <c r="D13" s="9" t="s">
        <v>6</v>
      </c>
      <c r="E13" s="10"/>
      <c r="F13" s="10"/>
      <c r="G13" s="11"/>
      <c r="H13" s="12">
        <v>60</v>
      </c>
      <c r="I13" s="7" t="s">
        <v>2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4">
        <f t="shared" si="0"/>
        <v>60</v>
      </c>
      <c r="Q13" s="1" t="s">
        <v>14</v>
      </c>
      <c r="R13" s="44">
        <v>10</v>
      </c>
      <c r="S13" s="46">
        <v>100</v>
      </c>
      <c r="T13" s="4"/>
    </row>
    <row r="14" spans="1:20" x14ac:dyDescent="0.25">
      <c r="A14" s="7">
        <v>11</v>
      </c>
      <c r="D14" s="16" t="s">
        <v>7</v>
      </c>
      <c r="E14" s="17"/>
      <c r="F14" s="17"/>
      <c r="G14" s="18"/>
      <c r="H14" s="12">
        <v>11</v>
      </c>
      <c r="I14" s="7" t="s">
        <v>171</v>
      </c>
      <c r="J14" s="3">
        <v>0</v>
      </c>
      <c r="K14" s="3">
        <v>5</v>
      </c>
      <c r="L14" s="3">
        <v>1</v>
      </c>
      <c r="M14" s="3">
        <v>0</v>
      </c>
      <c r="N14" s="3">
        <v>0</v>
      </c>
      <c r="O14" s="3">
        <v>0</v>
      </c>
      <c r="P14" s="4">
        <f t="shared" si="0"/>
        <v>5</v>
      </c>
      <c r="Q14" s="1" t="s">
        <v>14</v>
      </c>
      <c r="R14" s="44">
        <v>20</v>
      </c>
      <c r="S14" s="47">
        <v>50</v>
      </c>
      <c r="T14" s="4"/>
    </row>
    <row r="15" spans="1:20" x14ac:dyDescent="0.25">
      <c r="A15" s="7">
        <v>12</v>
      </c>
      <c r="D15" s="9" t="s">
        <v>69</v>
      </c>
      <c r="E15" s="10"/>
      <c r="F15" s="10"/>
      <c r="G15" s="11"/>
      <c r="H15" s="12">
        <v>7</v>
      </c>
      <c r="I15" s="7" t="s">
        <v>171</v>
      </c>
      <c r="J15" s="3">
        <v>0</v>
      </c>
      <c r="K15" s="3">
        <v>0</v>
      </c>
      <c r="L15" s="3">
        <v>7</v>
      </c>
      <c r="M15" s="3">
        <v>0</v>
      </c>
      <c r="N15" s="3">
        <v>0</v>
      </c>
      <c r="O15" s="3">
        <v>0</v>
      </c>
      <c r="P15" s="4">
        <f t="shared" si="0"/>
        <v>0</v>
      </c>
      <c r="Q15" s="1" t="s">
        <v>14</v>
      </c>
      <c r="R15" s="44">
        <v>100</v>
      </c>
      <c r="S15" s="47">
        <v>200</v>
      </c>
      <c r="T15" s="4"/>
    </row>
    <row r="16" spans="1:20" x14ac:dyDescent="0.25">
      <c r="A16" s="7">
        <v>13</v>
      </c>
      <c r="D16" s="16" t="s">
        <v>27</v>
      </c>
      <c r="E16" s="17"/>
      <c r="F16" s="17"/>
      <c r="G16" s="18"/>
      <c r="H16" s="12">
        <v>0</v>
      </c>
      <c r="I16" s="7" t="s">
        <v>2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4">
        <f t="shared" si="0"/>
        <v>0</v>
      </c>
      <c r="Q16" s="1" t="s">
        <v>14</v>
      </c>
      <c r="R16" s="44">
        <v>0</v>
      </c>
      <c r="S16" s="46"/>
      <c r="T16" s="4"/>
    </row>
    <row r="17" spans="1:20" x14ac:dyDescent="0.25">
      <c r="A17" s="7">
        <v>14</v>
      </c>
      <c r="D17" s="9" t="s">
        <v>73</v>
      </c>
      <c r="E17" s="10"/>
      <c r="F17" s="10"/>
      <c r="G17" s="11"/>
      <c r="H17" s="12">
        <v>781</v>
      </c>
      <c r="I17" s="7" t="s">
        <v>2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4">
        <f t="shared" si="0"/>
        <v>781</v>
      </c>
      <c r="Q17" s="1" t="s">
        <v>14</v>
      </c>
      <c r="R17" s="44">
        <v>0</v>
      </c>
      <c r="S17" s="46"/>
      <c r="T17" s="4"/>
    </row>
    <row r="18" spans="1:20" x14ac:dyDescent="0.25">
      <c r="A18" s="7">
        <v>15</v>
      </c>
      <c r="D18" s="16" t="s">
        <v>28</v>
      </c>
      <c r="E18" s="17"/>
      <c r="F18" s="17"/>
      <c r="G18" s="18"/>
      <c r="H18" s="12">
        <v>89</v>
      </c>
      <c r="I18" s="7" t="s">
        <v>2</v>
      </c>
      <c r="J18" s="3">
        <v>50</v>
      </c>
      <c r="K18" s="3">
        <v>0</v>
      </c>
      <c r="L18" s="3">
        <v>23</v>
      </c>
      <c r="M18" s="3">
        <v>40</v>
      </c>
      <c r="N18" s="3">
        <v>0</v>
      </c>
      <c r="O18" s="3">
        <v>0</v>
      </c>
      <c r="P18" s="4">
        <f t="shared" si="0"/>
        <v>76</v>
      </c>
      <c r="Q18" s="1" t="s">
        <v>14</v>
      </c>
      <c r="R18" s="44">
        <v>20</v>
      </c>
      <c r="S18" s="47">
        <v>50</v>
      </c>
      <c r="T18" s="4"/>
    </row>
    <row r="19" spans="1:20" x14ac:dyDescent="0.25">
      <c r="A19" s="7">
        <v>16</v>
      </c>
      <c r="D19" s="9" t="s">
        <v>29</v>
      </c>
      <c r="E19" s="10"/>
      <c r="F19" s="10"/>
      <c r="G19" s="11"/>
      <c r="H19" s="12">
        <v>81</v>
      </c>
      <c r="I19" s="7" t="s">
        <v>2</v>
      </c>
      <c r="J19" s="3">
        <v>50</v>
      </c>
      <c r="K19" s="3">
        <v>0</v>
      </c>
      <c r="L19" s="3">
        <v>23</v>
      </c>
      <c r="M19" s="3">
        <v>40</v>
      </c>
      <c r="N19" s="3">
        <v>0</v>
      </c>
      <c r="O19" s="3">
        <v>0</v>
      </c>
      <c r="P19" s="4">
        <f t="shared" si="0"/>
        <v>68</v>
      </c>
      <c r="Q19" s="1" t="s">
        <v>14</v>
      </c>
      <c r="R19" s="44">
        <v>20</v>
      </c>
      <c r="S19" s="47">
        <v>50</v>
      </c>
      <c r="T19" s="4"/>
    </row>
    <row r="20" spans="1:20" x14ac:dyDescent="0.25">
      <c r="A20" s="7">
        <v>17</v>
      </c>
      <c r="D20" s="16" t="s">
        <v>30</v>
      </c>
      <c r="E20" s="17"/>
      <c r="F20" s="17"/>
      <c r="G20" s="18"/>
      <c r="H20" s="12">
        <v>99</v>
      </c>
      <c r="I20" s="7" t="s">
        <v>2</v>
      </c>
      <c r="J20" s="3">
        <v>50</v>
      </c>
      <c r="K20" s="3">
        <v>0</v>
      </c>
      <c r="L20" s="3">
        <v>23</v>
      </c>
      <c r="M20" s="3">
        <v>40</v>
      </c>
      <c r="N20" s="3">
        <v>0</v>
      </c>
      <c r="O20" s="3">
        <v>0</v>
      </c>
      <c r="P20" s="4">
        <f t="shared" si="0"/>
        <v>86</v>
      </c>
      <c r="Q20" s="1" t="s">
        <v>14</v>
      </c>
      <c r="R20" s="44">
        <v>20</v>
      </c>
      <c r="S20" s="47">
        <v>50</v>
      </c>
      <c r="T20" s="4"/>
    </row>
    <row r="21" spans="1:20" x14ac:dyDescent="0.25">
      <c r="A21" s="7">
        <v>18</v>
      </c>
      <c r="D21" s="9" t="s">
        <v>129</v>
      </c>
      <c r="E21" s="10"/>
      <c r="F21" s="10"/>
      <c r="G21" s="11"/>
      <c r="H21" s="12">
        <v>16</v>
      </c>
      <c r="I21" s="7" t="s">
        <v>2</v>
      </c>
      <c r="J21" s="3">
        <v>0</v>
      </c>
      <c r="K21" s="3">
        <v>0</v>
      </c>
      <c r="L21" s="3">
        <v>5</v>
      </c>
      <c r="M21" s="3">
        <v>0</v>
      </c>
      <c r="N21" s="3">
        <v>0</v>
      </c>
      <c r="O21" s="3">
        <v>0</v>
      </c>
      <c r="P21" s="4">
        <f t="shared" si="0"/>
        <v>11</v>
      </c>
      <c r="Q21" s="1" t="s">
        <v>14</v>
      </c>
      <c r="R21" s="44">
        <v>10</v>
      </c>
      <c r="S21" s="46">
        <v>50</v>
      </c>
      <c r="T21" s="4"/>
    </row>
    <row r="22" spans="1:20" x14ac:dyDescent="0.25">
      <c r="A22" s="7">
        <v>19</v>
      </c>
      <c r="D22" s="55" t="s">
        <v>164</v>
      </c>
      <c r="E22" s="56"/>
      <c r="F22" s="56"/>
      <c r="G22" s="57"/>
      <c r="H22" s="12">
        <v>245</v>
      </c>
      <c r="I22" s="59" t="s">
        <v>1</v>
      </c>
      <c r="J22" s="3">
        <v>0</v>
      </c>
      <c r="K22" s="3">
        <v>80</v>
      </c>
      <c r="L22" s="3">
        <v>15</v>
      </c>
      <c r="M22" s="3">
        <v>0</v>
      </c>
      <c r="N22" s="3">
        <v>55</v>
      </c>
      <c r="O22" s="3">
        <v>0</v>
      </c>
      <c r="P22" s="46">
        <f t="shared" si="0"/>
        <v>95</v>
      </c>
      <c r="Q22" s="1" t="s">
        <v>14</v>
      </c>
      <c r="R22" s="44">
        <v>50</v>
      </c>
      <c r="S22" s="47">
        <v>200</v>
      </c>
      <c r="T22" s="4"/>
    </row>
    <row r="23" spans="1:20" x14ac:dyDescent="0.25">
      <c r="A23" s="7">
        <v>20</v>
      </c>
      <c r="D23" s="9" t="s">
        <v>32</v>
      </c>
      <c r="E23" s="10"/>
      <c r="F23" s="10"/>
      <c r="G23" s="11"/>
      <c r="H23" s="12">
        <v>850</v>
      </c>
      <c r="I23" s="7" t="s">
        <v>2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4">
        <f t="shared" si="0"/>
        <v>850</v>
      </c>
      <c r="Q23" s="1" t="s">
        <v>14</v>
      </c>
      <c r="R23" s="44">
        <v>50</v>
      </c>
      <c r="S23" s="46">
        <v>200</v>
      </c>
      <c r="T23" s="4"/>
    </row>
    <row r="24" spans="1:20" x14ac:dyDescent="0.25">
      <c r="A24" s="7">
        <v>21</v>
      </c>
      <c r="D24" s="16" t="s">
        <v>140</v>
      </c>
      <c r="E24" s="17"/>
      <c r="F24" s="17"/>
      <c r="G24" s="18"/>
      <c r="H24" s="12">
        <v>102</v>
      </c>
      <c r="I24" s="7" t="s">
        <v>2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4">
        <f t="shared" si="0"/>
        <v>102</v>
      </c>
      <c r="Q24" s="1" t="s">
        <v>14</v>
      </c>
      <c r="R24" s="44">
        <v>10</v>
      </c>
      <c r="S24" s="46">
        <v>100</v>
      </c>
      <c r="T24" s="4"/>
    </row>
    <row r="25" spans="1:20" x14ac:dyDescent="0.25">
      <c r="A25" s="7">
        <v>22</v>
      </c>
      <c r="D25" s="9" t="s">
        <v>34</v>
      </c>
      <c r="E25" s="10"/>
      <c r="F25" s="10"/>
      <c r="G25" s="11"/>
      <c r="H25" s="12">
        <v>17</v>
      </c>
      <c r="I25" s="7" t="s">
        <v>2</v>
      </c>
      <c r="J25" s="3">
        <v>0</v>
      </c>
      <c r="K25" s="3">
        <v>0</v>
      </c>
      <c r="L25" s="3">
        <v>9</v>
      </c>
      <c r="M25" s="3">
        <v>0</v>
      </c>
      <c r="N25" s="3">
        <v>0</v>
      </c>
      <c r="O25" s="3">
        <v>0</v>
      </c>
      <c r="P25" s="4">
        <f t="shared" si="0"/>
        <v>8</v>
      </c>
      <c r="Q25" s="1" t="s">
        <v>14</v>
      </c>
      <c r="R25" s="44">
        <v>10</v>
      </c>
      <c r="S25" s="46">
        <v>50</v>
      </c>
      <c r="T25" s="4"/>
    </row>
    <row r="26" spans="1:20" x14ac:dyDescent="0.25">
      <c r="A26" s="7">
        <v>23</v>
      </c>
      <c r="D26" s="16" t="s">
        <v>142</v>
      </c>
      <c r="E26" s="17"/>
      <c r="F26" s="17"/>
      <c r="G26" s="18"/>
      <c r="H26" s="12">
        <v>44</v>
      </c>
      <c r="I26" s="7" t="s">
        <v>2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4">
        <f t="shared" si="0"/>
        <v>44</v>
      </c>
      <c r="Q26" s="1" t="s">
        <v>14</v>
      </c>
      <c r="R26" s="44">
        <v>20</v>
      </c>
      <c r="S26" s="47">
        <v>50</v>
      </c>
      <c r="T26" s="4"/>
    </row>
    <row r="27" spans="1:20" x14ac:dyDescent="0.25">
      <c r="A27" s="7">
        <v>24</v>
      </c>
      <c r="D27" s="9" t="s">
        <v>141</v>
      </c>
      <c r="E27" s="10"/>
      <c r="F27" s="10"/>
      <c r="G27" s="11"/>
      <c r="H27" s="12">
        <v>0</v>
      </c>
      <c r="I27" s="7" t="s">
        <v>2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  <c r="P27" s="4">
        <f t="shared" si="0"/>
        <v>0</v>
      </c>
      <c r="Q27" s="1"/>
      <c r="R27" s="44">
        <v>20</v>
      </c>
      <c r="S27" s="47">
        <v>50</v>
      </c>
      <c r="T27" s="4"/>
    </row>
    <row r="28" spans="1:20" x14ac:dyDescent="0.25">
      <c r="A28" s="7">
        <v>25</v>
      </c>
      <c r="D28" s="9" t="s">
        <v>137</v>
      </c>
      <c r="E28" s="10"/>
      <c r="F28" s="10"/>
      <c r="G28" s="11"/>
      <c r="H28" s="12">
        <v>96</v>
      </c>
      <c r="I28" s="7" t="s">
        <v>2</v>
      </c>
      <c r="J28" s="3">
        <v>0</v>
      </c>
      <c r="K28" s="3">
        <v>0</v>
      </c>
      <c r="L28" s="3">
        <v>9</v>
      </c>
      <c r="M28" s="3">
        <v>0</v>
      </c>
      <c r="N28" s="3">
        <v>0</v>
      </c>
      <c r="O28" s="3">
        <v>0</v>
      </c>
      <c r="P28" s="4">
        <f t="shared" si="0"/>
        <v>87</v>
      </c>
      <c r="Q28" s="1" t="s">
        <v>14</v>
      </c>
      <c r="R28" s="44">
        <v>20</v>
      </c>
      <c r="S28" s="47">
        <v>50</v>
      </c>
      <c r="T28" s="4"/>
    </row>
    <row r="29" spans="1:20" x14ac:dyDescent="0.25">
      <c r="A29" s="7">
        <v>26</v>
      </c>
      <c r="D29" s="9" t="s">
        <v>138</v>
      </c>
      <c r="E29" s="10"/>
      <c r="F29" s="10"/>
      <c r="G29" s="11"/>
      <c r="H29" s="12">
        <v>136</v>
      </c>
      <c r="I29" s="7" t="s">
        <v>2</v>
      </c>
      <c r="J29" s="3">
        <v>0</v>
      </c>
      <c r="K29" s="3">
        <v>0</v>
      </c>
      <c r="L29" s="3">
        <v>9</v>
      </c>
      <c r="M29" s="3">
        <v>0</v>
      </c>
      <c r="N29" s="3">
        <v>0</v>
      </c>
      <c r="O29" s="3">
        <v>0</v>
      </c>
      <c r="P29" s="4">
        <f t="shared" si="0"/>
        <v>127</v>
      </c>
      <c r="Q29" s="1"/>
      <c r="R29" s="44">
        <v>10</v>
      </c>
      <c r="S29" s="47">
        <v>50</v>
      </c>
      <c r="T29" s="4"/>
    </row>
    <row r="30" spans="1:20" x14ac:dyDescent="0.25">
      <c r="A30" s="7">
        <v>27</v>
      </c>
      <c r="D30" s="16" t="s">
        <v>35</v>
      </c>
      <c r="E30" s="17"/>
      <c r="F30" s="17"/>
      <c r="G30" s="18"/>
      <c r="H30" s="12">
        <v>263</v>
      </c>
      <c r="I30" s="7" t="s">
        <v>2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4">
        <f t="shared" si="0"/>
        <v>263</v>
      </c>
      <c r="Q30" s="1" t="s">
        <v>14</v>
      </c>
      <c r="R30" s="44">
        <v>50</v>
      </c>
      <c r="S30" s="47">
        <v>100</v>
      </c>
      <c r="T30" s="4"/>
    </row>
    <row r="31" spans="1:20" x14ac:dyDescent="0.25">
      <c r="A31" s="7">
        <v>28</v>
      </c>
      <c r="D31" s="9" t="s">
        <v>36</v>
      </c>
      <c r="E31" s="10"/>
      <c r="F31" s="10"/>
      <c r="G31" s="11"/>
      <c r="H31" s="12">
        <v>18</v>
      </c>
      <c r="I31" s="7" t="s">
        <v>2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4">
        <f t="shared" si="0"/>
        <v>18</v>
      </c>
      <c r="Q31" s="1" t="s">
        <v>14</v>
      </c>
      <c r="R31" s="44">
        <v>50</v>
      </c>
      <c r="S31" s="47">
        <v>100</v>
      </c>
      <c r="T31" s="4"/>
    </row>
    <row r="32" spans="1:20" x14ac:dyDescent="0.25">
      <c r="A32" s="7">
        <v>29</v>
      </c>
      <c r="D32" s="16" t="s">
        <v>37</v>
      </c>
      <c r="E32" s="17"/>
      <c r="F32" s="17"/>
      <c r="G32" s="18"/>
      <c r="H32" s="12">
        <v>178</v>
      </c>
      <c r="I32" s="7" t="s">
        <v>2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4">
        <f t="shared" si="0"/>
        <v>178</v>
      </c>
      <c r="Q32" s="1" t="s">
        <v>14</v>
      </c>
      <c r="R32" s="44">
        <v>20</v>
      </c>
      <c r="S32" s="47">
        <v>50</v>
      </c>
      <c r="T32" s="4"/>
    </row>
    <row r="33" spans="1:20" x14ac:dyDescent="0.25">
      <c r="A33" s="7">
        <v>30</v>
      </c>
      <c r="D33" s="9" t="s">
        <v>38</v>
      </c>
      <c r="E33" s="10"/>
      <c r="F33" s="10"/>
      <c r="G33" s="11"/>
      <c r="H33" s="12">
        <v>379</v>
      </c>
      <c r="I33" s="7" t="s">
        <v>2</v>
      </c>
      <c r="J33" s="3">
        <v>0</v>
      </c>
      <c r="K33" s="3">
        <v>155</v>
      </c>
      <c r="L33" s="3">
        <v>4</v>
      </c>
      <c r="M33" s="3">
        <v>2</v>
      </c>
      <c r="N33" s="3">
        <v>0</v>
      </c>
      <c r="O33" s="3">
        <v>0</v>
      </c>
      <c r="P33" s="4">
        <f t="shared" si="0"/>
        <v>218</v>
      </c>
      <c r="Q33" s="1" t="s">
        <v>14</v>
      </c>
      <c r="R33" s="44">
        <v>50</v>
      </c>
      <c r="S33" s="47">
        <v>100</v>
      </c>
      <c r="T33" s="4"/>
    </row>
    <row r="34" spans="1:20" x14ac:dyDescent="0.25">
      <c r="A34" s="7">
        <v>31</v>
      </c>
      <c r="D34" s="16" t="s">
        <v>39</v>
      </c>
      <c r="E34" s="17"/>
      <c r="F34" s="17"/>
      <c r="G34" s="18"/>
      <c r="H34" s="12">
        <v>51</v>
      </c>
      <c r="I34" s="7" t="s">
        <v>2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4">
        <f t="shared" si="0"/>
        <v>51</v>
      </c>
      <c r="Q34" s="1" t="s">
        <v>14</v>
      </c>
      <c r="R34" s="44">
        <v>20</v>
      </c>
      <c r="S34" s="47">
        <v>50</v>
      </c>
      <c r="T34" s="4"/>
    </row>
    <row r="35" spans="1:20" x14ac:dyDescent="0.25">
      <c r="A35" s="7">
        <v>32</v>
      </c>
      <c r="D35" s="9" t="s">
        <v>40</v>
      </c>
      <c r="E35" s="10"/>
      <c r="F35" s="10"/>
      <c r="G35" s="11"/>
      <c r="H35" s="12">
        <f>'ARALIK 3 HAFTA '!P33</f>
        <v>1075</v>
      </c>
      <c r="I35" s="7" t="s">
        <v>2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4">
        <f t="shared" si="0"/>
        <v>1075</v>
      </c>
      <c r="Q35" s="1" t="s">
        <v>14</v>
      </c>
      <c r="R35" s="44">
        <v>100</v>
      </c>
      <c r="S35" s="46">
        <v>300</v>
      </c>
      <c r="T35" s="4"/>
    </row>
    <row r="36" spans="1:20" x14ac:dyDescent="0.25">
      <c r="A36" s="7">
        <v>33</v>
      </c>
      <c r="D36" s="9" t="s">
        <v>9</v>
      </c>
      <c r="E36" s="10"/>
      <c r="F36" s="10"/>
      <c r="G36" s="11"/>
      <c r="H36" s="83">
        <v>86</v>
      </c>
      <c r="I36" s="7" t="s">
        <v>132</v>
      </c>
      <c r="J36" s="3">
        <v>100</v>
      </c>
      <c r="K36" s="3">
        <v>20</v>
      </c>
      <c r="L36" s="3">
        <v>65</v>
      </c>
      <c r="M36" s="3">
        <v>0</v>
      </c>
      <c r="N36" s="3">
        <v>0</v>
      </c>
      <c r="O36" s="3">
        <v>0</v>
      </c>
      <c r="P36" s="4">
        <f t="shared" si="0"/>
        <v>101</v>
      </c>
      <c r="Q36" s="1" t="s">
        <v>14</v>
      </c>
      <c r="R36" s="44">
        <v>50</v>
      </c>
      <c r="S36" s="47">
        <v>100</v>
      </c>
      <c r="T36" s="4"/>
    </row>
    <row r="37" spans="1:20" x14ac:dyDescent="0.25">
      <c r="A37" s="7">
        <v>34</v>
      </c>
      <c r="D37" s="19" t="s">
        <v>166</v>
      </c>
      <c r="E37" s="20"/>
      <c r="F37" s="20"/>
      <c r="G37" s="21"/>
      <c r="H37" s="69">
        <v>128</v>
      </c>
      <c r="I37" s="7" t="s">
        <v>2</v>
      </c>
      <c r="J37" s="3">
        <v>100</v>
      </c>
      <c r="K37" s="3">
        <v>20</v>
      </c>
      <c r="L37" s="3">
        <v>65</v>
      </c>
      <c r="M37" s="3">
        <v>0</v>
      </c>
      <c r="N37" s="3">
        <v>0</v>
      </c>
      <c r="O37" s="3">
        <v>0</v>
      </c>
      <c r="P37" s="4">
        <f t="shared" si="0"/>
        <v>143</v>
      </c>
      <c r="Q37" s="1" t="s">
        <v>14</v>
      </c>
      <c r="R37" s="44">
        <v>50</v>
      </c>
      <c r="S37" s="46">
        <v>200</v>
      </c>
      <c r="T37" s="4"/>
    </row>
    <row r="38" spans="1:20" x14ac:dyDescent="0.25">
      <c r="A38" s="7">
        <v>35</v>
      </c>
      <c r="D38" s="16" t="s">
        <v>143</v>
      </c>
      <c r="E38" s="17"/>
      <c r="F38" s="17"/>
      <c r="G38" s="18"/>
      <c r="H38" s="12">
        <v>86</v>
      </c>
      <c r="I38" s="7" t="s">
        <v>2</v>
      </c>
      <c r="J38" s="3">
        <v>100</v>
      </c>
      <c r="K38" s="3">
        <v>20</v>
      </c>
      <c r="L38" s="3">
        <v>65</v>
      </c>
      <c r="M38" s="3">
        <v>0</v>
      </c>
      <c r="N38" s="3">
        <v>0</v>
      </c>
      <c r="O38" s="3">
        <v>0</v>
      </c>
      <c r="P38" s="4">
        <f t="shared" si="0"/>
        <v>101</v>
      </c>
      <c r="Q38" s="1" t="s">
        <v>14</v>
      </c>
      <c r="R38" s="44">
        <v>50</v>
      </c>
      <c r="S38" s="46">
        <v>100</v>
      </c>
      <c r="T38" s="4"/>
    </row>
    <row r="39" spans="1:20" x14ac:dyDescent="0.25">
      <c r="A39" s="7">
        <v>36</v>
      </c>
      <c r="D39" s="9" t="s">
        <v>144</v>
      </c>
      <c r="E39" s="10"/>
      <c r="F39" s="10"/>
      <c r="G39" s="11"/>
      <c r="H39" s="12">
        <v>83</v>
      </c>
      <c r="I39" s="7" t="s">
        <v>2</v>
      </c>
      <c r="J39" s="3">
        <v>100</v>
      </c>
      <c r="K39" s="3">
        <v>20</v>
      </c>
      <c r="L39" s="3">
        <v>65</v>
      </c>
      <c r="M39" s="3">
        <v>0</v>
      </c>
      <c r="N39" s="3">
        <v>0</v>
      </c>
      <c r="O39" s="3">
        <v>0</v>
      </c>
      <c r="P39" s="4">
        <f t="shared" si="0"/>
        <v>98</v>
      </c>
      <c r="Q39" s="1" t="s">
        <v>14</v>
      </c>
      <c r="R39" s="44">
        <v>50</v>
      </c>
      <c r="S39" s="47">
        <v>100</v>
      </c>
      <c r="T39" s="4"/>
    </row>
    <row r="40" spans="1:20" x14ac:dyDescent="0.25">
      <c r="A40" s="7">
        <v>37</v>
      </c>
      <c r="D40" s="16" t="s">
        <v>42</v>
      </c>
      <c r="E40" s="17"/>
      <c r="F40" s="17"/>
      <c r="G40" s="18"/>
      <c r="H40" s="12">
        <v>66</v>
      </c>
      <c r="I40" s="7" t="s">
        <v>2</v>
      </c>
      <c r="J40" s="3">
        <v>100</v>
      </c>
      <c r="K40" s="3">
        <v>20</v>
      </c>
      <c r="L40" s="3">
        <v>65</v>
      </c>
      <c r="M40" s="3">
        <v>0</v>
      </c>
      <c r="N40" s="3">
        <v>0</v>
      </c>
      <c r="O40" s="3">
        <v>0</v>
      </c>
      <c r="P40" s="4">
        <f t="shared" si="0"/>
        <v>81</v>
      </c>
      <c r="Q40" s="1" t="s">
        <v>14</v>
      </c>
      <c r="R40" s="44">
        <v>50</v>
      </c>
      <c r="S40" s="47">
        <v>100</v>
      </c>
      <c r="T40" s="4"/>
    </row>
    <row r="41" spans="1:20" x14ac:dyDescent="0.25">
      <c r="A41" s="7">
        <v>38</v>
      </c>
      <c r="D41" s="9" t="s">
        <v>133</v>
      </c>
      <c r="E41" s="10"/>
      <c r="F41" s="10"/>
      <c r="G41" s="11"/>
      <c r="H41" s="12">
        <v>145</v>
      </c>
      <c r="I41" s="7" t="s">
        <v>2</v>
      </c>
      <c r="J41" s="3">
        <v>0</v>
      </c>
      <c r="K41" s="3">
        <v>0</v>
      </c>
      <c r="L41" s="3">
        <v>6</v>
      </c>
      <c r="M41" s="3">
        <v>0</v>
      </c>
      <c r="N41" s="3">
        <v>0</v>
      </c>
      <c r="O41" s="3">
        <v>0</v>
      </c>
      <c r="P41" s="4">
        <f t="shared" si="0"/>
        <v>139</v>
      </c>
      <c r="Q41" s="1" t="s">
        <v>14</v>
      </c>
      <c r="R41" s="44">
        <v>20</v>
      </c>
      <c r="S41" s="47">
        <v>50</v>
      </c>
      <c r="T41" s="4"/>
    </row>
    <row r="42" spans="1:20" x14ac:dyDescent="0.25">
      <c r="A42" s="7">
        <v>39</v>
      </c>
      <c r="D42" s="16" t="s">
        <v>145</v>
      </c>
      <c r="E42" s="17"/>
      <c r="F42" s="17"/>
      <c r="G42" s="18"/>
      <c r="H42" s="12">
        <v>145</v>
      </c>
      <c r="I42" s="7" t="s">
        <v>2</v>
      </c>
      <c r="J42" s="3">
        <v>0</v>
      </c>
      <c r="K42" s="3">
        <v>0</v>
      </c>
      <c r="L42" s="3">
        <v>6</v>
      </c>
      <c r="M42" s="3">
        <v>0</v>
      </c>
      <c r="N42" s="3">
        <v>0</v>
      </c>
      <c r="O42" s="3">
        <v>0</v>
      </c>
      <c r="P42" s="4">
        <f t="shared" si="0"/>
        <v>139</v>
      </c>
      <c r="Q42" s="1" t="s">
        <v>14</v>
      </c>
      <c r="R42" s="44">
        <v>20</v>
      </c>
      <c r="S42" s="46">
        <v>50</v>
      </c>
      <c r="T42" s="4"/>
    </row>
    <row r="43" spans="1:20" x14ac:dyDescent="0.25">
      <c r="A43" s="7">
        <v>40</v>
      </c>
      <c r="D43" s="9" t="s">
        <v>71</v>
      </c>
      <c r="E43" s="10"/>
      <c r="F43" s="10"/>
      <c r="G43" s="11"/>
      <c r="H43" s="12">
        <v>0</v>
      </c>
      <c r="I43" s="7" t="s">
        <v>2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4">
        <f t="shared" si="0"/>
        <v>0</v>
      </c>
      <c r="Q43" s="1" t="s">
        <v>14</v>
      </c>
      <c r="R43" s="44">
        <v>5</v>
      </c>
      <c r="S43" s="47">
        <v>10</v>
      </c>
      <c r="T43" s="4"/>
    </row>
    <row r="44" spans="1:20" x14ac:dyDescent="0.25">
      <c r="A44" s="7">
        <v>41</v>
      </c>
      <c r="D44" s="16" t="s">
        <v>10</v>
      </c>
      <c r="E44" s="17"/>
      <c r="F44" s="17"/>
      <c r="G44" s="18"/>
      <c r="H44" s="12">
        <v>134</v>
      </c>
      <c r="I44" s="7" t="s">
        <v>2</v>
      </c>
      <c r="J44" s="3">
        <v>0</v>
      </c>
      <c r="K44" s="3">
        <v>0</v>
      </c>
      <c r="L44" s="3">
        <v>0</v>
      </c>
      <c r="M44" s="3">
        <v>0</v>
      </c>
      <c r="N44" s="3">
        <v>4</v>
      </c>
      <c r="O44" s="3">
        <v>0</v>
      </c>
      <c r="P44" s="4">
        <f t="shared" si="0"/>
        <v>130</v>
      </c>
      <c r="Q44" s="1" t="s">
        <v>14</v>
      </c>
      <c r="R44" s="44">
        <v>40</v>
      </c>
      <c r="S44" s="47">
        <v>100</v>
      </c>
      <c r="T44" s="4"/>
    </row>
    <row r="45" spans="1:20" x14ac:dyDescent="0.25">
      <c r="A45" s="7">
        <v>42</v>
      </c>
      <c r="D45" s="9" t="s">
        <v>45</v>
      </c>
      <c r="E45" s="10"/>
      <c r="F45" s="10"/>
      <c r="G45" s="11"/>
      <c r="H45" s="12">
        <v>66</v>
      </c>
      <c r="I45" s="7" t="s">
        <v>2</v>
      </c>
      <c r="J45" s="3">
        <v>0</v>
      </c>
      <c r="K45" s="3">
        <v>0</v>
      </c>
      <c r="L45" s="3">
        <v>0</v>
      </c>
      <c r="M45" s="3">
        <v>0</v>
      </c>
      <c r="N45" s="3">
        <v>4</v>
      </c>
      <c r="O45" s="3">
        <v>0</v>
      </c>
      <c r="P45" s="4">
        <f t="shared" si="0"/>
        <v>62</v>
      </c>
      <c r="Q45" s="1" t="s">
        <v>14</v>
      </c>
      <c r="R45" s="44">
        <v>20</v>
      </c>
      <c r="S45" s="47">
        <v>50</v>
      </c>
      <c r="T45" s="4"/>
    </row>
    <row r="46" spans="1:20" x14ac:dyDescent="0.25">
      <c r="A46" s="7">
        <v>43</v>
      </c>
      <c r="D46" s="16" t="s">
        <v>46</v>
      </c>
      <c r="E46" s="17"/>
      <c r="F46" s="17"/>
      <c r="G46" s="18"/>
      <c r="H46" s="12">
        <v>48</v>
      </c>
      <c r="I46" s="7" t="s">
        <v>2</v>
      </c>
      <c r="J46" s="3">
        <v>0</v>
      </c>
      <c r="K46" s="3">
        <v>0</v>
      </c>
      <c r="L46" s="3">
        <v>0</v>
      </c>
      <c r="M46" s="3">
        <v>0</v>
      </c>
      <c r="N46" s="3">
        <v>4</v>
      </c>
      <c r="O46" s="3">
        <v>0</v>
      </c>
      <c r="P46" s="4">
        <f t="shared" si="0"/>
        <v>44</v>
      </c>
      <c r="Q46" s="1" t="s">
        <v>14</v>
      </c>
      <c r="R46" s="44">
        <v>20</v>
      </c>
      <c r="S46" s="47">
        <v>50</v>
      </c>
      <c r="T46" s="4"/>
    </row>
    <row r="47" spans="1:20" x14ac:dyDescent="0.25">
      <c r="A47" s="7">
        <v>44</v>
      </c>
      <c r="D47" s="9" t="s">
        <v>47</v>
      </c>
      <c r="E47" s="10"/>
      <c r="F47" s="10"/>
      <c r="G47" s="11"/>
      <c r="H47" s="12">
        <v>46</v>
      </c>
      <c r="I47" s="7" t="s">
        <v>2</v>
      </c>
      <c r="J47" s="3">
        <v>0</v>
      </c>
      <c r="K47" s="3">
        <v>0</v>
      </c>
      <c r="L47" s="3">
        <v>0</v>
      </c>
      <c r="M47" s="3">
        <v>0</v>
      </c>
      <c r="N47" s="3">
        <v>4</v>
      </c>
      <c r="O47" s="3">
        <v>0</v>
      </c>
      <c r="P47" s="4">
        <f t="shared" si="0"/>
        <v>42</v>
      </c>
      <c r="Q47" s="1" t="s">
        <v>14</v>
      </c>
      <c r="R47" s="44">
        <v>20</v>
      </c>
      <c r="S47" s="47">
        <v>50</v>
      </c>
      <c r="T47" s="4"/>
    </row>
    <row r="48" spans="1:20" x14ac:dyDescent="0.25">
      <c r="A48" s="7">
        <v>45</v>
      </c>
      <c r="D48" s="16" t="s">
        <v>79</v>
      </c>
      <c r="E48" s="17"/>
      <c r="F48" s="17"/>
      <c r="G48" s="18"/>
      <c r="H48" s="12">
        <v>1</v>
      </c>
      <c r="I48" s="7" t="s">
        <v>2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4">
        <f t="shared" si="0"/>
        <v>1</v>
      </c>
      <c r="Q48" s="1" t="s">
        <v>14</v>
      </c>
      <c r="R48" s="44">
        <v>10</v>
      </c>
      <c r="S48" s="47">
        <v>20</v>
      </c>
      <c r="T48" s="4"/>
    </row>
    <row r="49" spans="1:20" x14ac:dyDescent="0.25">
      <c r="A49" s="7">
        <v>46</v>
      </c>
      <c r="D49" s="9" t="s">
        <v>48</v>
      </c>
      <c r="E49" s="10"/>
      <c r="F49" s="10"/>
      <c r="G49" s="11"/>
      <c r="H49" s="12">
        <v>66</v>
      </c>
      <c r="I49" s="7" t="s">
        <v>2</v>
      </c>
      <c r="J49" s="3">
        <v>0</v>
      </c>
      <c r="K49" s="3">
        <v>5</v>
      </c>
      <c r="L49" s="3">
        <v>1</v>
      </c>
      <c r="M49" s="3">
        <v>0</v>
      </c>
      <c r="N49" s="3">
        <v>0</v>
      </c>
      <c r="O49" s="3">
        <v>0</v>
      </c>
      <c r="P49" s="4">
        <f t="shared" si="0"/>
        <v>60</v>
      </c>
      <c r="Q49" s="1" t="s">
        <v>14</v>
      </c>
      <c r="R49" s="44">
        <v>10</v>
      </c>
      <c r="S49" s="47">
        <v>20</v>
      </c>
      <c r="T49" s="4" t="s">
        <v>14</v>
      </c>
    </row>
    <row r="50" spans="1:20" x14ac:dyDescent="0.25">
      <c r="A50" s="7">
        <v>47</v>
      </c>
      <c r="D50" s="16" t="s">
        <v>49</v>
      </c>
      <c r="E50" s="17"/>
      <c r="F50" s="17"/>
      <c r="G50" s="18"/>
      <c r="H50" s="12">
        <v>108</v>
      </c>
      <c r="I50" s="7" t="s">
        <v>2</v>
      </c>
      <c r="J50" s="3">
        <v>0</v>
      </c>
      <c r="K50" s="3">
        <v>0</v>
      </c>
      <c r="L50" s="3">
        <v>1</v>
      </c>
      <c r="M50" s="3">
        <v>0</v>
      </c>
      <c r="N50" s="3">
        <v>0</v>
      </c>
      <c r="O50" s="3">
        <v>0</v>
      </c>
      <c r="P50" s="4">
        <f t="shared" si="0"/>
        <v>107</v>
      </c>
      <c r="Q50" s="1" t="s">
        <v>14</v>
      </c>
      <c r="R50" s="44">
        <v>10</v>
      </c>
      <c r="S50" s="47">
        <v>20</v>
      </c>
      <c r="T50" s="4"/>
    </row>
    <row r="51" spans="1:20" x14ac:dyDescent="0.25">
      <c r="A51" s="7">
        <v>48</v>
      </c>
      <c r="D51" s="9" t="s">
        <v>169</v>
      </c>
      <c r="E51" s="10"/>
      <c r="F51" s="10"/>
      <c r="G51" s="11"/>
      <c r="H51" s="12">
        <v>30</v>
      </c>
      <c r="I51" s="7" t="s">
        <v>1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4">
        <f t="shared" si="0"/>
        <v>30</v>
      </c>
      <c r="Q51" s="1" t="s">
        <v>14</v>
      </c>
      <c r="R51" s="44">
        <v>20</v>
      </c>
      <c r="S51" s="47">
        <v>100</v>
      </c>
      <c r="T51" s="4"/>
    </row>
    <row r="52" spans="1:20" x14ac:dyDescent="0.25">
      <c r="A52" s="7">
        <v>49</v>
      </c>
      <c r="D52" s="88"/>
      <c r="E52" s="89"/>
      <c r="F52" s="90" t="s">
        <v>111</v>
      </c>
      <c r="G52" s="87"/>
      <c r="H52" s="12">
        <v>256</v>
      </c>
      <c r="I52" s="7" t="s">
        <v>2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4">
        <f t="shared" si="0"/>
        <v>256</v>
      </c>
      <c r="Q52" s="1" t="s">
        <v>14</v>
      </c>
      <c r="R52" s="44">
        <v>30</v>
      </c>
      <c r="S52" s="47">
        <v>100</v>
      </c>
      <c r="T52" s="4"/>
    </row>
    <row r="53" spans="1:20" x14ac:dyDescent="0.25">
      <c r="A53" s="7">
        <v>50</v>
      </c>
      <c r="D53" s="9" t="s">
        <v>51</v>
      </c>
      <c r="E53" s="10"/>
      <c r="F53" s="10"/>
      <c r="G53" s="11"/>
      <c r="H53" s="12">
        <v>37</v>
      </c>
      <c r="I53" s="7" t="s">
        <v>2</v>
      </c>
      <c r="J53" s="3">
        <v>0</v>
      </c>
      <c r="K53" s="3">
        <v>0</v>
      </c>
      <c r="L53" s="3">
        <v>0</v>
      </c>
      <c r="M53" s="3">
        <v>0</v>
      </c>
      <c r="N53" s="3">
        <v>20</v>
      </c>
      <c r="O53" s="3">
        <v>0</v>
      </c>
      <c r="P53" s="4">
        <f t="shared" si="0"/>
        <v>17</v>
      </c>
      <c r="Q53" s="1" t="s">
        <v>14</v>
      </c>
      <c r="R53" s="44">
        <v>20</v>
      </c>
      <c r="S53" s="47">
        <v>50</v>
      </c>
      <c r="T53" s="4"/>
    </row>
    <row r="54" spans="1:20" x14ac:dyDescent="0.25">
      <c r="A54" s="7">
        <v>51</v>
      </c>
      <c r="D54" s="16" t="s">
        <v>52</v>
      </c>
      <c r="E54" s="17"/>
      <c r="F54" s="17"/>
      <c r="G54" s="18"/>
      <c r="H54" s="12">
        <v>46</v>
      </c>
      <c r="I54" s="7" t="s">
        <v>2</v>
      </c>
      <c r="J54" s="3">
        <v>0</v>
      </c>
      <c r="K54" s="3">
        <v>0</v>
      </c>
      <c r="L54" s="3">
        <v>0</v>
      </c>
      <c r="M54" s="3">
        <v>0</v>
      </c>
      <c r="N54" s="3">
        <v>20</v>
      </c>
      <c r="O54" s="3">
        <v>0</v>
      </c>
      <c r="P54" s="4">
        <f t="shared" si="0"/>
        <v>26</v>
      </c>
      <c r="Q54" s="1" t="s">
        <v>14</v>
      </c>
      <c r="R54" s="44">
        <v>20</v>
      </c>
      <c r="S54" s="47">
        <v>50</v>
      </c>
      <c r="T54" s="4" t="s">
        <v>14</v>
      </c>
    </row>
    <row r="55" spans="1:20" x14ac:dyDescent="0.25">
      <c r="A55" s="7">
        <v>52</v>
      </c>
      <c r="D55" s="9" t="s">
        <v>53</v>
      </c>
      <c r="E55" s="10"/>
      <c r="F55" s="10"/>
      <c r="G55" s="11"/>
      <c r="H55" s="12">
        <v>0</v>
      </c>
      <c r="I55" s="7" t="s">
        <v>2</v>
      </c>
      <c r="J55" s="3">
        <v>50</v>
      </c>
      <c r="K55" s="3">
        <v>0</v>
      </c>
      <c r="L55" s="3">
        <v>0</v>
      </c>
      <c r="M55" s="3">
        <v>0</v>
      </c>
      <c r="N55" s="3">
        <v>20</v>
      </c>
      <c r="O55" s="3">
        <v>0</v>
      </c>
      <c r="P55" s="4">
        <f t="shared" si="0"/>
        <v>30</v>
      </c>
      <c r="Q55" s="1" t="s">
        <v>14</v>
      </c>
      <c r="R55" s="44">
        <v>20</v>
      </c>
      <c r="S55" s="47">
        <v>50</v>
      </c>
      <c r="T55" s="4"/>
    </row>
    <row r="56" spans="1:20" x14ac:dyDescent="0.25">
      <c r="A56" s="7">
        <v>53</v>
      </c>
      <c r="D56" s="70" t="s">
        <v>54</v>
      </c>
      <c r="E56" s="71"/>
      <c r="F56" s="71"/>
      <c r="G56" s="72"/>
      <c r="H56" s="12">
        <v>1035</v>
      </c>
      <c r="I56" s="7" t="s">
        <v>1</v>
      </c>
      <c r="J56" s="3">
        <v>1500</v>
      </c>
      <c r="K56" s="3">
        <v>120</v>
      </c>
      <c r="L56" s="3">
        <v>120</v>
      </c>
      <c r="M56" s="3">
        <v>150</v>
      </c>
      <c r="N56" s="3">
        <v>105</v>
      </c>
      <c r="O56" s="3">
        <v>0</v>
      </c>
      <c r="P56" s="4">
        <f t="shared" si="0"/>
        <v>2040</v>
      </c>
      <c r="Q56" s="1" t="s">
        <v>120</v>
      </c>
      <c r="R56" s="44">
        <v>250</v>
      </c>
      <c r="S56" s="47">
        <v>750</v>
      </c>
      <c r="T56" s="4"/>
    </row>
    <row r="57" spans="1:20" x14ac:dyDescent="0.25">
      <c r="A57" s="7">
        <v>54</v>
      </c>
      <c r="D57" s="16" t="s">
        <v>61</v>
      </c>
      <c r="E57" s="17"/>
      <c r="F57" s="17"/>
      <c r="G57" s="18"/>
      <c r="H57" s="12">
        <v>246</v>
      </c>
      <c r="I57" s="7" t="s">
        <v>2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  <c r="P57" s="4">
        <f t="shared" si="0"/>
        <v>246</v>
      </c>
      <c r="Q57" s="1" t="s">
        <v>14</v>
      </c>
      <c r="R57" s="44">
        <v>10</v>
      </c>
      <c r="S57" s="46">
        <v>200</v>
      </c>
      <c r="T57" s="4"/>
    </row>
    <row r="58" spans="1:20" x14ac:dyDescent="0.25">
      <c r="A58" s="7">
        <v>55</v>
      </c>
      <c r="D58" s="9" t="s">
        <v>62</v>
      </c>
      <c r="E58" s="10"/>
      <c r="F58" s="10"/>
      <c r="G58" s="11"/>
      <c r="H58" s="12">
        <v>2075</v>
      </c>
      <c r="I58" s="7" t="s">
        <v>2</v>
      </c>
      <c r="J58" s="3">
        <v>1500</v>
      </c>
      <c r="K58" s="3">
        <v>33</v>
      </c>
      <c r="L58" s="3">
        <v>372</v>
      </c>
      <c r="M58" s="3">
        <v>13</v>
      </c>
      <c r="N58" s="3">
        <v>92</v>
      </c>
      <c r="O58" s="3">
        <v>0</v>
      </c>
      <c r="P58" s="4">
        <f t="shared" si="0"/>
        <v>3065</v>
      </c>
      <c r="Q58" s="1" t="s">
        <v>14</v>
      </c>
      <c r="R58" s="44">
        <v>200</v>
      </c>
      <c r="S58" s="47">
        <v>1000</v>
      </c>
      <c r="T58" s="4"/>
    </row>
    <row r="59" spans="1:20" x14ac:dyDescent="0.25">
      <c r="A59" s="7">
        <v>56</v>
      </c>
      <c r="D59" s="16" t="s">
        <v>13</v>
      </c>
      <c r="E59" s="17"/>
      <c r="F59" s="17"/>
      <c r="G59" s="18"/>
      <c r="H59" s="12">
        <v>387</v>
      </c>
      <c r="I59" s="7" t="s">
        <v>2</v>
      </c>
      <c r="J59" s="3">
        <v>0</v>
      </c>
      <c r="K59" s="3">
        <v>0</v>
      </c>
      <c r="L59" s="3">
        <v>18</v>
      </c>
      <c r="M59" s="3">
        <v>0</v>
      </c>
      <c r="N59" s="3">
        <v>0</v>
      </c>
      <c r="O59" s="3">
        <v>0</v>
      </c>
      <c r="P59" s="4">
        <f t="shared" si="0"/>
        <v>369</v>
      </c>
      <c r="Q59" s="1" t="s">
        <v>14</v>
      </c>
      <c r="R59" s="44">
        <v>100</v>
      </c>
      <c r="S59" s="47">
        <v>300</v>
      </c>
      <c r="T59" s="4"/>
    </row>
    <row r="60" spans="1:20" x14ac:dyDescent="0.25">
      <c r="A60" s="7">
        <v>57</v>
      </c>
      <c r="D60" s="9" t="s">
        <v>72</v>
      </c>
      <c r="E60" s="10"/>
      <c r="F60" s="10"/>
      <c r="G60" s="11"/>
      <c r="H60" s="12">
        <v>134</v>
      </c>
      <c r="I60" s="7" t="s">
        <v>2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4">
        <f t="shared" si="0"/>
        <v>134</v>
      </c>
      <c r="Q60" s="1" t="s">
        <v>14</v>
      </c>
      <c r="R60" s="44">
        <v>100</v>
      </c>
      <c r="S60" s="47">
        <v>300</v>
      </c>
      <c r="T60" s="4"/>
    </row>
    <row r="61" spans="1:20" x14ac:dyDescent="0.25">
      <c r="A61" s="7">
        <v>58</v>
      </c>
      <c r="D61" s="16" t="s">
        <v>63</v>
      </c>
      <c r="E61" s="17"/>
      <c r="F61" s="17"/>
      <c r="G61" s="18"/>
      <c r="H61" s="12">
        <v>50</v>
      </c>
      <c r="I61" s="7" t="s">
        <v>2</v>
      </c>
      <c r="J61" s="3">
        <v>0</v>
      </c>
      <c r="K61" s="3">
        <v>23</v>
      </c>
      <c r="L61" s="3">
        <v>0</v>
      </c>
      <c r="M61" s="3">
        <v>0</v>
      </c>
      <c r="N61" s="3">
        <v>0</v>
      </c>
      <c r="O61" s="3">
        <v>0</v>
      </c>
      <c r="P61" s="4">
        <f t="shared" si="0"/>
        <v>27</v>
      </c>
      <c r="Q61" s="1" t="s">
        <v>14</v>
      </c>
      <c r="R61" s="44">
        <v>100</v>
      </c>
      <c r="S61" s="47">
        <v>300</v>
      </c>
      <c r="T61" s="4"/>
    </row>
    <row r="62" spans="1:20" x14ac:dyDescent="0.25">
      <c r="A62" s="7">
        <v>59</v>
      </c>
      <c r="D62" s="9" t="s">
        <v>77</v>
      </c>
      <c r="E62" s="10"/>
      <c r="F62" s="10"/>
      <c r="G62" s="11"/>
      <c r="H62" s="12">
        <v>504</v>
      </c>
      <c r="I62" s="7" t="s">
        <v>2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4">
        <f t="shared" si="0"/>
        <v>504</v>
      </c>
      <c r="Q62" s="1" t="s">
        <v>14</v>
      </c>
      <c r="R62" s="44">
        <v>100</v>
      </c>
      <c r="S62" s="47">
        <v>300</v>
      </c>
      <c r="T62" s="4"/>
    </row>
    <row r="63" spans="1:20" x14ac:dyDescent="0.25">
      <c r="A63" s="7">
        <v>60</v>
      </c>
      <c r="D63" s="16" t="s">
        <v>130</v>
      </c>
      <c r="E63" s="17"/>
      <c r="F63" s="17"/>
      <c r="G63" s="18"/>
      <c r="H63" s="12">
        <v>207</v>
      </c>
      <c r="I63" s="7" t="s">
        <v>2</v>
      </c>
      <c r="J63" s="3">
        <v>0</v>
      </c>
      <c r="K63" s="3">
        <v>0</v>
      </c>
      <c r="L63" s="3">
        <v>0</v>
      </c>
      <c r="M63" s="3">
        <v>0</v>
      </c>
      <c r="N63" s="3">
        <v>1</v>
      </c>
      <c r="O63" s="3">
        <v>0</v>
      </c>
      <c r="P63" s="4">
        <f t="shared" si="0"/>
        <v>206</v>
      </c>
      <c r="Q63" s="1" t="s">
        <v>14</v>
      </c>
      <c r="R63" s="44">
        <v>20</v>
      </c>
      <c r="S63" s="46">
        <v>200</v>
      </c>
      <c r="T63" s="4"/>
    </row>
    <row r="64" spans="1:20" x14ac:dyDescent="0.25">
      <c r="A64" s="7">
        <v>61</v>
      </c>
      <c r="D64" s="26" t="s">
        <v>146</v>
      </c>
      <c r="E64" s="27"/>
      <c r="F64" s="27"/>
      <c r="G64" s="28"/>
      <c r="H64" s="12">
        <v>1</v>
      </c>
      <c r="I64" s="30" t="s">
        <v>2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4">
        <f t="shared" si="0"/>
        <v>1</v>
      </c>
      <c r="Q64" s="1" t="s">
        <v>14</v>
      </c>
      <c r="R64" s="44">
        <v>50</v>
      </c>
      <c r="S64" s="47">
        <v>100</v>
      </c>
      <c r="T64" s="4"/>
    </row>
    <row r="65" spans="1:20" x14ac:dyDescent="0.25">
      <c r="A65" s="7">
        <v>62</v>
      </c>
      <c r="D65" s="16" t="s">
        <v>65</v>
      </c>
      <c r="E65" s="17"/>
      <c r="F65" s="17"/>
      <c r="G65" s="18"/>
      <c r="H65" s="12">
        <v>54</v>
      </c>
      <c r="I65" s="7" t="s">
        <v>2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4">
        <f t="shared" si="0"/>
        <v>54</v>
      </c>
      <c r="Q65" s="1" t="s">
        <v>14</v>
      </c>
      <c r="R65" s="44">
        <v>10</v>
      </c>
      <c r="S65" s="46">
        <v>50</v>
      </c>
      <c r="T65" s="4"/>
    </row>
    <row r="66" spans="1:20" x14ac:dyDescent="0.25">
      <c r="A66" s="7">
        <v>63</v>
      </c>
      <c r="D66" s="9" t="s">
        <v>66</v>
      </c>
      <c r="E66" s="10"/>
      <c r="F66" s="10"/>
      <c r="G66" s="11"/>
      <c r="H66" s="12">
        <v>50</v>
      </c>
      <c r="I66" s="7" t="s">
        <v>2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  <c r="P66" s="4">
        <f t="shared" si="0"/>
        <v>50</v>
      </c>
      <c r="Q66" s="1" t="s">
        <v>14</v>
      </c>
      <c r="R66" s="44">
        <v>300</v>
      </c>
      <c r="S66" s="47">
        <v>1000</v>
      </c>
      <c r="T66" s="4"/>
    </row>
    <row r="67" spans="1:20" x14ac:dyDescent="0.25">
      <c r="A67" s="7">
        <v>64</v>
      </c>
      <c r="D67" s="19" t="s">
        <v>165</v>
      </c>
      <c r="E67" s="20"/>
      <c r="F67" s="20"/>
      <c r="G67" s="21"/>
      <c r="H67" s="12">
        <v>79</v>
      </c>
      <c r="I67" s="7" t="s">
        <v>2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  <c r="P67" s="4">
        <f t="shared" si="0"/>
        <v>79</v>
      </c>
      <c r="Q67" s="1" t="s">
        <v>14</v>
      </c>
      <c r="R67" s="44">
        <v>50</v>
      </c>
      <c r="S67" s="47">
        <v>150</v>
      </c>
      <c r="T67" s="4"/>
    </row>
    <row r="68" spans="1:20" x14ac:dyDescent="0.25">
      <c r="A68" s="7">
        <v>65</v>
      </c>
      <c r="D68" s="22" t="s">
        <v>74</v>
      </c>
      <c r="E68" s="10"/>
      <c r="F68" s="10"/>
      <c r="G68" s="11"/>
      <c r="H68" s="12">
        <v>520</v>
      </c>
      <c r="I68" s="8" t="s">
        <v>75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4">
        <f t="shared" ref="P68:P89" si="1">+H68+J68-K68-L68-M68-N68-O68</f>
        <v>520</v>
      </c>
      <c r="Q68" s="1" t="s">
        <v>91</v>
      </c>
      <c r="R68" s="44">
        <v>65</v>
      </c>
      <c r="S68" s="47">
        <v>150</v>
      </c>
      <c r="T68" s="4"/>
    </row>
    <row r="69" spans="1:20" x14ac:dyDescent="0.25">
      <c r="A69" s="7">
        <v>66</v>
      </c>
      <c r="C69" s="1" t="s">
        <v>14</v>
      </c>
      <c r="D69" s="22" t="s">
        <v>76</v>
      </c>
      <c r="E69" s="10"/>
      <c r="F69" s="10"/>
      <c r="G69" s="11"/>
      <c r="H69" s="12">
        <v>240</v>
      </c>
      <c r="I69" s="8" t="s">
        <v>2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4">
        <f t="shared" si="1"/>
        <v>240</v>
      </c>
      <c r="Q69" s="1" t="s">
        <v>14</v>
      </c>
      <c r="R69" s="44">
        <v>50</v>
      </c>
      <c r="S69" s="47">
        <v>100</v>
      </c>
      <c r="T69" s="4"/>
    </row>
    <row r="70" spans="1:20" x14ac:dyDescent="0.25">
      <c r="A70" s="7">
        <v>67</v>
      </c>
      <c r="D70" s="25" t="s">
        <v>147</v>
      </c>
      <c r="H70" s="12">
        <v>301</v>
      </c>
      <c r="I70" s="30" t="s">
        <v>2</v>
      </c>
      <c r="J70" s="3">
        <v>100</v>
      </c>
      <c r="K70" s="3">
        <v>155</v>
      </c>
      <c r="L70" s="3">
        <v>4</v>
      </c>
      <c r="M70" s="3">
        <v>0</v>
      </c>
      <c r="N70" s="3">
        <v>0</v>
      </c>
      <c r="O70" s="3">
        <v>0</v>
      </c>
      <c r="P70" s="4">
        <f t="shared" si="1"/>
        <v>242</v>
      </c>
      <c r="Q70" s="1" t="s">
        <v>14</v>
      </c>
      <c r="R70" s="44">
        <v>50</v>
      </c>
      <c r="S70" s="47">
        <v>100</v>
      </c>
      <c r="T70" s="4"/>
    </row>
    <row r="71" spans="1:20" x14ac:dyDescent="0.25">
      <c r="A71" s="7">
        <v>68</v>
      </c>
      <c r="D71" s="26" t="s">
        <v>80</v>
      </c>
      <c r="E71" s="27"/>
      <c r="F71" s="27"/>
      <c r="G71" s="28"/>
      <c r="H71" s="12">
        <v>90</v>
      </c>
      <c r="I71" s="8" t="s">
        <v>2</v>
      </c>
      <c r="J71" s="3">
        <v>0</v>
      </c>
      <c r="K71" s="3">
        <v>0</v>
      </c>
      <c r="L71" s="3">
        <v>1</v>
      </c>
      <c r="M71" s="3">
        <v>0</v>
      </c>
      <c r="N71" s="3">
        <v>4</v>
      </c>
      <c r="O71" s="3">
        <v>0</v>
      </c>
      <c r="P71" s="4">
        <f t="shared" si="1"/>
        <v>85</v>
      </c>
      <c r="Q71" s="1" t="s">
        <v>14</v>
      </c>
      <c r="R71" s="44">
        <v>20</v>
      </c>
      <c r="S71" s="46">
        <v>200</v>
      </c>
      <c r="T71" s="4"/>
    </row>
    <row r="72" spans="1:20" x14ac:dyDescent="0.25">
      <c r="A72" s="7">
        <v>69</v>
      </c>
      <c r="D72" s="26" t="s">
        <v>84</v>
      </c>
      <c r="E72" s="27"/>
      <c r="F72" s="27"/>
      <c r="G72" s="28"/>
      <c r="H72" s="12">
        <v>0</v>
      </c>
      <c r="I72" s="8" t="s">
        <v>2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  <c r="P72" s="4">
        <f t="shared" si="1"/>
        <v>0</v>
      </c>
      <c r="Q72" s="1" t="s">
        <v>14</v>
      </c>
      <c r="R72" s="44">
        <v>100</v>
      </c>
      <c r="S72" s="47">
        <v>200</v>
      </c>
      <c r="T72" s="4"/>
    </row>
    <row r="73" spans="1:20" x14ac:dyDescent="0.25">
      <c r="A73" s="7">
        <v>70</v>
      </c>
      <c r="D73" s="26" t="s">
        <v>167</v>
      </c>
      <c r="E73" s="27"/>
      <c r="F73" s="27"/>
      <c r="G73" s="28"/>
      <c r="H73" s="12">
        <v>90</v>
      </c>
      <c r="I73" s="8" t="s">
        <v>2</v>
      </c>
      <c r="J73" s="3">
        <v>0</v>
      </c>
      <c r="K73" s="3">
        <v>0</v>
      </c>
      <c r="L73" s="3">
        <v>1</v>
      </c>
      <c r="M73" s="3">
        <v>0</v>
      </c>
      <c r="N73" s="3">
        <v>4</v>
      </c>
      <c r="O73" s="3">
        <v>0</v>
      </c>
      <c r="P73" s="4">
        <f t="shared" si="1"/>
        <v>85</v>
      </c>
      <c r="R73" s="44">
        <v>20</v>
      </c>
      <c r="S73" s="46">
        <v>200</v>
      </c>
      <c r="T73" s="4"/>
    </row>
    <row r="74" spans="1:20" x14ac:dyDescent="0.25">
      <c r="A74" s="7">
        <v>71</v>
      </c>
      <c r="D74" s="37" t="s">
        <v>14</v>
      </c>
      <c r="E74" s="17"/>
      <c r="F74" s="33"/>
      <c r="G74" s="33"/>
      <c r="H74" s="12">
        <v>0</v>
      </c>
      <c r="I74" s="8" t="s">
        <v>14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4">
        <f t="shared" si="1"/>
        <v>0</v>
      </c>
      <c r="Q74" s="1" t="s">
        <v>14</v>
      </c>
      <c r="R74" s="44">
        <v>100</v>
      </c>
      <c r="S74" s="47">
        <v>500</v>
      </c>
      <c r="T74" s="4"/>
    </row>
    <row r="75" spans="1:20" x14ac:dyDescent="0.25">
      <c r="A75" s="7">
        <v>72</v>
      </c>
      <c r="D75" s="22" t="s">
        <v>100</v>
      </c>
      <c r="E75" s="10"/>
      <c r="F75" s="10"/>
      <c r="G75" s="28"/>
      <c r="H75" s="12">
        <v>0</v>
      </c>
      <c r="I75" s="8" t="s">
        <v>2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4">
        <f t="shared" si="1"/>
        <v>0</v>
      </c>
      <c r="R75" s="44">
        <v>0</v>
      </c>
      <c r="S75" s="46"/>
      <c r="T75" s="4"/>
    </row>
    <row r="76" spans="1:20" x14ac:dyDescent="0.25">
      <c r="A76" s="7">
        <v>73</v>
      </c>
      <c r="D76" s="37" t="s">
        <v>113</v>
      </c>
      <c r="E76" s="17"/>
      <c r="F76" s="17"/>
      <c r="G76" s="33"/>
      <c r="H76" s="12">
        <v>677</v>
      </c>
      <c r="I76" s="8" t="s">
        <v>97</v>
      </c>
      <c r="J76" s="3">
        <v>492</v>
      </c>
      <c r="K76" s="3">
        <v>539</v>
      </c>
      <c r="L76" s="3">
        <v>87</v>
      </c>
      <c r="M76" s="3">
        <v>92</v>
      </c>
      <c r="N76" s="3">
        <v>58</v>
      </c>
      <c r="O76" s="3">
        <v>0</v>
      </c>
      <c r="P76" s="4">
        <f t="shared" si="1"/>
        <v>393</v>
      </c>
      <c r="Q76" s="65" t="s">
        <v>121</v>
      </c>
      <c r="R76" s="44">
        <v>30</v>
      </c>
      <c r="S76" s="47">
        <v>100</v>
      </c>
      <c r="T76" s="4"/>
    </row>
    <row r="77" spans="1:20" x14ac:dyDescent="0.25">
      <c r="A77" s="7">
        <v>74</v>
      </c>
      <c r="D77" s="22" t="s">
        <v>103</v>
      </c>
      <c r="E77" s="10"/>
      <c r="F77" s="10"/>
      <c r="G77" s="28"/>
      <c r="H77" s="12">
        <v>120</v>
      </c>
      <c r="I77" s="8" t="s">
        <v>2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4">
        <f t="shared" si="1"/>
        <v>120</v>
      </c>
      <c r="R77" s="44">
        <v>60</v>
      </c>
      <c r="S77" s="47">
        <v>100</v>
      </c>
      <c r="T77" s="4"/>
    </row>
    <row r="78" spans="1:20" x14ac:dyDescent="0.25">
      <c r="A78" s="8">
        <v>75</v>
      </c>
      <c r="D78" s="49" t="s">
        <v>108</v>
      </c>
      <c r="E78" s="20"/>
      <c r="F78" s="20"/>
      <c r="G78" s="20"/>
      <c r="H78" s="12">
        <v>31500</v>
      </c>
      <c r="I78" s="8" t="s">
        <v>110</v>
      </c>
      <c r="J78" s="3">
        <v>0</v>
      </c>
      <c r="K78" s="3">
        <v>500</v>
      </c>
      <c r="L78" s="3">
        <v>2000</v>
      </c>
      <c r="M78" s="3">
        <v>3000</v>
      </c>
      <c r="N78" s="3">
        <v>2000</v>
      </c>
      <c r="O78" s="3">
        <v>0</v>
      </c>
      <c r="P78" s="4">
        <f t="shared" si="1"/>
        <v>24000</v>
      </c>
      <c r="R78" s="43">
        <v>1000</v>
      </c>
      <c r="S78" s="46">
        <v>10000</v>
      </c>
      <c r="T78" s="4"/>
    </row>
    <row r="79" spans="1:20" x14ac:dyDescent="0.25">
      <c r="A79" s="48">
        <v>76</v>
      </c>
      <c r="B79" s="41"/>
      <c r="C79" s="41"/>
      <c r="D79" s="22" t="s">
        <v>115</v>
      </c>
      <c r="E79" s="10"/>
      <c r="F79" s="10"/>
      <c r="G79" s="11"/>
      <c r="H79" s="12">
        <v>296</v>
      </c>
      <c r="I79" s="62" t="s">
        <v>2</v>
      </c>
      <c r="J79" s="3">
        <v>100</v>
      </c>
      <c r="K79" s="3">
        <v>155</v>
      </c>
      <c r="L79" s="3">
        <v>4</v>
      </c>
      <c r="M79" s="3">
        <v>0</v>
      </c>
      <c r="N79" s="3">
        <v>0</v>
      </c>
      <c r="O79" s="3">
        <v>0</v>
      </c>
      <c r="P79" s="64">
        <f t="shared" si="1"/>
        <v>237</v>
      </c>
      <c r="R79" s="64">
        <v>50</v>
      </c>
      <c r="S79" s="64">
        <v>100</v>
      </c>
      <c r="T79" s="4" t="s">
        <v>14</v>
      </c>
    </row>
    <row r="80" spans="1:20" x14ac:dyDescent="0.25">
      <c r="A80" s="73">
        <v>77</v>
      </c>
      <c r="B80" s="41"/>
      <c r="C80" s="41"/>
      <c r="D80" s="49" t="s">
        <v>134</v>
      </c>
      <c r="E80" s="35"/>
      <c r="F80" s="35"/>
      <c r="G80" s="60"/>
      <c r="H80" s="12">
        <v>325</v>
      </c>
      <c r="I80" s="8" t="s">
        <v>2</v>
      </c>
      <c r="J80" s="3">
        <v>0</v>
      </c>
      <c r="K80" s="3">
        <v>0</v>
      </c>
      <c r="L80" s="3">
        <v>5</v>
      </c>
      <c r="M80" s="3">
        <v>0</v>
      </c>
      <c r="N80" s="3">
        <v>0</v>
      </c>
      <c r="O80" s="3">
        <v>0</v>
      </c>
      <c r="P80" s="4">
        <f t="shared" si="1"/>
        <v>320</v>
      </c>
      <c r="Q80" s="4"/>
      <c r="R80" s="4">
        <v>20</v>
      </c>
      <c r="S80" s="4">
        <v>50</v>
      </c>
      <c r="T80" s="4"/>
    </row>
    <row r="81" spans="1:20" x14ac:dyDescent="0.25">
      <c r="A81" s="8">
        <v>78</v>
      </c>
      <c r="D81" s="22" t="s">
        <v>123</v>
      </c>
      <c r="E81" s="10"/>
      <c r="F81" s="10"/>
      <c r="G81" s="11"/>
      <c r="H81" s="12">
        <v>1500</v>
      </c>
      <c r="I81" s="8" t="s">
        <v>2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  <c r="P81" s="4">
        <f t="shared" si="1"/>
        <v>1500</v>
      </c>
      <c r="Q81" s="4"/>
      <c r="R81" s="4">
        <v>100</v>
      </c>
      <c r="S81" s="4">
        <v>500</v>
      </c>
      <c r="T81" s="4"/>
    </row>
    <row r="82" spans="1:20" x14ac:dyDescent="0.25">
      <c r="A82" s="48">
        <v>79</v>
      </c>
      <c r="B82" s="41"/>
      <c r="C82" s="41"/>
      <c r="D82" s="22" t="s">
        <v>154</v>
      </c>
      <c r="E82" s="10"/>
      <c r="F82" s="10"/>
      <c r="G82" s="11"/>
      <c r="H82" s="4">
        <v>15</v>
      </c>
      <c r="I82" s="8" t="s">
        <v>2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  <c r="P82" s="4">
        <f t="shared" si="1"/>
        <v>15</v>
      </c>
      <c r="Q82" s="4"/>
      <c r="R82" s="4">
        <v>10</v>
      </c>
      <c r="S82" s="4">
        <v>50</v>
      </c>
      <c r="T82" s="4"/>
    </row>
    <row r="83" spans="1:20" x14ac:dyDescent="0.25">
      <c r="A83" s="48">
        <v>80</v>
      </c>
      <c r="B83" s="41"/>
      <c r="C83" s="41"/>
      <c r="D83" s="37" t="s">
        <v>155</v>
      </c>
      <c r="E83" s="17"/>
      <c r="F83" s="17"/>
      <c r="G83" s="18"/>
      <c r="H83" s="64">
        <v>15</v>
      </c>
      <c r="I83" s="62" t="s">
        <v>2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64">
        <f t="shared" si="1"/>
        <v>15</v>
      </c>
      <c r="Q83" s="64"/>
      <c r="R83" s="64">
        <v>10</v>
      </c>
      <c r="S83" s="64">
        <v>50</v>
      </c>
      <c r="T83" s="4"/>
    </row>
    <row r="84" spans="1:20" x14ac:dyDescent="0.25">
      <c r="A84" s="48">
        <v>81</v>
      </c>
      <c r="B84" s="11"/>
      <c r="C84" s="23"/>
      <c r="D84" s="23" t="s">
        <v>149</v>
      </c>
      <c r="E84" s="23"/>
      <c r="F84" s="23"/>
      <c r="G84" s="23"/>
      <c r="H84" s="23">
        <v>10</v>
      </c>
      <c r="I84" s="8" t="s">
        <v>2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4">
        <f t="shared" si="1"/>
        <v>10</v>
      </c>
      <c r="Q84" s="4"/>
      <c r="R84" s="4">
        <v>10</v>
      </c>
      <c r="S84" s="4">
        <v>50</v>
      </c>
      <c r="T84" s="4"/>
    </row>
    <row r="85" spans="1:20" x14ac:dyDescent="0.25">
      <c r="A85" s="8">
        <v>82</v>
      </c>
      <c r="D85" s="68" t="s">
        <v>148</v>
      </c>
      <c r="E85" s="27"/>
      <c r="F85" s="27"/>
      <c r="G85" s="28"/>
      <c r="H85" s="4">
        <v>98</v>
      </c>
      <c r="I85" s="8" t="s">
        <v>2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4">
        <f t="shared" si="1"/>
        <v>98</v>
      </c>
      <c r="Q85" s="4"/>
      <c r="R85" s="4">
        <v>50</v>
      </c>
      <c r="S85" s="4">
        <v>200</v>
      </c>
      <c r="T85" s="4"/>
    </row>
    <row r="86" spans="1:20" ht="15.75" customHeight="1" x14ac:dyDescent="0.25">
      <c r="A86" s="8">
        <v>83</v>
      </c>
      <c r="D86" s="79" t="s">
        <v>150</v>
      </c>
      <c r="E86" s="80"/>
      <c r="F86" s="81"/>
      <c r="G86" s="82"/>
      <c r="H86" s="4">
        <v>485</v>
      </c>
      <c r="I86" s="8" t="s">
        <v>2</v>
      </c>
      <c r="J86" s="3">
        <v>0</v>
      </c>
      <c r="K86" s="3">
        <v>0</v>
      </c>
      <c r="L86" s="3">
        <v>59</v>
      </c>
      <c r="M86" s="3">
        <v>0</v>
      </c>
      <c r="N86" s="3">
        <v>10</v>
      </c>
      <c r="O86" s="3">
        <v>0</v>
      </c>
      <c r="P86" s="4">
        <f t="shared" si="1"/>
        <v>416</v>
      </c>
      <c r="Q86" s="4"/>
      <c r="R86" s="4">
        <v>50</v>
      </c>
      <c r="S86" s="4">
        <v>300</v>
      </c>
      <c r="T86" s="4"/>
    </row>
    <row r="87" spans="1:20" x14ac:dyDescent="0.25">
      <c r="A87" s="8">
        <v>84</v>
      </c>
      <c r="D87" s="22" t="s">
        <v>160</v>
      </c>
      <c r="E87" s="10"/>
      <c r="F87" s="10"/>
      <c r="G87" s="11"/>
      <c r="H87" s="23">
        <v>837</v>
      </c>
      <c r="I87" s="8" t="s">
        <v>2</v>
      </c>
      <c r="J87" s="3">
        <v>0</v>
      </c>
      <c r="K87" s="3">
        <v>0</v>
      </c>
      <c r="L87" s="3">
        <v>0</v>
      </c>
      <c r="M87" s="3">
        <v>0</v>
      </c>
      <c r="N87" s="3">
        <v>2</v>
      </c>
      <c r="O87" s="3">
        <v>0</v>
      </c>
      <c r="P87" s="4">
        <f t="shared" si="1"/>
        <v>835</v>
      </c>
      <c r="Q87" s="4"/>
      <c r="R87" s="4">
        <v>20</v>
      </c>
      <c r="S87" s="4">
        <v>300</v>
      </c>
      <c r="T87" s="4"/>
    </row>
    <row r="88" spans="1:20" x14ac:dyDescent="0.25">
      <c r="A88" s="8">
        <v>85</v>
      </c>
      <c r="D88" s="49" t="s">
        <v>153</v>
      </c>
      <c r="E88" s="20"/>
      <c r="F88" s="20"/>
      <c r="G88" s="21"/>
      <c r="H88" s="23">
        <v>88</v>
      </c>
      <c r="I88" s="8" t="s">
        <v>2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4">
        <f t="shared" si="1"/>
        <v>88</v>
      </c>
      <c r="Q88" s="4"/>
      <c r="R88" s="4">
        <v>10</v>
      </c>
      <c r="S88" s="4">
        <v>200</v>
      </c>
      <c r="T88" s="4"/>
    </row>
    <row r="89" spans="1:20" x14ac:dyDescent="0.25">
      <c r="A89" s="77">
        <v>86</v>
      </c>
      <c r="D89" s="68" t="s">
        <v>162</v>
      </c>
      <c r="E89" s="27"/>
      <c r="F89" s="27"/>
      <c r="G89" s="28"/>
      <c r="H89" s="74">
        <v>85</v>
      </c>
      <c r="I89" s="75" t="s">
        <v>2</v>
      </c>
      <c r="J89" s="3">
        <v>0</v>
      </c>
      <c r="K89" s="3">
        <v>0</v>
      </c>
      <c r="L89" s="3">
        <v>0</v>
      </c>
      <c r="M89" s="3">
        <v>0</v>
      </c>
      <c r="N89" s="3">
        <v>0</v>
      </c>
      <c r="O89" s="3">
        <v>0</v>
      </c>
      <c r="P89" s="4">
        <f t="shared" si="1"/>
        <v>85</v>
      </c>
      <c r="Q89" s="4"/>
      <c r="R89" s="4">
        <v>10</v>
      </c>
      <c r="S89" s="4">
        <v>50</v>
      </c>
      <c r="T89" s="4"/>
    </row>
  </sheetData>
  <pageMargins left="0.75" right="0.75" top="1" bottom="1" header="0.5" footer="0.5"/>
  <pageSetup paperSize="9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T89"/>
  <sheetViews>
    <sheetView workbookViewId="0">
      <selection activeCell="K3" sqref="K3"/>
    </sheetView>
  </sheetViews>
  <sheetFormatPr defaultRowHeight="15" x14ac:dyDescent="0.25"/>
  <cols>
    <col min="1" max="1" width="5.5703125" customWidth="1"/>
    <col min="2" max="3" width="9.140625" hidden="1" customWidth="1"/>
    <col min="6" max="6" width="12.7109375" customWidth="1"/>
    <col min="8" max="8" width="10.140625" customWidth="1"/>
    <col min="9" max="9" width="10" customWidth="1"/>
    <col min="10" max="10" width="7.7109375" customWidth="1"/>
    <col min="11" max="11" width="10.7109375" customWidth="1"/>
    <col min="12" max="12" width="10.140625" customWidth="1"/>
    <col min="13" max="13" width="11.85546875" customWidth="1"/>
    <col min="14" max="15" width="11.7109375" customWidth="1"/>
    <col min="16" max="16" width="10.140625" customWidth="1"/>
    <col min="17" max="17" width="4.7109375" customWidth="1"/>
    <col min="18" max="18" width="12.140625" customWidth="1"/>
    <col min="19" max="19" width="10.85546875" customWidth="1"/>
    <col min="20" max="20" width="13.85546875" customWidth="1"/>
  </cols>
  <sheetData>
    <row r="1" spans="1:20" x14ac:dyDescent="0.25">
      <c r="G1" s="1"/>
      <c r="P1">
        <f>+H1+J1-K1-L1-M1-N1-O1</f>
        <v>0</v>
      </c>
    </row>
    <row r="2" spans="1:20" x14ac:dyDescent="0.25">
      <c r="A2" t="s">
        <v>14</v>
      </c>
      <c r="D2" s="78">
        <v>45352</v>
      </c>
      <c r="O2" s="38" t="s">
        <v>14</v>
      </c>
      <c r="S2" s="50">
        <v>44837</v>
      </c>
    </row>
    <row r="3" spans="1:20" x14ac:dyDescent="0.25">
      <c r="A3" s="3" t="s">
        <v>15</v>
      </c>
      <c r="D3" s="9" t="s">
        <v>17</v>
      </c>
      <c r="E3" s="10"/>
      <c r="F3" s="10"/>
      <c r="G3" s="11"/>
      <c r="H3" s="12" t="s">
        <v>18</v>
      </c>
      <c r="I3" s="4" t="s">
        <v>19</v>
      </c>
      <c r="J3" s="3" t="s">
        <v>20</v>
      </c>
      <c r="K3" s="5">
        <v>45387</v>
      </c>
      <c r="L3" s="6">
        <v>45394</v>
      </c>
      <c r="M3" s="5">
        <v>45401</v>
      </c>
      <c r="N3" s="5">
        <v>45408</v>
      </c>
      <c r="O3" s="6">
        <v>45412</v>
      </c>
      <c r="P3" s="3" t="s">
        <v>21</v>
      </c>
      <c r="R3" s="42" t="s">
        <v>105</v>
      </c>
      <c r="S3" s="45" t="s">
        <v>104</v>
      </c>
      <c r="T3" s="4"/>
    </row>
    <row r="4" spans="1:20" x14ac:dyDescent="0.25">
      <c r="A4" s="7">
        <v>1</v>
      </c>
      <c r="D4" s="13" t="s">
        <v>16</v>
      </c>
      <c r="E4" s="14"/>
      <c r="F4" s="14"/>
      <c r="G4" s="15"/>
      <c r="H4" s="12">
        <v>186.9</v>
      </c>
      <c r="I4" s="7" t="s">
        <v>1</v>
      </c>
      <c r="J4" s="3">
        <v>323.45</v>
      </c>
      <c r="K4" s="3">
        <v>0</v>
      </c>
      <c r="L4" s="3">
        <v>20</v>
      </c>
      <c r="M4" s="3">
        <v>20</v>
      </c>
      <c r="N4" s="3">
        <v>0</v>
      </c>
      <c r="O4" s="3">
        <v>20</v>
      </c>
      <c r="P4" s="4">
        <f t="shared" ref="P4:P67" si="0">+H4+J4-K4-L4-M4-N4-O4</f>
        <v>450.35</v>
      </c>
      <c r="Q4" t="s">
        <v>172</v>
      </c>
      <c r="R4" s="43">
        <v>100</v>
      </c>
      <c r="S4" s="46">
        <v>500</v>
      </c>
      <c r="T4" s="4" t="s">
        <v>14</v>
      </c>
    </row>
    <row r="5" spans="1:20" x14ac:dyDescent="0.25">
      <c r="A5" s="7">
        <v>2</v>
      </c>
      <c r="D5" s="9" t="s">
        <v>22</v>
      </c>
      <c r="E5" s="10"/>
      <c r="F5" s="10"/>
      <c r="G5" s="11"/>
      <c r="H5" s="12">
        <v>0</v>
      </c>
      <c r="I5" s="7" t="s">
        <v>2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4">
        <f t="shared" si="0"/>
        <v>0</v>
      </c>
      <c r="Q5" s="1" t="s">
        <v>14</v>
      </c>
      <c r="R5" s="44">
        <v>6</v>
      </c>
      <c r="S5" s="47">
        <v>10</v>
      </c>
      <c r="T5" s="4"/>
    </row>
    <row r="6" spans="1:20" x14ac:dyDescent="0.25">
      <c r="A6" s="7">
        <v>3</v>
      </c>
      <c r="D6" s="16" t="s">
        <v>23</v>
      </c>
      <c r="E6" s="17"/>
      <c r="F6" s="17"/>
      <c r="G6" s="18"/>
      <c r="H6" s="12">
        <v>54</v>
      </c>
      <c r="I6" s="7" t="s">
        <v>2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4">
        <f t="shared" si="0"/>
        <v>54</v>
      </c>
      <c r="Q6" s="1" t="s">
        <v>14</v>
      </c>
      <c r="R6" s="44">
        <v>6</v>
      </c>
      <c r="S6" s="47">
        <v>10</v>
      </c>
      <c r="T6" s="4"/>
    </row>
    <row r="7" spans="1:20" x14ac:dyDescent="0.25">
      <c r="A7" s="7">
        <v>4</v>
      </c>
      <c r="D7" s="9" t="s">
        <v>3</v>
      </c>
      <c r="E7" s="10"/>
      <c r="F7" s="10"/>
      <c r="G7" s="11"/>
      <c r="H7" s="12">
        <v>30</v>
      </c>
      <c r="I7" s="7" t="s">
        <v>2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4">
        <f t="shared" si="0"/>
        <v>30</v>
      </c>
      <c r="Q7" s="1" t="s">
        <v>14</v>
      </c>
      <c r="R7" s="44">
        <v>6</v>
      </c>
      <c r="S7" s="47">
        <v>10</v>
      </c>
      <c r="T7" s="4"/>
    </row>
    <row r="8" spans="1:20" x14ac:dyDescent="0.25">
      <c r="A8" s="7">
        <v>5</v>
      </c>
      <c r="D8" s="16" t="s">
        <v>139</v>
      </c>
      <c r="E8" s="17"/>
      <c r="F8" s="17"/>
      <c r="G8" s="18"/>
      <c r="H8" s="12">
        <v>100</v>
      </c>
      <c r="I8" s="7" t="s">
        <v>2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4">
        <f t="shared" si="0"/>
        <v>100</v>
      </c>
      <c r="Q8" s="1" t="s">
        <v>14</v>
      </c>
      <c r="R8" s="44">
        <v>100</v>
      </c>
      <c r="S8" s="47">
        <v>400</v>
      </c>
      <c r="T8" s="4"/>
    </row>
    <row r="9" spans="1:20" x14ac:dyDescent="0.25">
      <c r="A9" s="7">
        <v>6</v>
      </c>
      <c r="D9" s="9" t="s">
        <v>24</v>
      </c>
      <c r="E9" s="10"/>
      <c r="F9" s="10"/>
      <c r="G9" s="11"/>
      <c r="H9" s="12">
        <v>218</v>
      </c>
      <c r="I9" s="7" t="s">
        <v>2</v>
      </c>
      <c r="J9" s="3">
        <v>200</v>
      </c>
      <c r="K9" s="3">
        <v>0</v>
      </c>
      <c r="L9" s="3">
        <v>60</v>
      </c>
      <c r="M9" s="3">
        <v>80</v>
      </c>
      <c r="N9" s="3">
        <v>0</v>
      </c>
      <c r="O9" s="3">
        <v>0</v>
      </c>
      <c r="P9" s="4">
        <f t="shared" si="0"/>
        <v>278</v>
      </c>
      <c r="Q9" s="1" t="s">
        <v>14</v>
      </c>
      <c r="R9" s="44">
        <v>60</v>
      </c>
      <c r="S9" s="47">
        <v>200</v>
      </c>
      <c r="T9" s="4"/>
    </row>
    <row r="10" spans="1:20" x14ac:dyDescent="0.25">
      <c r="A10" s="7">
        <v>7</v>
      </c>
      <c r="D10" s="16" t="s">
        <v>101</v>
      </c>
      <c r="E10" s="17"/>
      <c r="F10" s="17"/>
      <c r="G10" s="18"/>
      <c r="H10" s="12">
        <v>448</v>
      </c>
      <c r="I10" s="7" t="s">
        <v>2</v>
      </c>
      <c r="J10" s="3">
        <v>0</v>
      </c>
      <c r="K10" s="3">
        <v>0</v>
      </c>
      <c r="L10" s="3">
        <v>40</v>
      </c>
      <c r="M10" s="3">
        <v>20</v>
      </c>
      <c r="N10" s="3">
        <v>0</v>
      </c>
      <c r="O10" s="3">
        <v>0</v>
      </c>
      <c r="P10" s="4">
        <f t="shared" si="0"/>
        <v>388</v>
      </c>
      <c r="Q10" s="1" t="s">
        <v>14</v>
      </c>
      <c r="R10" s="44">
        <v>200</v>
      </c>
      <c r="S10" s="47">
        <v>500</v>
      </c>
      <c r="T10" s="4"/>
    </row>
    <row r="11" spans="1:20" x14ac:dyDescent="0.25">
      <c r="A11" s="7">
        <v>8</v>
      </c>
      <c r="D11" s="9" t="s">
        <v>25</v>
      </c>
      <c r="E11" s="10"/>
      <c r="F11" s="10"/>
      <c r="G11" s="11"/>
      <c r="H11" s="12">
        <v>334</v>
      </c>
      <c r="I11" s="7" t="s">
        <v>2</v>
      </c>
      <c r="J11" s="3">
        <v>0</v>
      </c>
      <c r="K11" s="3">
        <v>0</v>
      </c>
      <c r="L11" s="3">
        <v>0</v>
      </c>
      <c r="M11" s="3">
        <v>8</v>
      </c>
      <c r="N11" s="3">
        <v>0</v>
      </c>
      <c r="O11" s="3">
        <v>0</v>
      </c>
      <c r="P11" s="4">
        <f t="shared" si="0"/>
        <v>326</v>
      </c>
      <c r="Q11" s="1" t="s">
        <v>14</v>
      </c>
      <c r="R11" s="44">
        <v>50</v>
      </c>
      <c r="S11" s="47">
        <v>300</v>
      </c>
      <c r="T11" s="4"/>
    </row>
    <row r="12" spans="1:20" x14ac:dyDescent="0.25">
      <c r="A12" s="7">
        <v>9</v>
      </c>
      <c r="D12" s="16" t="s">
        <v>26</v>
      </c>
      <c r="E12" s="17"/>
      <c r="F12" s="17"/>
      <c r="G12" s="18"/>
      <c r="H12" s="12">
        <v>0</v>
      </c>
      <c r="I12" s="7" t="s">
        <v>2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4">
        <f t="shared" si="0"/>
        <v>0</v>
      </c>
      <c r="Q12" s="1" t="s">
        <v>14</v>
      </c>
      <c r="R12" s="44">
        <v>200</v>
      </c>
      <c r="S12" s="47">
        <v>400</v>
      </c>
      <c r="T12" s="4"/>
    </row>
    <row r="13" spans="1:20" x14ac:dyDescent="0.25">
      <c r="A13" s="7">
        <v>10</v>
      </c>
      <c r="D13" s="9" t="s">
        <v>6</v>
      </c>
      <c r="E13" s="10"/>
      <c r="F13" s="10"/>
      <c r="G13" s="11"/>
      <c r="H13" s="12">
        <v>60</v>
      </c>
      <c r="I13" s="7" t="s">
        <v>2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4">
        <f t="shared" si="0"/>
        <v>60</v>
      </c>
      <c r="Q13" s="1" t="s">
        <v>14</v>
      </c>
      <c r="R13" s="44">
        <v>10</v>
      </c>
      <c r="S13" s="46">
        <v>100</v>
      </c>
      <c r="T13" s="4"/>
    </row>
    <row r="14" spans="1:20" x14ac:dyDescent="0.25">
      <c r="A14" s="7">
        <v>11</v>
      </c>
      <c r="D14" s="16" t="s">
        <v>7</v>
      </c>
      <c r="E14" s="17"/>
      <c r="F14" s="17"/>
      <c r="G14" s="18"/>
      <c r="H14" s="12">
        <v>5</v>
      </c>
      <c r="I14" s="7" t="s">
        <v>171</v>
      </c>
      <c r="J14" s="3">
        <v>20</v>
      </c>
      <c r="K14" s="3">
        <v>0</v>
      </c>
      <c r="L14" s="3">
        <v>4</v>
      </c>
      <c r="M14" s="3">
        <v>0</v>
      </c>
      <c r="N14" s="3">
        <v>0</v>
      </c>
      <c r="O14" s="3">
        <v>0</v>
      </c>
      <c r="P14" s="4">
        <f t="shared" si="0"/>
        <v>21</v>
      </c>
      <c r="Q14" s="1" t="s">
        <v>14</v>
      </c>
      <c r="R14" s="44">
        <v>20</v>
      </c>
      <c r="S14" s="47">
        <v>50</v>
      </c>
      <c r="T14" s="4"/>
    </row>
    <row r="15" spans="1:20" x14ac:dyDescent="0.25">
      <c r="A15" s="7">
        <v>12</v>
      </c>
      <c r="D15" s="9" t="s">
        <v>69</v>
      </c>
      <c r="E15" s="10"/>
      <c r="F15" s="10"/>
      <c r="G15" s="11"/>
      <c r="H15" s="12">
        <v>0</v>
      </c>
      <c r="I15" s="7" t="s">
        <v>171</v>
      </c>
      <c r="J15" s="3">
        <v>20</v>
      </c>
      <c r="K15" s="3">
        <v>0</v>
      </c>
      <c r="L15" s="3">
        <v>0</v>
      </c>
      <c r="M15" s="3">
        <v>0</v>
      </c>
      <c r="N15" s="3">
        <v>0</v>
      </c>
      <c r="O15" s="3">
        <v>2</v>
      </c>
      <c r="P15" s="4">
        <f t="shared" si="0"/>
        <v>18</v>
      </c>
      <c r="Q15" s="1" t="s">
        <v>14</v>
      </c>
      <c r="R15" s="44">
        <v>100</v>
      </c>
      <c r="S15" s="47">
        <v>200</v>
      </c>
      <c r="T15" s="4"/>
    </row>
    <row r="16" spans="1:20" x14ac:dyDescent="0.25">
      <c r="A16" s="7">
        <v>13</v>
      </c>
      <c r="D16" s="16" t="s">
        <v>27</v>
      </c>
      <c r="E16" s="17"/>
      <c r="F16" s="17"/>
      <c r="G16" s="18"/>
      <c r="H16" s="12">
        <v>0</v>
      </c>
      <c r="I16" s="7" t="s">
        <v>2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4">
        <f t="shared" si="0"/>
        <v>0</v>
      </c>
      <c r="Q16" s="1" t="s">
        <v>14</v>
      </c>
      <c r="R16" s="44">
        <v>0</v>
      </c>
      <c r="S16" s="46"/>
      <c r="T16" s="4"/>
    </row>
    <row r="17" spans="1:20" x14ac:dyDescent="0.25">
      <c r="A17" s="7">
        <v>14</v>
      </c>
      <c r="D17" s="9" t="s">
        <v>73</v>
      </c>
      <c r="E17" s="10"/>
      <c r="F17" s="10"/>
      <c r="G17" s="11"/>
      <c r="H17" s="12">
        <v>781</v>
      </c>
      <c r="I17" s="7" t="s">
        <v>2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4">
        <f t="shared" si="0"/>
        <v>781</v>
      </c>
      <c r="Q17" s="1" t="s">
        <v>14</v>
      </c>
      <c r="R17" s="44">
        <v>0</v>
      </c>
      <c r="S17" s="46"/>
      <c r="T17" s="4"/>
    </row>
    <row r="18" spans="1:20" x14ac:dyDescent="0.25">
      <c r="A18" s="7">
        <v>15</v>
      </c>
      <c r="D18" s="16" t="s">
        <v>28</v>
      </c>
      <c r="E18" s="17"/>
      <c r="F18" s="17"/>
      <c r="G18" s="18"/>
      <c r="H18" s="12">
        <v>76</v>
      </c>
      <c r="I18" s="7" t="s">
        <v>2</v>
      </c>
      <c r="J18" s="3">
        <v>0</v>
      </c>
      <c r="K18" s="3">
        <v>0</v>
      </c>
      <c r="L18" s="3">
        <v>2</v>
      </c>
      <c r="M18" s="3">
        <v>0</v>
      </c>
      <c r="N18" s="3">
        <v>0</v>
      </c>
      <c r="O18" s="3">
        <v>3</v>
      </c>
      <c r="P18" s="4">
        <f t="shared" si="0"/>
        <v>71</v>
      </c>
      <c r="Q18" s="1" t="s">
        <v>14</v>
      </c>
      <c r="R18" s="44">
        <v>20</v>
      </c>
      <c r="S18" s="47">
        <v>50</v>
      </c>
      <c r="T18" s="4"/>
    </row>
    <row r="19" spans="1:20" x14ac:dyDescent="0.25">
      <c r="A19" s="7">
        <v>16</v>
      </c>
      <c r="D19" s="9" t="s">
        <v>29</v>
      </c>
      <c r="E19" s="10"/>
      <c r="F19" s="10"/>
      <c r="G19" s="11"/>
      <c r="H19" s="12">
        <v>68</v>
      </c>
      <c r="I19" s="7" t="s">
        <v>2</v>
      </c>
      <c r="J19" s="3">
        <v>0</v>
      </c>
      <c r="K19" s="3">
        <v>0</v>
      </c>
      <c r="L19" s="3">
        <v>2</v>
      </c>
      <c r="M19" s="3">
        <v>0</v>
      </c>
      <c r="N19" s="3">
        <v>0</v>
      </c>
      <c r="O19" s="3">
        <v>3</v>
      </c>
      <c r="P19" s="4">
        <f t="shared" si="0"/>
        <v>63</v>
      </c>
      <c r="Q19" s="1" t="s">
        <v>14</v>
      </c>
      <c r="R19" s="44">
        <v>20</v>
      </c>
      <c r="S19" s="47">
        <v>50</v>
      </c>
      <c r="T19" s="4"/>
    </row>
    <row r="20" spans="1:20" x14ac:dyDescent="0.25">
      <c r="A20" s="7">
        <v>17</v>
      </c>
      <c r="D20" s="16" t="s">
        <v>30</v>
      </c>
      <c r="E20" s="17"/>
      <c r="F20" s="17"/>
      <c r="G20" s="18"/>
      <c r="H20" s="12">
        <v>86</v>
      </c>
      <c r="I20" s="7" t="s">
        <v>2</v>
      </c>
      <c r="J20" s="3">
        <v>0</v>
      </c>
      <c r="K20" s="3">
        <v>0</v>
      </c>
      <c r="L20" s="3">
        <v>2</v>
      </c>
      <c r="M20" s="3">
        <v>0</v>
      </c>
      <c r="N20" s="3">
        <v>0</v>
      </c>
      <c r="O20" s="3">
        <v>3</v>
      </c>
      <c r="P20" s="4">
        <f t="shared" si="0"/>
        <v>81</v>
      </c>
      <c r="Q20" s="1" t="s">
        <v>14</v>
      </c>
      <c r="R20" s="44">
        <v>20</v>
      </c>
      <c r="S20" s="47">
        <v>50</v>
      </c>
      <c r="T20" s="4"/>
    </row>
    <row r="21" spans="1:20" x14ac:dyDescent="0.25">
      <c r="A21" s="7">
        <v>18</v>
      </c>
      <c r="D21" s="9" t="s">
        <v>129</v>
      </c>
      <c r="E21" s="10"/>
      <c r="F21" s="10"/>
      <c r="G21" s="11"/>
      <c r="H21" s="12">
        <v>11</v>
      </c>
      <c r="I21" s="7" t="s">
        <v>2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4">
        <f t="shared" si="0"/>
        <v>11</v>
      </c>
      <c r="Q21" s="1" t="s">
        <v>14</v>
      </c>
      <c r="R21" s="44">
        <v>10</v>
      </c>
      <c r="S21" s="46">
        <v>50</v>
      </c>
      <c r="T21" s="4"/>
    </row>
    <row r="22" spans="1:20" x14ac:dyDescent="0.25">
      <c r="A22" s="7">
        <v>19</v>
      </c>
      <c r="D22" s="55" t="s">
        <v>164</v>
      </c>
      <c r="E22" s="56"/>
      <c r="F22" s="56"/>
      <c r="G22" s="57"/>
      <c r="H22" s="12">
        <v>95</v>
      </c>
      <c r="I22" s="59" t="s">
        <v>1</v>
      </c>
      <c r="J22" s="3">
        <v>345</v>
      </c>
      <c r="K22" s="3">
        <v>145</v>
      </c>
      <c r="L22" s="3">
        <v>160</v>
      </c>
      <c r="M22" s="3">
        <v>15</v>
      </c>
      <c r="N22" s="3">
        <v>0</v>
      </c>
      <c r="O22" s="3">
        <v>80</v>
      </c>
      <c r="P22" s="46">
        <f t="shared" si="0"/>
        <v>40</v>
      </c>
      <c r="Q22" s="1" t="s">
        <v>14</v>
      </c>
      <c r="R22" s="44">
        <v>50</v>
      </c>
      <c r="S22" s="47">
        <v>200</v>
      </c>
      <c r="T22" s="4"/>
    </row>
    <row r="23" spans="1:20" x14ac:dyDescent="0.25">
      <c r="A23" s="7">
        <v>20</v>
      </c>
      <c r="D23" s="9" t="s">
        <v>32</v>
      </c>
      <c r="E23" s="10"/>
      <c r="F23" s="10"/>
      <c r="G23" s="11"/>
      <c r="H23" s="12">
        <v>850</v>
      </c>
      <c r="I23" s="7" t="s">
        <v>2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4">
        <f t="shared" si="0"/>
        <v>850</v>
      </c>
      <c r="Q23" s="1" t="s">
        <v>14</v>
      </c>
      <c r="R23" s="44">
        <v>50</v>
      </c>
      <c r="S23" s="46">
        <v>200</v>
      </c>
      <c r="T23" s="4"/>
    </row>
    <row r="24" spans="1:20" x14ac:dyDescent="0.25">
      <c r="A24" s="7">
        <v>21</v>
      </c>
      <c r="D24" s="16" t="s">
        <v>140</v>
      </c>
      <c r="E24" s="17"/>
      <c r="F24" s="17"/>
      <c r="G24" s="18"/>
      <c r="H24" s="12">
        <v>102</v>
      </c>
      <c r="I24" s="7" t="s">
        <v>2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4">
        <f t="shared" si="0"/>
        <v>102</v>
      </c>
      <c r="Q24" s="1" t="s">
        <v>14</v>
      </c>
      <c r="R24" s="44">
        <v>10</v>
      </c>
      <c r="S24" s="46">
        <v>100</v>
      </c>
      <c r="T24" s="4"/>
    </row>
    <row r="25" spans="1:20" x14ac:dyDescent="0.25">
      <c r="A25" s="7">
        <v>22</v>
      </c>
      <c r="D25" s="9" t="s">
        <v>34</v>
      </c>
      <c r="E25" s="10"/>
      <c r="F25" s="10"/>
      <c r="G25" s="11"/>
      <c r="H25" s="12">
        <v>8</v>
      </c>
      <c r="I25" s="7" t="s">
        <v>2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4">
        <f t="shared" si="0"/>
        <v>8</v>
      </c>
      <c r="Q25" s="1" t="s">
        <v>14</v>
      </c>
      <c r="R25" s="44">
        <v>10</v>
      </c>
      <c r="S25" s="46">
        <v>50</v>
      </c>
      <c r="T25" s="4"/>
    </row>
    <row r="26" spans="1:20" x14ac:dyDescent="0.25">
      <c r="A26" s="7">
        <v>23</v>
      </c>
      <c r="D26" s="16" t="s">
        <v>142</v>
      </c>
      <c r="E26" s="17"/>
      <c r="F26" s="17"/>
      <c r="G26" s="18"/>
      <c r="H26" s="12">
        <v>44</v>
      </c>
      <c r="I26" s="7" t="s">
        <v>2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4">
        <f t="shared" si="0"/>
        <v>44</v>
      </c>
      <c r="Q26" s="1" t="s">
        <v>14</v>
      </c>
      <c r="R26" s="44">
        <v>20</v>
      </c>
      <c r="S26" s="47">
        <v>50</v>
      </c>
      <c r="T26" s="4"/>
    </row>
    <row r="27" spans="1:20" x14ac:dyDescent="0.25">
      <c r="A27" s="7">
        <v>24</v>
      </c>
      <c r="D27" s="9" t="s">
        <v>141</v>
      </c>
      <c r="E27" s="10"/>
      <c r="F27" s="10"/>
      <c r="G27" s="11"/>
      <c r="H27" s="12">
        <v>0</v>
      </c>
      <c r="I27" s="7" t="s">
        <v>2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  <c r="P27" s="4">
        <f t="shared" si="0"/>
        <v>0</v>
      </c>
      <c r="Q27" s="1"/>
      <c r="R27" s="44">
        <v>20</v>
      </c>
      <c r="S27" s="47">
        <v>50</v>
      </c>
      <c r="T27" s="4"/>
    </row>
    <row r="28" spans="1:20" x14ac:dyDescent="0.25">
      <c r="A28" s="7">
        <v>25</v>
      </c>
      <c r="D28" s="9" t="s">
        <v>137</v>
      </c>
      <c r="E28" s="10"/>
      <c r="F28" s="10"/>
      <c r="G28" s="11"/>
      <c r="H28" s="12">
        <v>87</v>
      </c>
      <c r="I28" s="7" t="s">
        <v>2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4">
        <f t="shared" si="0"/>
        <v>87</v>
      </c>
      <c r="Q28" s="1" t="s">
        <v>14</v>
      </c>
      <c r="R28" s="44">
        <v>20</v>
      </c>
      <c r="S28" s="47">
        <v>50</v>
      </c>
      <c r="T28" s="4"/>
    </row>
    <row r="29" spans="1:20" x14ac:dyDescent="0.25">
      <c r="A29" s="7">
        <v>26</v>
      </c>
      <c r="D29" s="9" t="s">
        <v>138</v>
      </c>
      <c r="E29" s="10"/>
      <c r="F29" s="10"/>
      <c r="G29" s="11"/>
      <c r="H29" s="12">
        <v>127</v>
      </c>
      <c r="I29" s="7" t="s">
        <v>2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4">
        <f t="shared" si="0"/>
        <v>127</v>
      </c>
      <c r="Q29" s="1"/>
      <c r="R29" s="44">
        <v>10</v>
      </c>
      <c r="S29" s="47">
        <v>50</v>
      </c>
      <c r="T29" s="4"/>
    </row>
    <row r="30" spans="1:20" x14ac:dyDescent="0.25">
      <c r="A30" s="7">
        <v>27</v>
      </c>
      <c r="D30" s="16" t="s">
        <v>35</v>
      </c>
      <c r="E30" s="17"/>
      <c r="F30" s="17"/>
      <c r="G30" s="18"/>
      <c r="H30" s="12">
        <v>263</v>
      </c>
      <c r="I30" s="7" t="s">
        <v>2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4">
        <f t="shared" si="0"/>
        <v>263</v>
      </c>
      <c r="Q30" s="1" t="s">
        <v>14</v>
      </c>
      <c r="R30" s="44">
        <v>50</v>
      </c>
      <c r="S30" s="47">
        <v>100</v>
      </c>
      <c r="T30" s="4"/>
    </row>
    <row r="31" spans="1:20" x14ac:dyDescent="0.25">
      <c r="A31" s="7">
        <v>28</v>
      </c>
      <c r="D31" s="9" t="s">
        <v>36</v>
      </c>
      <c r="E31" s="10"/>
      <c r="F31" s="10"/>
      <c r="G31" s="11"/>
      <c r="H31" s="12">
        <v>18</v>
      </c>
      <c r="I31" s="7" t="s">
        <v>2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4">
        <f t="shared" si="0"/>
        <v>18</v>
      </c>
      <c r="Q31" s="1" t="s">
        <v>14</v>
      </c>
      <c r="R31" s="44">
        <v>50</v>
      </c>
      <c r="S31" s="47">
        <v>100</v>
      </c>
      <c r="T31" s="4"/>
    </row>
    <row r="32" spans="1:20" x14ac:dyDescent="0.25">
      <c r="A32" s="7">
        <v>29</v>
      </c>
      <c r="D32" s="16" t="s">
        <v>37</v>
      </c>
      <c r="E32" s="17"/>
      <c r="F32" s="17"/>
      <c r="G32" s="18"/>
      <c r="H32" s="12">
        <v>178</v>
      </c>
      <c r="I32" s="7" t="s">
        <v>2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4">
        <f t="shared" si="0"/>
        <v>178</v>
      </c>
      <c r="Q32" s="1" t="s">
        <v>14</v>
      </c>
      <c r="R32" s="44">
        <v>20</v>
      </c>
      <c r="S32" s="47">
        <v>50</v>
      </c>
      <c r="T32" s="4"/>
    </row>
    <row r="33" spans="1:20" x14ac:dyDescent="0.25">
      <c r="A33" s="7">
        <v>30</v>
      </c>
      <c r="D33" s="9" t="s">
        <v>38</v>
      </c>
      <c r="E33" s="10"/>
      <c r="F33" s="10"/>
      <c r="G33" s="11"/>
      <c r="H33" s="12">
        <v>218</v>
      </c>
      <c r="I33" s="7" t="s">
        <v>2</v>
      </c>
      <c r="J33" s="3">
        <v>0</v>
      </c>
      <c r="K33" s="3">
        <v>0</v>
      </c>
      <c r="L33" s="3">
        <v>11</v>
      </c>
      <c r="M33" s="3">
        <v>9</v>
      </c>
      <c r="N33" s="3">
        <v>0</v>
      </c>
      <c r="O33" s="3">
        <v>0</v>
      </c>
      <c r="P33" s="4">
        <f t="shared" si="0"/>
        <v>198</v>
      </c>
      <c r="Q33" s="1" t="s">
        <v>14</v>
      </c>
      <c r="R33" s="44">
        <v>50</v>
      </c>
      <c r="S33" s="47">
        <v>100</v>
      </c>
      <c r="T33" s="4"/>
    </row>
    <row r="34" spans="1:20" x14ac:dyDescent="0.25">
      <c r="A34" s="7">
        <v>31</v>
      </c>
      <c r="D34" s="16" t="s">
        <v>39</v>
      </c>
      <c r="E34" s="17"/>
      <c r="F34" s="17"/>
      <c r="G34" s="18"/>
      <c r="H34" s="12">
        <v>51</v>
      </c>
      <c r="I34" s="7" t="s">
        <v>2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4">
        <f t="shared" si="0"/>
        <v>51</v>
      </c>
      <c r="Q34" s="1" t="s">
        <v>14</v>
      </c>
      <c r="R34" s="44">
        <v>20</v>
      </c>
      <c r="S34" s="47">
        <v>50</v>
      </c>
      <c r="T34" s="4"/>
    </row>
    <row r="35" spans="1:20" x14ac:dyDescent="0.25">
      <c r="A35" s="7">
        <v>32</v>
      </c>
      <c r="D35" s="9" t="s">
        <v>40</v>
      </c>
      <c r="E35" s="10"/>
      <c r="F35" s="10"/>
      <c r="G35" s="11"/>
      <c r="H35" s="12">
        <f>'ARALIK 3 HAFTA '!P33</f>
        <v>1075</v>
      </c>
      <c r="I35" s="7" t="s">
        <v>2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4">
        <f t="shared" si="0"/>
        <v>1075</v>
      </c>
      <c r="Q35" s="1" t="s">
        <v>14</v>
      </c>
      <c r="R35" s="44">
        <v>100</v>
      </c>
      <c r="S35" s="46">
        <v>300</v>
      </c>
      <c r="T35" s="4"/>
    </row>
    <row r="36" spans="1:20" x14ac:dyDescent="0.25">
      <c r="A36" s="7">
        <v>33</v>
      </c>
      <c r="D36" s="9" t="s">
        <v>9</v>
      </c>
      <c r="E36" s="10"/>
      <c r="F36" s="10"/>
      <c r="G36" s="11"/>
      <c r="H36" s="83">
        <v>101</v>
      </c>
      <c r="I36" s="7" t="s">
        <v>132</v>
      </c>
      <c r="J36" s="3">
        <v>0</v>
      </c>
      <c r="K36" s="3">
        <v>0</v>
      </c>
      <c r="L36" s="3">
        <v>0</v>
      </c>
      <c r="M36" s="3">
        <v>2</v>
      </c>
      <c r="N36" s="3">
        <v>0</v>
      </c>
      <c r="O36" s="3">
        <v>0</v>
      </c>
      <c r="P36" s="4">
        <f t="shared" si="0"/>
        <v>99</v>
      </c>
      <c r="Q36" s="1" t="s">
        <v>14</v>
      </c>
      <c r="R36" s="44">
        <v>50</v>
      </c>
      <c r="S36" s="47">
        <v>100</v>
      </c>
      <c r="T36" s="4"/>
    </row>
    <row r="37" spans="1:20" x14ac:dyDescent="0.25">
      <c r="A37" s="7">
        <v>34</v>
      </c>
      <c r="D37" s="19" t="s">
        <v>166</v>
      </c>
      <c r="E37" s="20"/>
      <c r="F37" s="20"/>
      <c r="G37" s="21"/>
      <c r="H37" s="69">
        <v>143</v>
      </c>
      <c r="I37" s="7" t="s">
        <v>2</v>
      </c>
      <c r="J37" s="3">
        <v>0</v>
      </c>
      <c r="K37" s="3">
        <v>0</v>
      </c>
      <c r="L37" s="3">
        <v>0</v>
      </c>
      <c r="M37" s="3">
        <v>2</v>
      </c>
      <c r="N37" s="3">
        <v>0</v>
      </c>
      <c r="O37" s="3">
        <v>1</v>
      </c>
      <c r="P37" s="4">
        <f t="shared" si="0"/>
        <v>140</v>
      </c>
      <c r="Q37" s="1" t="s">
        <v>14</v>
      </c>
      <c r="R37" s="44">
        <v>50</v>
      </c>
      <c r="S37" s="46">
        <v>200</v>
      </c>
      <c r="T37" s="4"/>
    </row>
    <row r="38" spans="1:20" x14ac:dyDescent="0.25">
      <c r="A38" s="7">
        <v>35</v>
      </c>
      <c r="D38" s="16" t="s">
        <v>143</v>
      </c>
      <c r="E38" s="17"/>
      <c r="F38" s="17"/>
      <c r="G38" s="18"/>
      <c r="H38" s="12">
        <v>101</v>
      </c>
      <c r="I38" s="7" t="s">
        <v>2</v>
      </c>
      <c r="J38" s="3">
        <v>0</v>
      </c>
      <c r="K38" s="3">
        <v>0</v>
      </c>
      <c r="L38" s="3">
        <v>0</v>
      </c>
      <c r="M38" s="3">
        <v>2</v>
      </c>
      <c r="N38" s="3">
        <v>0</v>
      </c>
      <c r="O38" s="3">
        <v>1</v>
      </c>
      <c r="P38" s="4">
        <f t="shared" si="0"/>
        <v>98</v>
      </c>
      <c r="Q38" s="1" t="s">
        <v>14</v>
      </c>
      <c r="R38" s="44">
        <v>50</v>
      </c>
      <c r="S38" s="46">
        <v>100</v>
      </c>
      <c r="T38" s="4"/>
    </row>
    <row r="39" spans="1:20" x14ac:dyDescent="0.25">
      <c r="A39" s="7">
        <v>36</v>
      </c>
      <c r="D39" s="9" t="s">
        <v>144</v>
      </c>
      <c r="E39" s="10"/>
      <c r="F39" s="10"/>
      <c r="G39" s="11"/>
      <c r="H39" s="12">
        <v>98</v>
      </c>
      <c r="I39" s="7" t="s">
        <v>2</v>
      </c>
      <c r="J39" s="3">
        <v>0</v>
      </c>
      <c r="K39" s="3">
        <v>0</v>
      </c>
      <c r="L39" s="3">
        <v>0</v>
      </c>
      <c r="M39" s="3">
        <v>2</v>
      </c>
      <c r="N39" s="3">
        <v>0</v>
      </c>
      <c r="O39" s="3">
        <v>1</v>
      </c>
      <c r="P39" s="4">
        <f t="shared" si="0"/>
        <v>95</v>
      </c>
      <c r="Q39" s="1" t="s">
        <v>14</v>
      </c>
      <c r="R39" s="44">
        <v>50</v>
      </c>
      <c r="S39" s="47">
        <v>100</v>
      </c>
      <c r="T39" s="4"/>
    </row>
    <row r="40" spans="1:20" x14ac:dyDescent="0.25">
      <c r="A40" s="7">
        <v>37</v>
      </c>
      <c r="D40" s="16" t="s">
        <v>42</v>
      </c>
      <c r="E40" s="17"/>
      <c r="F40" s="17"/>
      <c r="G40" s="18"/>
      <c r="H40" s="12">
        <v>81</v>
      </c>
      <c r="I40" s="7" t="s">
        <v>2</v>
      </c>
      <c r="J40" s="3">
        <v>0</v>
      </c>
      <c r="K40" s="3">
        <v>0</v>
      </c>
      <c r="L40" s="3">
        <v>0</v>
      </c>
      <c r="M40" s="3">
        <v>2</v>
      </c>
      <c r="N40" s="3">
        <v>0</v>
      </c>
      <c r="O40" s="3">
        <v>1</v>
      </c>
      <c r="P40" s="4">
        <f t="shared" si="0"/>
        <v>78</v>
      </c>
      <c r="Q40" s="1" t="s">
        <v>14</v>
      </c>
      <c r="R40" s="44">
        <v>50</v>
      </c>
      <c r="S40" s="47">
        <v>100</v>
      </c>
      <c r="T40" s="4"/>
    </row>
    <row r="41" spans="1:20" x14ac:dyDescent="0.25">
      <c r="A41" s="7">
        <v>38</v>
      </c>
      <c r="D41" s="9" t="s">
        <v>133</v>
      </c>
      <c r="E41" s="10"/>
      <c r="F41" s="10"/>
      <c r="G41" s="11"/>
      <c r="H41" s="12">
        <v>139</v>
      </c>
      <c r="I41" s="7" t="s">
        <v>2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4">
        <f t="shared" si="0"/>
        <v>139</v>
      </c>
      <c r="Q41" s="1" t="s">
        <v>14</v>
      </c>
      <c r="R41" s="44">
        <v>20</v>
      </c>
      <c r="S41" s="47">
        <v>50</v>
      </c>
      <c r="T41" s="4"/>
    </row>
    <row r="42" spans="1:20" x14ac:dyDescent="0.25">
      <c r="A42" s="7">
        <v>39</v>
      </c>
      <c r="D42" s="16" t="s">
        <v>145</v>
      </c>
      <c r="E42" s="17"/>
      <c r="F42" s="17"/>
      <c r="G42" s="18"/>
      <c r="H42" s="12">
        <v>139</v>
      </c>
      <c r="I42" s="7" t="s">
        <v>2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4">
        <f t="shared" si="0"/>
        <v>139</v>
      </c>
      <c r="Q42" s="1" t="s">
        <v>14</v>
      </c>
      <c r="R42" s="44">
        <v>20</v>
      </c>
      <c r="S42" s="46">
        <v>50</v>
      </c>
      <c r="T42" s="4"/>
    </row>
    <row r="43" spans="1:20" x14ac:dyDescent="0.25">
      <c r="A43" s="7">
        <v>40</v>
      </c>
      <c r="D43" s="9" t="s">
        <v>71</v>
      </c>
      <c r="E43" s="10"/>
      <c r="F43" s="10"/>
      <c r="G43" s="11"/>
      <c r="H43" s="12">
        <v>0</v>
      </c>
      <c r="I43" s="7" t="s">
        <v>2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4">
        <f t="shared" si="0"/>
        <v>0</v>
      </c>
      <c r="Q43" s="1" t="s">
        <v>14</v>
      </c>
      <c r="R43" s="44">
        <v>5</v>
      </c>
      <c r="S43" s="47">
        <v>10</v>
      </c>
      <c r="T43" s="4"/>
    </row>
    <row r="44" spans="1:20" x14ac:dyDescent="0.25">
      <c r="A44" s="7">
        <v>41</v>
      </c>
      <c r="D44" s="16" t="s">
        <v>10</v>
      </c>
      <c r="E44" s="17"/>
      <c r="F44" s="17"/>
      <c r="G44" s="18"/>
      <c r="H44" s="12">
        <v>130</v>
      </c>
      <c r="I44" s="7" t="s">
        <v>2</v>
      </c>
      <c r="J44" s="3">
        <v>0</v>
      </c>
      <c r="K44" s="3">
        <v>0</v>
      </c>
      <c r="L44" s="3">
        <v>0</v>
      </c>
      <c r="M44" s="3">
        <v>2</v>
      </c>
      <c r="N44" s="3">
        <v>0</v>
      </c>
      <c r="O44" s="3">
        <v>0</v>
      </c>
      <c r="P44" s="4">
        <f t="shared" si="0"/>
        <v>128</v>
      </c>
      <c r="Q44" s="1" t="s">
        <v>14</v>
      </c>
      <c r="R44" s="44">
        <v>40</v>
      </c>
      <c r="S44" s="47">
        <v>100</v>
      </c>
      <c r="T44" s="4"/>
    </row>
    <row r="45" spans="1:20" x14ac:dyDescent="0.25">
      <c r="A45" s="7">
        <v>42</v>
      </c>
      <c r="D45" s="9" t="s">
        <v>45</v>
      </c>
      <c r="E45" s="10"/>
      <c r="F45" s="10"/>
      <c r="G45" s="11"/>
      <c r="H45" s="12">
        <v>62</v>
      </c>
      <c r="I45" s="7" t="s">
        <v>2</v>
      </c>
      <c r="J45" s="3">
        <v>0</v>
      </c>
      <c r="K45" s="3">
        <v>0</v>
      </c>
      <c r="L45" s="3">
        <v>0</v>
      </c>
      <c r="M45" s="3">
        <v>1</v>
      </c>
      <c r="N45" s="3">
        <v>0</v>
      </c>
      <c r="O45" s="3">
        <v>0</v>
      </c>
      <c r="P45" s="4">
        <f t="shared" si="0"/>
        <v>61</v>
      </c>
      <c r="Q45" s="1" t="s">
        <v>14</v>
      </c>
      <c r="R45" s="44">
        <v>20</v>
      </c>
      <c r="S45" s="47">
        <v>50</v>
      </c>
      <c r="T45" s="4"/>
    </row>
    <row r="46" spans="1:20" x14ac:dyDescent="0.25">
      <c r="A46" s="7">
        <v>43</v>
      </c>
      <c r="D46" s="16" t="s">
        <v>46</v>
      </c>
      <c r="E46" s="17"/>
      <c r="F46" s="17"/>
      <c r="G46" s="18"/>
      <c r="H46" s="12">
        <v>44</v>
      </c>
      <c r="I46" s="7" t="s">
        <v>2</v>
      </c>
      <c r="J46" s="3">
        <v>0</v>
      </c>
      <c r="K46" s="3">
        <v>0</v>
      </c>
      <c r="L46" s="3">
        <v>0</v>
      </c>
      <c r="M46" s="3">
        <v>1</v>
      </c>
      <c r="N46" s="3">
        <v>0</v>
      </c>
      <c r="O46" s="3">
        <v>0</v>
      </c>
      <c r="P46" s="4">
        <f t="shared" si="0"/>
        <v>43</v>
      </c>
      <c r="Q46" s="1" t="s">
        <v>14</v>
      </c>
      <c r="R46" s="44">
        <v>20</v>
      </c>
      <c r="S46" s="47">
        <v>50</v>
      </c>
      <c r="T46" s="4"/>
    </row>
    <row r="47" spans="1:20" x14ac:dyDescent="0.25">
      <c r="A47" s="7">
        <v>44</v>
      </c>
      <c r="D47" s="9" t="s">
        <v>47</v>
      </c>
      <c r="E47" s="10"/>
      <c r="F47" s="10"/>
      <c r="G47" s="11"/>
      <c r="H47" s="12">
        <v>42</v>
      </c>
      <c r="I47" s="7" t="s">
        <v>2</v>
      </c>
      <c r="J47" s="3">
        <v>0</v>
      </c>
      <c r="K47" s="3">
        <v>0</v>
      </c>
      <c r="L47" s="3">
        <v>0</v>
      </c>
      <c r="M47" s="3">
        <v>1</v>
      </c>
      <c r="N47" s="3">
        <v>0</v>
      </c>
      <c r="O47" s="3">
        <v>0</v>
      </c>
      <c r="P47" s="4">
        <f t="shared" si="0"/>
        <v>41</v>
      </c>
      <c r="Q47" s="1" t="s">
        <v>14</v>
      </c>
      <c r="R47" s="44">
        <v>20</v>
      </c>
      <c r="S47" s="47">
        <v>50</v>
      </c>
      <c r="T47" s="4"/>
    </row>
    <row r="48" spans="1:20" x14ac:dyDescent="0.25">
      <c r="A48" s="7">
        <v>45</v>
      </c>
      <c r="D48" s="16" t="s">
        <v>79</v>
      </c>
      <c r="E48" s="17"/>
      <c r="F48" s="17"/>
      <c r="G48" s="18"/>
      <c r="H48" s="12">
        <v>1</v>
      </c>
      <c r="I48" s="7" t="s">
        <v>2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4">
        <f t="shared" si="0"/>
        <v>1</v>
      </c>
      <c r="Q48" s="1" t="s">
        <v>14</v>
      </c>
      <c r="R48" s="44">
        <v>10</v>
      </c>
      <c r="S48" s="47">
        <v>20</v>
      </c>
      <c r="T48" s="4"/>
    </row>
    <row r="49" spans="1:20" x14ac:dyDescent="0.25">
      <c r="A49" s="7">
        <v>46</v>
      </c>
      <c r="D49" s="9" t="s">
        <v>48</v>
      </c>
      <c r="E49" s="10"/>
      <c r="F49" s="10"/>
      <c r="G49" s="11"/>
      <c r="H49" s="12">
        <v>60</v>
      </c>
      <c r="I49" s="7" t="s">
        <v>2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4">
        <f t="shared" si="0"/>
        <v>60</v>
      </c>
      <c r="Q49" s="1" t="s">
        <v>14</v>
      </c>
      <c r="R49" s="44">
        <v>10</v>
      </c>
      <c r="S49" s="47">
        <v>20</v>
      </c>
      <c r="T49" s="4" t="s">
        <v>14</v>
      </c>
    </row>
    <row r="50" spans="1:20" x14ac:dyDescent="0.25">
      <c r="A50" s="7">
        <v>47</v>
      </c>
      <c r="D50" s="16" t="s">
        <v>49</v>
      </c>
      <c r="E50" s="17"/>
      <c r="F50" s="17"/>
      <c r="G50" s="18"/>
      <c r="H50" s="12">
        <v>107</v>
      </c>
      <c r="I50" s="7" t="s">
        <v>2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4">
        <f t="shared" si="0"/>
        <v>107</v>
      </c>
      <c r="Q50" s="1" t="s">
        <v>14</v>
      </c>
      <c r="R50" s="44">
        <v>10</v>
      </c>
      <c r="S50" s="47">
        <v>20</v>
      </c>
      <c r="T50" s="4"/>
    </row>
    <row r="51" spans="1:20" x14ac:dyDescent="0.25">
      <c r="A51" s="7">
        <v>48</v>
      </c>
      <c r="D51" s="9" t="s">
        <v>169</v>
      </c>
      <c r="E51" s="10"/>
      <c r="F51" s="10"/>
      <c r="G51" s="11"/>
      <c r="H51" s="12">
        <v>30</v>
      </c>
      <c r="I51" s="7" t="s">
        <v>1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4">
        <f t="shared" si="0"/>
        <v>30</v>
      </c>
      <c r="Q51" s="1" t="s">
        <v>14</v>
      </c>
      <c r="R51" s="44">
        <v>20</v>
      </c>
      <c r="S51" s="47">
        <v>100</v>
      </c>
      <c r="T51" s="4"/>
    </row>
    <row r="52" spans="1:20" x14ac:dyDescent="0.25">
      <c r="A52" s="7">
        <v>49</v>
      </c>
      <c r="D52" s="88"/>
      <c r="E52" s="89"/>
      <c r="F52" s="90" t="s">
        <v>111</v>
      </c>
      <c r="G52" s="87"/>
      <c r="H52" s="12">
        <v>256</v>
      </c>
      <c r="I52" s="7" t="s">
        <v>2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4">
        <f t="shared" si="0"/>
        <v>256</v>
      </c>
      <c r="Q52" s="1" t="s">
        <v>14</v>
      </c>
      <c r="R52" s="44">
        <v>30</v>
      </c>
      <c r="S52" s="47">
        <v>100</v>
      </c>
      <c r="T52" s="4"/>
    </row>
    <row r="53" spans="1:20" x14ac:dyDescent="0.25">
      <c r="A53" s="7">
        <v>50</v>
      </c>
      <c r="D53" s="9" t="s">
        <v>51</v>
      </c>
      <c r="E53" s="10"/>
      <c r="F53" s="10"/>
      <c r="G53" s="11"/>
      <c r="H53" s="12">
        <v>20</v>
      </c>
      <c r="I53" s="7" t="s">
        <v>2</v>
      </c>
      <c r="J53" s="3">
        <v>50</v>
      </c>
      <c r="K53" s="3">
        <v>0</v>
      </c>
      <c r="L53" s="3">
        <v>20</v>
      </c>
      <c r="M53" s="3">
        <v>0</v>
      </c>
      <c r="N53" s="3">
        <v>0</v>
      </c>
      <c r="O53" s="3">
        <v>0</v>
      </c>
      <c r="P53" s="4">
        <f t="shared" si="0"/>
        <v>50</v>
      </c>
      <c r="Q53" s="1" t="s">
        <v>14</v>
      </c>
      <c r="R53" s="44">
        <v>20</v>
      </c>
      <c r="S53" s="47">
        <v>50</v>
      </c>
      <c r="T53" s="4"/>
    </row>
    <row r="54" spans="1:20" x14ac:dyDescent="0.25">
      <c r="A54" s="7">
        <v>51</v>
      </c>
      <c r="D54" s="16" t="s">
        <v>52</v>
      </c>
      <c r="E54" s="17"/>
      <c r="F54" s="17"/>
      <c r="G54" s="18"/>
      <c r="H54" s="12">
        <v>26</v>
      </c>
      <c r="I54" s="7" t="s">
        <v>2</v>
      </c>
      <c r="J54" s="3">
        <v>50</v>
      </c>
      <c r="K54" s="3">
        <v>0</v>
      </c>
      <c r="L54" s="3">
        <v>20</v>
      </c>
      <c r="M54" s="3">
        <v>0</v>
      </c>
      <c r="N54" s="3">
        <v>0</v>
      </c>
      <c r="O54" s="3">
        <v>0</v>
      </c>
      <c r="P54" s="4">
        <f t="shared" si="0"/>
        <v>56</v>
      </c>
      <c r="Q54" s="1" t="s">
        <v>14</v>
      </c>
      <c r="R54" s="44">
        <v>20</v>
      </c>
      <c r="S54" s="47">
        <v>50</v>
      </c>
      <c r="T54" s="4" t="s">
        <v>14</v>
      </c>
    </row>
    <row r="55" spans="1:20" x14ac:dyDescent="0.25">
      <c r="A55" s="7">
        <v>52</v>
      </c>
      <c r="D55" s="9" t="s">
        <v>53</v>
      </c>
      <c r="E55" s="10"/>
      <c r="F55" s="10"/>
      <c r="G55" s="11"/>
      <c r="H55" s="12">
        <v>30</v>
      </c>
      <c r="I55" s="7" t="s">
        <v>2</v>
      </c>
      <c r="J55" s="3">
        <v>50</v>
      </c>
      <c r="K55" s="3">
        <v>0</v>
      </c>
      <c r="L55" s="3">
        <v>20</v>
      </c>
      <c r="M55" s="3">
        <v>0</v>
      </c>
      <c r="N55" s="3">
        <v>0</v>
      </c>
      <c r="O55" s="3">
        <v>0</v>
      </c>
      <c r="P55" s="4">
        <f t="shared" si="0"/>
        <v>60</v>
      </c>
      <c r="Q55" s="1" t="s">
        <v>14</v>
      </c>
      <c r="R55" s="44">
        <v>20</v>
      </c>
      <c r="S55" s="47">
        <v>50</v>
      </c>
      <c r="T55" s="4"/>
    </row>
    <row r="56" spans="1:20" x14ac:dyDescent="0.25">
      <c r="A56" s="7">
        <v>53</v>
      </c>
      <c r="D56" s="70" t="s">
        <v>54</v>
      </c>
      <c r="E56" s="71"/>
      <c r="F56" s="71"/>
      <c r="G56" s="72"/>
      <c r="H56" s="12">
        <v>2040</v>
      </c>
      <c r="I56" s="7" t="s">
        <v>1</v>
      </c>
      <c r="J56" s="3">
        <v>0</v>
      </c>
      <c r="K56" s="3">
        <v>120</v>
      </c>
      <c r="L56" s="3">
        <v>105</v>
      </c>
      <c r="M56" s="3">
        <v>45</v>
      </c>
      <c r="N56" s="3">
        <v>0</v>
      </c>
      <c r="O56" s="3">
        <v>150</v>
      </c>
      <c r="P56" s="4">
        <f t="shared" si="0"/>
        <v>1620</v>
      </c>
      <c r="Q56" s="1" t="s">
        <v>120</v>
      </c>
      <c r="R56" s="44">
        <v>250</v>
      </c>
      <c r="S56" s="47">
        <v>750</v>
      </c>
      <c r="T56" s="4"/>
    </row>
    <row r="57" spans="1:20" x14ac:dyDescent="0.25">
      <c r="A57" s="7">
        <v>54</v>
      </c>
      <c r="D57" s="16" t="s">
        <v>61</v>
      </c>
      <c r="E57" s="17"/>
      <c r="F57" s="17"/>
      <c r="G57" s="18"/>
      <c r="H57" s="12">
        <v>246</v>
      </c>
      <c r="I57" s="7" t="s">
        <v>2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  <c r="P57" s="4">
        <f t="shared" si="0"/>
        <v>246</v>
      </c>
      <c r="Q57" s="1" t="s">
        <v>14</v>
      </c>
      <c r="R57" s="44">
        <v>10</v>
      </c>
      <c r="S57" s="46">
        <v>200</v>
      </c>
      <c r="T57" s="4"/>
    </row>
    <row r="58" spans="1:20" x14ac:dyDescent="0.25">
      <c r="A58" s="7">
        <v>55</v>
      </c>
      <c r="D58" s="9" t="s">
        <v>62</v>
      </c>
      <c r="E58" s="10"/>
      <c r="F58" s="10"/>
      <c r="G58" s="11"/>
      <c r="H58" s="12">
        <v>3065</v>
      </c>
      <c r="I58" s="7" t="s">
        <v>2</v>
      </c>
      <c r="J58" s="3">
        <v>0</v>
      </c>
      <c r="K58" s="3">
        <v>64</v>
      </c>
      <c r="L58" s="3">
        <v>13</v>
      </c>
      <c r="M58" s="3">
        <v>0</v>
      </c>
      <c r="N58" s="3">
        <v>0</v>
      </c>
      <c r="O58" s="3">
        <v>12</v>
      </c>
      <c r="P58" s="4">
        <f t="shared" si="0"/>
        <v>2976</v>
      </c>
      <c r="Q58" s="1" t="s">
        <v>14</v>
      </c>
      <c r="R58" s="44">
        <v>200</v>
      </c>
      <c r="S58" s="47">
        <v>1000</v>
      </c>
      <c r="T58" s="4"/>
    </row>
    <row r="59" spans="1:20" x14ac:dyDescent="0.25">
      <c r="A59" s="7">
        <v>56</v>
      </c>
      <c r="D59" s="16" t="s">
        <v>13</v>
      </c>
      <c r="E59" s="17"/>
      <c r="F59" s="17"/>
      <c r="G59" s="18"/>
      <c r="H59" s="12">
        <v>369</v>
      </c>
      <c r="I59" s="7" t="s">
        <v>2</v>
      </c>
      <c r="J59" s="3">
        <v>0</v>
      </c>
      <c r="K59" s="3">
        <v>20</v>
      </c>
      <c r="L59" s="3">
        <v>0</v>
      </c>
      <c r="M59" s="3">
        <v>26</v>
      </c>
      <c r="N59" s="3">
        <v>0</v>
      </c>
      <c r="O59" s="3">
        <v>32</v>
      </c>
      <c r="P59" s="4">
        <f t="shared" si="0"/>
        <v>291</v>
      </c>
      <c r="Q59" s="1" t="s">
        <v>14</v>
      </c>
      <c r="R59" s="44">
        <v>100</v>
      </c>
      <c r="S59" s="47">
        <v>300</v>
      </c>
      <c r="T59" s="4"/>
    </row>
    <row r="60" spans="1:20" x14ac:dyDescent="0.25">
      <c r="A60" s="7">
        <v>57</v>
      </c>
      <c r="D60" s="9" t="s">
        <v>72</v>
      </c>
      <c r="E60" s="10"/>
      <c r="F60" s="10"/>
      <c r="G60" s="11"/>
      <c r="H60" s="12">
        <v>134</v>
      </c>
      <c r="I60" s="7" t="s">
        <v>2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4">
        <f t="shared" si="0"/>
        <v>134</v>
      </c>
      <c r="Q60" s="1" t="s">
        <v>14</v>
      </c>
      <c r="R60" s="44">
        <v>100</v>
      </c>
      <c r="S60" s="47">
        <v>300</v>
      </c>
      <c r="T60" s="4"/>
    </row>
    <row r="61" spans="1:20" x14ac:dyDescent="0.25">
      <c r="A61" s="7">
        <v>58</v>
      </c>
      <c r="D61" s="16" t="s">
        <v>63</v>
      </c>
      <c r="E61" s="17"/>
      <c r="F61" s="17"/>
      <c r="G61" s="18"/>
      <c r="H61" s="12">
        <v>27</v>
      </c>
      <c r="I61" s="7" t="s">
        <v>2</v>
      </c>
      <c r="J61" s="3">
        <v>0</v>
      </c>
      <c r="K61" s="3">
        <v>13</v>
      </c>
      <c r="L61" s="3">
        <v>0</v>
      </c>
      <c r="M61" s="3">
        <v>0</v>
      </c>
      <c r="N61" s="3">
        <v>0</v>
      </c>
      <c r="O61" s="3">
        <v>0</v>
      </c>
      <c r="P61" s="4">
        <f t="shared" si="0"/>
        <v>14</v>
      </c>
      <c r="Q61" s="1" t="s">
        <v>14</v>
      </c>
      <c r="R61" s="44">
        <v>100</v>
      </c>
      <c r="S61" s="47">
        <v>300</v>
      </c>
      <c r="T61" s="4"/>
    </row>
    <row r="62" spans="1:20" x14ac:dyDescent="0.25">
      <c r="A62" s="7">
        <v>59</v>
      </c>
      <c r="D62" s="9" t="s">
        <v>77</v>
      </c>
      <c r="E62" s="10"/>
      <c r="F62" s="10"/>
      <c r="G62" s="11"/>
      <c r="H62" s="12">
        <v>504</v>
      </c>
      <c r="I62" s="7" t="s">
        <v>2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4">
        <f t="shared" si="0"/>
        <v>504</v>
      </c>
      <c r="Q62" s="1" t="s">
        <v>14</v>
      </c>
      <c r="R62" s="44">
        <v>100</v>
      </c>
      <c r="S62" s="47">
        <v>300</v>
      </c>
      <c r="T62" s="4"/>
    </row>
    <row r="63" spans="1:20" x14ac:dyDescent="0.25">
      <c r="A63" s="7">
        <v>60</v>
      </c>
      <c r="D63" s="16" t="s">
        <v>130</v>
      </c>
      <c r="E63" s="17"/>
      <c r="F63" s="17"/>
      <c r="G63" s="18"/>
      <c r="H63" s="12">
        <v>206</v>
      </c>
      <c r="I63" s="7" t="s">
        <v>2</v>
      </c>
      <c r="J63" s="3">
        <v>0</v>
      </c>
      <c r="K63" s="3">
        <v>0</v>
      </c>
      <c r="L63" s="3">
        <v>5</v>
      </c>
      <c r="M63" s="3">
        <v>0</v>
      </c>
      <c r="N63" s="3">
        <v>0</v>
      </c>
      <c r="O63" s="3">
        <v>0</v>
      </c>
      <c r="P63" s="4">
        <f t="shared" si="0"/>
        <v>201</v>
      </c>
      <c r="Q63" s="1" t="s">
        <v>14</v>
      </c>
      <c r="R63" s="44">
        <v>20</v>
      </c>
      <c r="S63" s="46">
        <v>200</v>
      </c>
      <c r="T63" s="4"/>
    </row>
    <row r="64" spans="1:20" x14ac:dyDescent="0.25">
      <c r="A64" s="7">
        <v>61</v>
      </c>
      <c r="D64" s="26" t="s">
        <v>146</v>
      </c>
      <c r="E64" s="27"/>
      <c r="F64" s="27"/>
      <c r="G64" s="28"/>
      <c r="H64" s="12">
        <v>1</v>
      </c>
      <c r="I64" s="30" t="s">
        <v>2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4">
        <f t="shared" si="0"/>
        <v>1</v>
      </c>
      <c r="Q64" s="1" t="s">
        <v>14</v>
      </c>
      <c r="R64" s="44">
        <v>50</v>
      </c>
      <c r="S64" s="47">
        <v>100</v>
      </c>
      <c r="T64" s="4"/>
    </row>
    <row r="65" spans="1:20" x14ac:dyDescent="0.25">
      <c r="A65" s="7">
        <v>62</v>
      </c>
      <c r="D65" s="16" t="s">
        <v>65</v>
      </c>
      <c r="E65" s="17"/>
      <c r="F65" s="17"/>
      <c r="G65" s="18"/>
      <c r="H65" s="12">
        <v>54</v>
      </c>
      <c r="I65" s="7" t="s">
        <v>2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4">
        <f t="shared" si="0"/>
        <v>54</v>
      </c>
      <c r="Q65" s="1" t="s">
        <v>14</v>
      </c>
      <c r="R65" s="44">
        <v>10</v>
      </c>
      <c r="S65" s="46">
        <v>50</v>
      </c>
      <c r="T65" s="4"/>
    </row>
    <row r="66" spans="1:20" x14ac:dyDescent="0.25">
      <c r="A66" s="7">
        <v>63</v>
      </c>
      <c r="D66" s="9" t="s">
        <v>66</v>
      </c>
      <c r="E66" s="10"/>
      <c r="F66" s="10"/>
      <c r="G66" s="11"/>
      <c r="H66" s="12">
        <v>50</v>
      </c>
      <c r="I66" s="7" t="s">
        <v>2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  <c r="P66" s="4">
        <f t="shared" si="0"/>
        <v>50</v>
      </c>
      <c r="Q66" s="1" t="s">
        <v>14</v>
      </c>
      <c r="R66" s="44">
        <v>300</v>
      </c>
      <c r="S66" s="47">
        <v>1000</v>
      </c>
      <c r="T66" s="4"/>
    </row>
    <row r="67" spans="1:20" x14ac:dyDescent="0.25">
      <c r="A67" s="7">
        <v>64</v>
      </c>
      <c r="D67" s="19" t="s">
        <v>165</v>
      </c>
      <c r="E67" s="20"/>
      <c r="F67" s="20"/>
      <c r="G67" s="21"/>
      <c r="H67" s="12">
        <v>79</v>
      </c>
      <c r="I67" s="7" t="s">
        <v>2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  <c r="P67" s="4">
        <f t="shared" si="0"/>
        <v>79</v>
      </c>
      <c r="Q67" s="1" t="s">
        <v>14</v>
      </c>
      <c r="R67" s="44">
        <v>50</v>
      </c>
      <c r="S67" s="47">
        <v>150</v>
      </c>
      <c r="T67" s="4"/>
    </row>
    <row r="68" spans="1:20" x14ac:dyDescent="0.25">
      <c r="A68" s="7">
        <v>65</v>
      </c>
      <c r="D68" s="22" t="s">
        <v>74</v>
      </c>
      <c r="E68" s="10"/>
      <c r="F68" s="10"/>
      <c r="G68" s="11"/>
      <c r="H68" s="12">
        <v>520</v>
      </c>
      <c r="I68" s="8" t="s">
        <v>75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4">
        <f t="shared" ref="P68:P89" si="1">+H68+J68-K68-L68-M68-N68-O68</f>
        <v>520</v>
      </c>
      <c r="Q68" s="1" t="s">
        <v>91</v>
      </c>
      <c r="R68" s="44">
        <v>65</v>
      </c>
      <c r="S68" s="47">
        <v>150</v>
      </c>
      <c r="T68" s="4"/>
    </row>
    <row r="69" spans="1:20" x14ac:dyDescent="0.25">
      <c r="A69" s="7">
        <v>66</v>
      </c>
      <c r="C69" s="1" t="s">
        <v>14</v>
      </c>
      <c r="D69" s="22" t="s">
        <v>76</v>
      </c>
      <c r="E69" s="10"/>
      <c r="F69" s="10"/>
      <c r="G69" s="11"/>
      <c r="H69" s="12">
        <v>240</v>
      </c>
      <c r="I69" s="8" t="s">
        <v>2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4">
        <f t="shared" si="1"/>
        <v>240</v>
      </c>
      <c r="Q69" s="1" t="s">
        <v>14</v>
      </c>
      <c r="R69" s="44">
        <v>50</v>
      </c>
      <c r="S69" s="47">
        <v>100</v>
      </c>
      <c r="T69" s="4"/>
    </row>
    <row r="70" spans="1:20" x14ac:dyDescent="0.25">
      <c r="A70" s="7">
        <v>67</v>
      </c>
      <c r="D70" s="25" t="s">
        <v>147</v>
      </c>
      <c r="H70" s="12">
        <v>242</v>
      </c>
      <c r="I70" s="30" t="s">
        <v>2</v>
      </c>
      <c r="J70" s="3">
        <v>400</v>
      </c>
      <c r="K70" s="3">
        <v>0</v>
      </c>
      <c r="L70" s="3">
        <v>11</v>
      </c>
      <c r="M70" s="3">
        <v>9</v>
      </c>
      <c r="N70" s="3">
        <v>0</v>
      </c>
      <c r="O70" s="3">
        <v>0</v>
      </c>
      <c r="P70" s="4">
        <f t="shared" si="1"/>
        <v>622</v>
      </c>
      <c r="Q70" s="1" t="s">
        <v>14</v>
      </c>
      <c r="R70" s="44">
        <v>50</v>
      </c>
      <c r="S70" s="47">
        <v>100</v>
      </c>
      <c r="T70" s="4"/>
    </row>
    <row r="71" spans="1:20" x14ac:dyDescent="0.25">
      <c r="A71" s="7">
        <v>68</v>
      </c>
      <c r="D71" s="26" t="s">
        <v>80</v>
      </c>
      <c r="E71" s="27"/>
      <c r="F71" s="27"/>
      <c r="G71" s="28"/>
      <c r="H71" s="12">
        <v>85</v>
      </c>
      <c r="I71" s="8" t="s">
        <v>2</v>
      </c>
      <c r="J71" s="3">
        <v>0</v>
      </c>
      <c r="K71" s="3">
        <v>0</v>
      </c>
      <c r="L71" s="3">
        <v>1</v>
      </c>
      <c r="M71" s="3">
        <v>0</v>
      </c>
      <c r="N71" s="3">
        <v>0</v>
      </c>
      <c r="O71" s="3">
        <v>0</v>
      </c>
      <c r="P71" s="4">
        <f t="shared" si="1"/>
        <v>84</v>
      </c>
      <c r="Q71" s="1" t="s">
        <v>14</v>
      </c>
      <c r="R71" s="44">
        <v>20</v>
      </c>
      <c r="S71" s="46">
        <v>200</v>
      </c>
      <c r="T71" s="4"/>
    </row>
    <row r="72" spans="1:20" x14ac:dyDescent="0.25">
      <c r="A72" s="7">
        <v>69</v>
      </c>
      <c r="D72" s="26" t="s">
        <v>84</v>
      </c>
      <c r="E72" s="27"/>
      <c r="F72" s="27"/>
      <c r="G72" s="28"/>
      <c r="H72" s="12">
        <v>0</v>
      </c>
      <c r="I72" s="8" t="s">
        <v>2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  <c r="P72" s="4">
        <f t="shared" si="1"/>
        <v>0</v>
      </c>
      <c r="Q72" s="1" t="s">
        <v>14</v>
      </c>
      <c r="R72" s="44">
        <v>100</v>
      </c>
      <c r="S72" s="47">
        <v>200</v>
      </c>
      <c r="T72" s="4"/>
    </row>
    <row r="73" spans="1:20" x14ac:dyDescent="0.25">
      <c r="A73" s="7">
        <v>70</v>
      </c>
      <c r="D73" s="26" t="s">
        <v>167</v>
      </c>
      <c r="E73" s="27"/>
      <c r="F73" s="27"/>
      <c r="G73" s="28"/>
      <c r="H73" s="12">
        <v>85</v>
      </c>
      <c r="I73" s="8" t="s">
        <v>2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4">
        <f t="shared" si="1"/>
        <v>85</v>
      </c>
      <c r="R73" s="44">
        <v>20</v>
      </c>
      <c r="S73" s="46">
        <v>200</v>
      </c>
      <c r="T73" s="4"/>
    </row>
    <row r="74" spans="1:20" x14ac:dyDescent="0.25">
      <c r="A74" s="7">
        <v>71</v>
      </c>
      <c r="D74" s="37" t="s">
        <v>14</v>
      </c>
      <c r="E74" s="17"/>
      <c r="F74" s="33"/>
      <c r="G74" s="33"/>
      <c r="H74" s="12">
        <v>0</v>
      </c>
      <c r="I74" s="8" t="s">
        <v>14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4">
        <f t="shared" si="1"/>
        <v>0</v>
      </c>
      <c r="Q74" s="1" t="s">
        <v>14</v>
      </c>
      <c r="R74" s="44">
        <v>100</v>
      </c>
      <c r="S74" s="47">
        <v>500</v>
      </c>
      <c r="T74" s="4"/>
    </row>
    <row r="75" spans="1:20" x14ac:dyDescent="0.25">
      <c r="A75" s="7">
        <v>72</v>
      </c>
      <c r="D75" s="22" t="s">
        <v>100</v>
      </c>
      <c r="E75" s="10"/>
      <c r="F75" s="10"/>
      <c r="G75" s="28"/>
      <c r="H75" s="12">
        <v>0</v>
      </c>
      <c r="I75" s="8" t="s">
        <v>2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4">
        <f t="shared" si="1"/>
        <v>0</v>
      </c>
      <c r="R75" s="44">
        <v>0</v>
      </c>
      <c r="S75" s="46"/>
      <c r="T75" s="4"/>
    </row>
    <row r="76" spans="1:20" x14ac:dyDescent="0.25">
      <c r="A76" s="7">
        <v>73</v>
      </c>
      <c r="D76" s="37" t="s">
        <v>113</v>
      </c>
      <c r="E76" s="17"/>
      <c r="F76" s="17"/>
      <c r="G76" s="33"/>
      <c r="H76" s="12">
        <v>393</v>
      </c>
      <c r="I76" s="8" t="s">
        <v>97</v>
      </c>
      <c r="J76" s="3">
        <v>999.8</v>
      </c>
      <c r="K76" s="3">
        <v>81</v>
      </c>
      <c r="L76" s="3">
        <v>71</v>
      </c>
      <c r="M76" s="3">
        <v>64.400000000000006</v>
      </c>
      <c r="N76" s="3">
        <v>0</v>
      </c>
      <c r="O76" s="3">
        <v>41.4</v>
      </c>
      <c r="P76" s="4">
        <f t="shared" si="1"/>
        <v>1134.9999999999998</v>
      </c>
      <c r="Q76" s="65" t="s">
        <v>121</v>
      </c>
      <c r="R76" s="44">
        <v>30</v>
      </c>
      <c r="S76" s="47">
        <v>100</v>
      </c>
      <c r="T76" s="4"/>
    </row>
    <row r="77" spans="1:20" x14ac:dyDescent="0.25">
      <c r="A77" s="7">
        <v>74</v>
      </c>
      <c r="D77" s="22" t="s">
        <v>103</v>
      </c>
      <c r="E77" s="10"/>
      <c r="F77" s="10"/>
      <c r="G77" s="28"/>
      <c r="H77" s="12">
        <v>120</v>
      </c>
      <c r="I77" s="8" t="s">
        <v>2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4">
        <f t="shared" si="1"/>
        <v>120</v>
      </c>
      <c r="R77" s="44">
        <v>60</v>
      </c>
      <c r="S77" s="47">
        <v>100</v>
      </c>
      <c r="T77" s="4"/>
    </row>
    <row r="78" spans="1:20" x14ac:dyDescent="0.25">
      <c r="A78" s="8">
        <v>75</v>
      </c>
      <c r="D78" s="49" t="s">
        <v>108</v>
      </c>
      <c r="E78" s="20"/>
      <c r="F78" s="20"/>
      <c r="G78" s="20"/>
      <c r="H78" s="12">
        <v>24000</v>
      </c>
      <c r="I78" s="8" t="s">
        <v>110</v>
      </c>
      <c r="J78" s="3">
        <v>0</v>
      </c>
      <c r="K78" s="3">
        <v>2000</v>
      </c>
      <c r="L78" s="3">
        <v>1500</v>
      </c>
      <c r="M78" s="3">
        <v>1000</v>
      </c>
      <c r="N78" s="3">
        <v>0</v>
      </c>
      <c r="O78" s="3">
        <v>1500</v>
      </c>
      <c r="P78" s="4">
        <f t="shared" si="1"/>
        <v>18000</v>
      </c>
      <c r="R78" s="43">
        <v>1000</v>
      </c>
      <c r="S78" s="46">
        <v>10000</v>
      </c>
      <c r="T78" s="4"/>
    </row>
    <row r="79" spans="1:20" x14ac:dyDescent="0.25">
      <c r="A79" s="48">
        <v>76</v>
      </c>
      <c r="B79" s="41"/>
      <c r="C79" s="41"/>
      <c r="D79" s="22" t="s">
        <v>115</v>
      </c>
      <c r="E79" s="10"/>
      <c r="F79" s="10"/>
      <c r="G79" s="11"/>
      <c r="H79" s="12">
        <v>237</v>
      </c>
      <c r="I79" s="62" t="s">
        <v>2</v>
      </c>
      <c r="J79" s="3">
        <v>400</v>
      </c>
      <c r="K79" s="3">
        <v>0</v>
      </c>
      <c r="L79" s="3">
        <v>0</v>
      </c>
      <c r="M79" s="3">
        <v>9</v>
      </c>
      <c r="N79" s="3">
        <v>0</v>
      </c>
      <c r="O79" s="3">
        <v>0</v>
      </c>
      <c r="P79" s="64">
        <f t="shared" si="1"/>
        <v>628</v>
      </c>
      <c r="R79" s="64">
        <v>50</v>
      </c>
      <c r="S79" s="64">
        <v>100</v>
      </c>
      <c r="T79" s="4" t="s">
        <v>14</v>
      </c>
    </row>
    <row r="80" spans="1:20" x14ac:dyDescent="0.25">
      <c r="A80" s="73">
        <v>77</v>
      </c>
      <c r="B80" s="41"/>
      <c r="C80" s="41"/>
      <c r="D80" s="49" t="s">
        <v>134</v>
      </c>
      <c r="E80" s="35"/>
      <c r="F80" s="35"/>
      <c r="G80" s="60"/>
      <c r="H80" s="12">
        <v>320</v>
      </c>
      <c r="I80" s="8" t="s">
        <v>2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  <c r="P80" s="4">
        <f t="shared" si="1"/>
        <v>320</v>
      </c>
      <c r="Q80" s="4"/>
      <c r="R80" s="4">
        <v>20</v>
      </c>
      <c r="S80" s="4">
        <v>50</v>
      </c>
      <c r="T80" s="4"/>
    </row>
    <row r="81" spans="1:20" x14ac:dyDescent="0.25">
      <c r="A81" s="8">
        <v>78</v>
      </c>
      <c r="D81" s="22" t="s">
        <v>123</v>
      </c>
      <c r="E81" s="10"/>
      <c r="F81" s="10"/>
      <c r="G81" s="11"/>
      <c r="H81" s="12">
        <v>1500</v>
      </c>
      <c r="I81" s="8" t="s">
        <v>2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  <c r="P81" s="4">
        <f t="shared" si="1"/>
        <v>1500</v>
      </c>
      <c r="Q81" s="4"/>
      <c r="R81" s="4">
        <v>100</v>
      </c>
      <c r="S81" s="4">
        <v>500</v>
      </c>
      <c r="T81" s="4"/>
    </row>
    <row r="82" spans="1:20" x14ac:dyDescent="0.25">
      <c r="A82" s="48">
        <v>79</v>
      </c>
      <c r="B82" s="41"/>
      <c r="C82" s="41"/>
      <c r="D82" s="22" t="s">
        <v>154</v>
      </c>
      <c r="E82" s="10"/>
      <c r="F82" s="10"/>
      <c r="G82" s="11"/>
      <c r="H82" s="4">
        <v>15</v>
      </c>
      <c r="I82" s="8" t="s">
        <v>2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  <c r="P82" s="4">
        <f t="shared" si="1"/>
        <v>15</v>
      </c>
      <c r="Q82" s="4"/>
      <c r="R82" s="4">
        <v>10</v>
      </c>
      <c r="S82" s="4">
        <v>50</v>
      </c>
      <c r="T82" s="4"/>
    </row>
    <row r="83" spans="1:20" x14ac:dyDescent="0.25">
      <c r="A83" s="48">
        <v>80</v>
      </c>
      <c r="B83" s="41"/>
      <c r="C83" s="41"/>
      <c r="D83" s="37" t="s">
        <v>155</v>
      </c>
      <c r="E83" s="17"/>
      <c r="F83" s="17"/>
      <c r="G83" s="18"/>
      <c r="H83" s="64">
        <v>15</v>
      </c>
      <c r="I83" s="62" t="s">
        <v>2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64">
        <f t="shared" si="1"/>
        <v>15</v>
      </c>
      <c r="Q83" s="64"/>
      <c r="R83" s="64">
        <v>10</v>
      </c>
      <c r="S83" s="64">
        <v>50</v>
      </c>
      <c r="T83" s="4"/>
    </row>
    <row r="84" spans="1:20" x14ac:dyDescent="0.25">
      <c r="A84" s="48">
        <v>81</v>
      </c>
      <c r="B84" s="11"/>
      <c r="C84" s="23"/>
      <c r="D84" s="23" t="s">
        <v>149</v>
      </c>
      <c r="E84" s="23"/>
      <c r="F84" s="23"/>
      <c r="G84" s="23"/>
      <c r="H84" s="23">
        <v>10</v>
      </c>
      <c r="I84" s="8" t="s">
        <v>2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4">
        <f t="shared" si="1"/>
        <v>10</v>
      </c>
      <c r="Q84" s="4"/>
      <c r="R84" s="4">
        <v>10</v>
      </c>
      <c r="S84" s="4">
        <v>50</v>
      </c>
      <c r="T84" s="4"/>
    </row>
    <row r="85" spans="1:20" x14ac:dyDescent="0.25">
      <c r="A85" s="8">
        <v>82</v>
      </c>
      <c r="D85" s="68" t="s">
        <v>148</v>
      </c>
      <c r="E85" s="27"/>
      <c r="F85" s="27"/>
      <c r="G85" s="28"/>
      <c r="H85" s="4">
        <v>98</v>
      </c>
      <c r="I85" s="8" t="s">
        <v>2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4">
        <f t="shared" si="1"/>
        <v>98</v>
      </c>
      <c r="Q85" s="4"/>
      <c r="R85" s="4">
        <v>50</v>
      </c>
      <c r="S85" s="4">
        <v>200</v>
      </c>
      <c r="T85" s="4"/>
    </row>
    <row r="86" spans="1:20" ht="15.75" customHeight="1" x14ac:dyDescent="0.25">
      <c r="A86" s="8">
        <v>83</v>
      </c>
      <c r="D86" s="79" t="s">
        <v>150</v>
      </c>
      <c r="E86" s="80"/>
      <c r="F86" s="81"/>
      <c r="G86" s="82"/>
      <c r="H86" s="4">
        <v>416</v>
      </c>
      <c r="I86" s="8" t="s">
        <v>2</v>
      </c>
      <c r="J86" s="3">
        <v>0</v>
      </c>
      <c r="K86" s="3">
        <v>16</v>
      </c>
      <c r="L86" s="3">
        <v>0</v>
      </c>
      <c r="M86" s="3">
        <v>0</v>
      </c>
      <c r="N86" s="3">
        <v>0</v>
      </c>
      <c r="O86" s="3">
        <v>10</v>
      </c>
      <c r="P86" s="4">
        <f t="shared" si="1"/>
        <v>390</v>
      </c>
      <c r="Q86" s="4"/>
      <c r="R86" s="4">
        <v>50</v>
      </c>
      <c r="S86" s="4">
        <v>300</v>
      </c>
      <c r="T86" s="4"/>
    </row>
    <row r="87" spans="1:20" x14ac:dyDescent="0.25">
      <c r="A87" s="8">
        <v>84</v>
      </c>
      <c r="D87" s="22" t="s">
        <v>160</v>
      </c>
      <c r="E87" s="10"/>
      <c r="F87" s="10"/>
      <c r="G87" s="11"/>
      <c r="H87" s="23">
        <v>835</v>
      </c>
      <c r="I87" s="8" t="s">
        <v>2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4">
        <f t="shared" si="1"/>
        <v>835</v>
      </c>
      <c r="Q87" s="4"/>
      <c r="R87" s="4">
        <v>20</v>
      </c>
      <c r="S87" s="4">
        <v>300</v>
      </c>
      <c r="T87" s="4"/>
    </row>
    <row r="88" spans="1:20" x14ac:dyDescent="0.25">
      <c r="A88" s="8">
        <v>85</v>
      </c>
      <c r="D88" s="49" t="s">
        <v>153</v>
      </c>
      <c r="E88" s="20"/>
      <c r="F88" s="20"/>
      <c r="G88" s="21"/>
      <c r="H88" s="23">
        <v>88</v>
      </c>
      <c r="I88" s="8" t="s">
        <v>2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4">
        <f t="shared" si="1"/>
        <v>88</v>
      </c>
      <c r="Q88" s="4"/>
      <c r="R88" s="4">
        <v>10</v>
      </c>
      <c r="S88" s="4">
        <v>200</v>
      </c>
      <c r="T88" s="4"/>
    </row>
    <row r="89" spans="1:20" x14ac:dyDescent="0.25">
      <c r="A89" s="77">
        <v>86</v>
      </c>
      <c r="D89" s="68" t="s">
        <v>162</v>
      </c>
      <c r="E89" s="27"/>
      <c r="F89" s="27"/>
      <c r="G89" s="28"/>
      <c r="H89" s="74">
        <v>85</v>
      </c>
      <c r="I89" s="75" t="s">
        <v>2</v>
      </c>
      <c r="J89" s="3">
        <v>0</v>
      </c>
      <c r="K89" s="3">
        <v>0</v>
      </c>
      <c r="L89" s="3">
        <v>0</v>
      </c>
      <c r="M89" s="3">
        <v>0</v>
      </c>
      <c r="N89" s="3">
        <v>0</v>
      </c>
      <c r="O89" s="3">
        <v>0</v>
      </c>
      <c r="P89" s="4">
        <f t="shared" si="1"/>
        <v>85</v>
      </c>
      <c r="Q89" s="4"/>
      <c r="R89" s="4">
        <v>10</v>
      </c>
      <c r="S89" s="4">
        <v>50</v>
      </c>
      <c r="T89" s="4"/>
    </row>
  </sheetData>
  <pageMargins left="0.75" right="0.75" top="1" bottom="1" header="0.5" footer="0.5"/>
  <pageSetup paperSize="9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T89"/>
  <sheetViews>
    <sheetView workbookViewId="0">
      <selection activeCell="J22" sqref="J22"/>
    </sheetView>
  </sheetViews>
  <sheetFormatPr defaultRowHeight="15" x14ac:dyDescent="0.25"/>
  <cols>
    <col min="1" max="1" width="5.5703125" customWidth="1"/>
    <col min="2" max="3" width="9.140625" hidden="1" customWidth="1"/>
    <col min="6" max="6" width="12.7109375" customWidth="1"/>
    <col min="8" max="8" width="10.140625" customWidth="1"/>
    <col min="9" max="9" width="10" customWidth="1"/>
    <col min="10" max="10" width="7.7109375" customWidth="1"/>
    <col min="11" max="11" width="10.7109375" customWidth="1"/>
    <col min="12" max="12" width="10.140625" customWidth="1"/>
    <col min="13" max="13" width="11.85546875" customWidth="1"/>
    <col min="14" max="15" width="11.7109375" customWidth="1"/>
    <col min="16" max="16" width="10.140625" customWidth="1"/>
    <col min="17" max="17" width="4.7109375" customWidth="1"/>
    <col min="18" max="18" width="12.140625" customWidth="1"/>
    <col min="19" max="19" width="10.85546875" customWidth="1"/>
    <col min="20" max="20" width="13.85546875" customWidth="1"/>
  </cols>
  <sheetData>
    <row r="1" spans="1:20" x14ac:dyDescent="0.25">
      <c r="G1" s="1"/>
      <c r="P1">
        <f>+H1+J1-K1-L1-M1-N1-O1</f>
        <v>0</v>
      </c>
    </row>
    <row r="2" spans="1:20" x14ac:dyDescent="0.25">
      <c r="A2" t="s">
        <v>14</v>
      </c>
      <c r="D2" s="78">
        <v>45413</v>
      </c>
      <c r="O2" s="38" t="s">
        <v>14</v>
      </c>
      <c r="S2" s="50">
        <v>44837</v>
      </c>
    </row>
    <row r="3" spans="1:20" x14ac:dyDescent="0.25">
      <c r="A3" s="3" t="s">
        <v>15</v>
      </c>
      <c r="D3" s="9" t="s">
        <v>17</v>
      </c>
      <c r="E3" s="10"/>
      <c r="F3" s="10"/>
      <c r="G3" s="11"/>
      <c r="H3" s="12" t="s">
        <v>18</v>
      </c>
      <c r="I3" s="4" t="s">
        <v>19</v>
      </c>
      <c r="J3" s="3" t="s">
        <v>20</v>
      </c>
      <c r="K3" s="5">
        <v>45415</v>
      </c>
      <c r="L3" s="6">
        <v>45422</v>
      </c>
      <c r="M3" s="5">
        <v>45429</v>
      </c>
      <c r="N3" s="5">
        <v>45436</v>
      </c>
      <c r="O3" s="6">
        <v>45443</v>
      </c>
      <c r="P3" s="3" t="s">
        <v>21</v>
      </c>
      <c r="R3" s="42" t="s">
        <v>105</v>
      </c>
      <c r="S3" s="45" t="s">
        <v>104</v>
      </c>
      <c r="T3" s="4"/>
    </row>
    <row r="4" spans="1:20" x14ac:dyDescent="0.25">
      <c r="A4" s="7">
        <v>1</v>
      </c>
      <c r="D4" s="13" t="s">
        <v>16</v>
      </c>
      <c r="E4" s="14"/>
      <c r="F4" s="14"/>
      <c r="G4" s="15"/>
      <c r="H4" s="12">
        <v>450.35</v>
      </c>
      <c r="I4" s="7" t="s">
        <v>1</v>
      </c>
      <c r="J4" s="3">
        <v>0</v>
      </c>
      <c r="K4" s="3">
        <v>0</v>
      </c>
      <c r="L4" s="3">
        <v>20</v>
      </c>
      <c r="M4" s="3">
        <v>0</v>
      </c>
      <c r="N4" s="3">
        <v>0</v>
      </c>
      <c r="O4" s="3">
        <v>0</v>
      </c>
      <c r="P4" s="4">
        <f t="shared" ref="P4:P67" si="0">+H4+J4-K4-L4-M4-N4-O4</f>
        <v>430.35</v>
      </c>
      <c r="Q4" t="s">
        <v>172</v>
      </c>
      <c r="R4" s="43">
        <v>100</v>
      </c>
      <c r="S4" s="46">
        <v>500</v>
      </c>
      <c r="T4" s="4" t="s">
        <v>14</v>
      </c>
    </row>
    <row r="5" spans="1:20" x14ac:dyDescent="0.25">
      <c r="A5" s="7">
        <v>2</v>
      </c>
      <c r="D5" s="9" t="s">
        <v>22</v>
      </c>
      <c r="E5" s="10"/>
      <c r="F5" s="10"/>
      <c r="G5" s="11"/>
      <c r="H5" s="12">
        <v>0</v>
      </c>
      <c r="I5" s="7" t="s">
        <v>2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4">
        <f t="shared" si="0"/>
        <v>0</v>
      </c>
      <c r="Q5" s="1" t="s">
        <v>14</v>
      </c>
      <c r="R5" s="44">
        <v>6</v>
      </c>
      <c r="S5" s="47">
        <v>10</v>
      </c>
      <c r="T5" s="4"/>
    </row>
    <row r="6" spans="1:20" x14ac:dyDescent="0.25">
      <c r="A6" s="7">
        <v>3</v>
      </c>
      <c r="D6" s="16" t="s">
        <v>23</v>
      </c>
      <c r="E6" s="17"/>
      <c r="F6" s="17"/>
      <c r="G6" s="18"/>
      <c r="H6" s="12">
        <v>54</v>
      </c>
      <c r="I6" s="7" t="s">
        <v>2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4">
        <f t="shared" si="0"/>
        <v>54</v>
      </c>
      <c r="Q6" s="1" t="s">
        <v>14</v>
      </c>
      <c r="R6" s="44">
        <v>6</v>
      </c>
      <c r="S6" s="47">
        <v>10</v>
      </c>
      <c r="T6" s="4"/>
    </row>
    <row r="7" spans="1:20" x14ac:dyDescent="0.25">
      <c r="A7" s="7">
        <v>4</v>
      </c>
      <c r="D7" s="9" t="s">
        <v>3</v>
      </c>
      <c r="E7" s="10"/>
      <c r="F7" s="10"/>
      <c r="G7" s="11"/>
      <c r="H7" s="12">
        <v>30</v>
      </c>
      <c r="I7" s="7" t="s">
        <v>2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4">
        <f t="shared" si="0"/>
        <v>30</v>
      </c>
      <c r="Q7" s="1" t="s">
        <v>14</v>
      </c>
      <c r="R7" s="44">
        <v>6</v>
      </c>
      <c r="S7" s="47">
        <v>10</v>
      </c>
      <c r="T7" s="4"/>
    </row>
    <row r="8" spans="1:20" x14ac:dyDescent="0.25">
      <c r="A8" s="7">
        <v>5</v>
      </c>
      <c r="D8" s="16" t="s">
        <v>139</v>
      </c>
      <c r="E8" s="17"/>
      <c r="F8" s="17"/>
      <c r="G8" s="18"/>
      <c r="H8" s="12">
        <v>100</v>
      </c>
      <c r="I8" s="7" t="s">
        <v>2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4">
        <f t="shared" si="0"/>
        <v>100</v>
      </c>
      <c r="Q8" s="1" t="s">
        <v>14</v>
      </c>
      <c r="R8" s="44">
        <v>100</v>
      </c>
      <c r="S8" s="47">
        <v>400</v>
      </c>
      <c r="T8" s="4"/>
    </row>
    <row r="9" spans="1:20" x14ac:dyDescent="0.25">
      <c r="A9" s="7">
        <v>6</v>
      </c>
      <c r="D9" s="9" t="s">
        <v>24</v>
      </c>
      <c r="E9" s="10"/>
      <c r="F9" s="10"/>
      <c r="G9" s="11"/>
      <c r="H9" s="12">
        <v>278</v>
      </c>
      <c r="I9" s="7" t="s">
        <v>2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4">
        <f t="shared" si="0"/>
        <v>278</v>
      </c>
      <c r="Q9" s="1" t="s">
        <v>14</v>
      </c>
      <c r="R9" s="44">
        <v>60</v>
      </c>
      <c r="S9" s="47">
        <v>200</v>
      </c>
      <c r="T9" s="4"/>
    </row>
    <row r="10" spans="1:20" x14ac:dyDescent="0.25">
      <c r="A10" s="7">
        <v>7</v>
      </c>
      <c r="D10" s="16" t="s">
        <v>101</v>
      </c>
      <c r="E10" s="17"/>
      <c r="F10" s="17"/>
      <c r="G10" s="18"/>
      <c r="H10" s="12">
        <v>388</v>
      </c>
      <c r="I10" s="7" t="s">
        <v>2</v>
      </c>
      <c r="J10" s="3">
        <v>0</v>
      </c>
      <c r="K10" s="3">
        <v>20</v>
      </c>
      <c r="L10" s="3">
        <v>0</v>
      </c>
      <c r="M10" s="3">
        <v>20</v>
      </c>
      <c r="N10" s="3">
        <v>0</v>
      </c>
      <c r="O10" s="3">
        <v>20</v>
      </c>
      <c r="P10" s="4">
        <f t="shared" si="0"/>
        <v>328</v>
      </c>
      <c r="Q10" s="1" t="s">
        <v>14</v>
      </c>
      <c r="R10" s="44">
        <v>200</v>
      </c>
      <c r="S10" s="47">
        <v>500</v>
      </c>
      <c r="T10" s="4"/>
    </row>
    <row r="11" spans="1:20" x14ac:dyDescent="0.25">
      <c r="A11" s="7">
        <v>8</v>
      </c>
      <c r="D11" s="9" t="s">
        <v>25</v>
      </c>
      <c r="E11" s="10"/>
      <c r="F11" s="10"/>
      <c r="G11" s="11"/>
      <c r="H11" s="12">
        <v>326</v>
      </c>
      <c r="I11" s="7" t="s">
        <v>2</v>
      </c>
      <c r="J11" s="3">
        <v>0</v>
      </c>
      <c r="K11" s="3">
        <v>0</v>
      </c>
      <c r="L11" s="3">
        <v>8</v>
      </c>
      <c r="M11" s="3">
        <v>0</v>
      </c>
      <c r="N11" s="3">
        <v>0</v>
      </c>
      <c r="O11" s="3">
        <v>25</v>
      </c>
      <c r="P11" s="4">
        <f t="shared" si="0"/>
        <v>293</v>
      </c>
      <c r="Q11" s="1" t="s">
        <v>14</v>
      </c>
      <c r="R11" s="44">
        <v>50</v>
      </c>
      <c r="S11" s="47">
        <v>300</v>
      </c>
      <c r="T11" s="4"/>
    </row>
    <row r="12" spans="1:20" x14ac:dyDescent="0.25">
      <c r="A12" s="7">
        <v>9</v>
      </c>
      <c r="D12" s="16" t="s">
        <v>26</v>
      </c>
      <c r="E12" s="17"/>
      <c r="F12" s="17"/>
      <c r="G12" s="18"/>
      <c r="H12" s="12">
        <v>0</v>
      </c>
      <c r="I12" s="7" t="s">
        <v>2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4">
        <f t="shared" si="0"/>
        <v>0</v>
      </c>
      <c r="Q12" s="1" t="s">
        <v>14</v>
      </c>
      <c r="R12" s="44">
        <v>200</v>
      </c>
      <c r="S12" s="47">
        <v>400</v>
      </c>
      <c r="T12" s="4"/>
    </row>
    <row r="13" spans="1:20" x14ac:dyDescent="0.25">
      <c r="A13" s="7">
        <v>10</v>
      </c>
      <c r="D13" s="9" t="s">
        <v>6</v>
      </c>
      <c r="E13" s="10"/>
      <c r="F13" s="10"/>
      <c r="G13" s="11"/>
      <c r="H13" s="12">
        <v>60</v>
      </c>
      <c r="I13" s="7" t="s">
        <v>2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4">
        <f t="shared" si="0"/>
        <v>60</v>
      </c>
      <c r="Q13" s="1" t="s">
        <v>14</v>
      </c>
      <c r="R13" s="44">
        <v>10</v>
      </c>
      <c r="S13" s="46">
        <v>100</v>
      </c>
      <c r="T13" s="4"/>
    </row>
    <row r="14" spans="1:20" x14ac:dyDescent="0.25">
      <c r="A14" s="7">
        <v>11</v>
      </c>
      <c r="D14" s="16" t="s">
        <v>7</v>
      </c>
      <c r="E14" s="17"/>
      <c r="F14" s="17"/>
      <c r="G14" s="18"/>
      <c r="H14" s="12">
        <v>21</v>
      </c>
      <c r="I14" s="7" t="s">
        <v>171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4">
        <f t="shared" si="0"/>
        <v>21</v>
      </c>
      <c r="Q14" s="1" t="s">
        <v>14</v>
      </c>
      <c r="R14" s="44">
        <v>20</v>
      </c>
      <c r="S14" s="47">
        <v>50</v>
      </c>
      <c r="T14" s="4"/>
    </row>
    <row r="15" spans="1:20" x14ac:dyDescent="0.25">
      <c r="A15" s="7">
        <v>12</v>
      </c>
      <c r="D15" s="9" t="s">
        <v>69</v>
      </c>
      <c r="E15" s="10"/>
      <c r="F15" s="10"/>
      <c r="G15" s="11"/>
      <c r="H15" s="12">
        <v>18</v>
      </c>
      <c r="I15" s="7" t="s">
        <v>171</v>
      </c>
      <c r="J15" s="3">
        <v>0</v>
      </c>
      <c r="K15" s="3">
        <v>0</v>
      </c>
      <c r="L15" s="3">
        <v>2</v>
      </c>
      <c r="M15" s="3">
        <v>0</v>
      </c>
      <c r="N15" s="3">
        <v>0</v>
      </c>
      <c r="O15" s="3">
        <v>0</v>
      </c>
      <c r="P15" s="4">
        <f t="shared" si="0"/>
        <v>16</v>
      </c>
      <c r="Q15" s="1" t="s">
        <v>14</v>
      </c>
      <c r="R15" s="44">
        <v>100</v>
      </c>
      <c r="S15" s="47">
        <v>200</v>
      </c>
      <c r="T15" s="4"/>
    </row>
    <row r="16" spans="1:20" x14ac:dyDescent="0.25">
      <c r="A16" s="7">
        <v>13</v>
      </c>
      <c r="D16" s="16" t="s">
        <v>27</v>
      </c>
      <c r="E16" s="17"/>
      <c r="F16" s="17"/>
      <c r="G16" s="18"/>
      <c r="H16" s="12">
        <v>0</v>
      </c>
      <c r="I16" s="7" t="s">
        <v>2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4">
        <f t="shared" si="0"/>
        <v>0</v>
      </c>
      <c r="Q16" s="1" t="s">
        <v>14</v>
      </c>
      <c r="R16" s="44">
        <v>0</v>
      </c>
      <c r="S16" s="46"/>
      <c r="T16" s="4"/>
    </row>
    <row r="17" spans="1:20" x14ac:dyDescent="0.25">
      <c r="A17" s="7">
        <v>14</v>
      </c>
      <c r="D17" s="9" t="s">
        <v>73</v>
      </c>
      <c r="E17" s="10"/>
      <c r="F17" s="10"/>
      <c r="G17" s="11"/>
      <c r="H17" s="12">
        <v>781</v>
      </c>
      <c r="I17" s="7" t="s">
        <v>2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4">
        <f t="shared" si="0"/>
        <v>781</v>
      </c>
      <c r="Q17" s="1" t="s">
        <v>14</v>
      </c>
      <c r="R17" s="44">
        <v>0</v>
      </c>
      <c r="S17" s="46"/>
      <c r="T17" s="4"/>
    </row>
    <row r="18" spans="1:20" x14ac:dyDescent="0.25">
      <c r="A18" s="7">
        <v>15</v>
      </c>
      <c r="D18" s="16" t="s">
        <v>28</v>
      </c>
      <c r="E18" s="17"/>
      <c r="F18" s="17"/>
      <c r="G18" s="18"/>
      <c r="H18" s="12">
        <v>71</v>
      </c>
      <c r="I18" s="7" t="s">
        <v>2</v>
      </c>
      <c r="J18" s="3">
        <v>0</v>
      </c>
      <c r="K18" s="3">
        <v>1</v>
      </c>
      <c r="L18" s="3">
        <v>9</v>
      </c>
      <c r="M18" s="3">
        <v>0</v>
      </c>
      <c r="N18" s="3">
        <v>0</v>
      </c>
      <c r="O18" s="3">
        <v>15</v>
      </c>
      <c r="P18" s="4">
        <f t="shared" si="0"/>
        <v>46</v>
      </c>
      <c r="Q18" s="1" t="s">
        <v>14</v>
      </c>
      <c r="R18" s="44">
        <v>20</v>
      </c>
      <c r="S18" s="47">
        <v>50</v>
      </c>
      <c r="T18" s="4"/>
    </row>
    <row r="19" spans="1:20" x14ac:dyDescent="0.25">
      <c r="A19" s="7">
        <v>16</v>
      </c>
      <c r="D19" s="9" t="s">
        <v>29</v>
      </c>
      <c r="E19" s="10"/>
      <c r="F19" s="10"/>
      <c r="G19" s="11"/>
      <c r="H19" s="12">
        <v>63</v>
      </c>
      <c r="I19" s="7" t="s">
        <v>2</v>
      </c>
      <c r="J19" s="3">
        <v>0</v>
      </c>
      <c r="K19" s="3">
        <v>1</v>
      </c>
      <c r="L19" s="3">
        <v>9</v>
      </c>
      <c r="M19" s="3">
        <v>0</v>
      </c>
      <c r="N19" s="3">
        <v>0</v>
      </c>
      <c r="O19" s="3">
        <v>15</v>
      </c>
      <c r="P19" s="4">
        <f t="shared" si="0"/>
        <v>38</v>
      </c>
      <c r="Q19" s="1" t="s">
        <v>14</v>
      </c>
      <c r="R19" s="44">
        <v>20</v>
      </c>
      <c r="S19" s="47">
        <v>50</v>
      </c>
      <c r="T19" s="4"/>
    </row>
    <row r="20" spans="1:20" x14ac:dyDescent="0.25">
      <c r="A20" s="7">
        <v>17</v>
      </c>
      <c r="D20" s="16" t="s">
        <v>30</v>
      </c>
      <c r="E20" s="17"/>
      <c r="F20" s="17"/>
      <c r="G20" s="18"/>
      <c r="H20" s="12">
        <v>81</v>
      </c>
      <c r="I20" s="7" t="s">
        <v>2</v>
      </c>
      <c r="J20" s="3">
        <v>0</v>
      </c>
      <c r="K20" s="3">
        <v>1</v>
      </c>
      <c r="L20" s="3">
        <v>9</v>
      </c>
      <c r="M20" s="3">
        <v>0</v>
      </c>
      <c r="N20" s="3">
        <v>0</v>
      </c>
      <c r="O20" s="3">
        <v>15</v>
      </c>
      <c r="P20" s="4">
        <f t="shared" si="0"/>
        <v>56</v>
      </c>
      <c r="Q20" s="1" t="s">
        <v>14</v>
      </c>
      <c r="R20" s="44">
        <v>20</v>
      </c>
      <c r="S20" s="47">
        <v>50</v>
      </c>
      <c r="T20" s="4"/>
    </row>
    <row r="21" spans="1:20" x14ac:dyDescent="0.25">
      <c r="A21" s="7">
        <v>18</v>
      </c>
      <c r="D21" s="9" t="s">
        <v>129</v>
      </c>
      <c r="E21" s="10"/>
      <c r="F21" s="10"/>
      <c r="G21" s="11"/>
      <c r="H21" s="12">
        <v>11</v>
      </c>
      <c r="I21" s="7" t="s">
        <v>2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4">
        <f t="shared" si="0"/>
        <v>11</v>
      </c>
      <c r="Q21" s="1" t="s">
        <v>14</v>
      </c>
      <c r="R21" s="44">
        <v>10</v>
      </c>
      <c r="S21" s="46">
        <v>50</v>
      </c>
      <c r="T21" s="4"/>
    </row>
    <row r="22" spans="1:20" x14ac:dyDescent="0.25">
      <c r="A22" s="7">
        <v>19</v>
      </c>
      <c r="D22" s="55" t="s">
        <v>164</v>
      </c>
      <c r="E22" s="56"/>
      <c r="F22" s="56"/>
      <c r="G22" s="57"/>
      <c r="H22" s="12">
        <v>40</v>
      </c>
      <c r="I22" s="59" t="s">
        <v>1</v>
      </c>
      <c r="J22" s="3">
        <v>400</v>
      </c>
      <c r="K22" s="3">
        <v>40</v>
      </c>
      <c r="L22" s="3">
        <v>50</v>
      </c>
      <c r="M22" s="3">
        <v>0</v>
      </c>
      <c r="N22" s="3">
        <v>0</v>
      </c>
      <c r="O22" s="3">
        <v>65</v>
      </c>
      <c r="P22" s="46">
        <f t="shared" si="0"/>
        <v>285</v>
      </c>
      <c r="Q22" s="1" t="s">
        <v>14</v>
      </c>
      <c r="R22" s="44">
        <v>50</v>
      </c>
      <c r="S22" s="47">
        <v>200</v>
      </c>
      <c r="T22" s="4"/>
    </row>
    <row r="23" spans="1:20" x14ac:dyDescent="0.25">
      <c r="A23" s="7">
        <v>20</v>
      </c>
      <c r="D23" s="9" t="s">
        <v>32</v>
      </c>
      <c r="E23" s="10"/>
      <c r="F23" s="10"/>
      <c r="G23" s="11"/>
      <c r="H23" s="12">
        <v>850</v>
      </c>
      <c r="I23" s="7" t="s">
        <v>2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4">
        <f t="shared" si="0"/>
        <v>850</v>
      </c>
      <c r="Q23" s="1" t="s">
        <v>14</v>
      </c>
      <c r="R23" s="44">
        <v>50</v>
      </c>
      <c r="S23" s="46">
        <v>200</v>
      </c>
      <c r="T23" s="4"/>
    </row>
    <row r="24" spans="1:20" x14ac:dyDescent="0.25">
      <c r="A24" s="7">
        <v>21</v>
      </c>
      <c r="D24" s="16" t="s">
        <v>140</v>
      </c>
      <c r="E24" s="17"/>
      <c r="F24" s="17"/>
      <c r="G24" s="18"/>
      <c r="H24" s="12">
        <v>102</v>
      </c>
      <c r="I24" s="7" t="s">
        <v>2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4">
        <f t="shared" si="0"/>
        <v>102</v>
      </c>
      <c r="Q24" s="1" t="s">
        <v>14</v>
      </c>
      <c r="R24" s="44">
        <v>10</v>
      </c>
      <c r="S24" s="46">
        <v>100</v>
      </c>
      <c r="T24" s="4"/>
    </row>
    <row r="25" spans="1:20" x14ac:dyDescent="0.25">
      <c r="A25" s="7">
        <v>22</v>
      </c>
      <c r="D25" s="9" t="s">
        <v>34</v>
      </c>
      <c r="E25" s="10"/>
      <c r="F25" s="10"/>
      <c r="G25" s="11"/>
      <c r="H25" s="12">
        <v>8</v>
      </c>
      <c r="I25" s="7" t="s">
        <v>2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4">
        <f t="shared" si="0"/>
        <v>8</v>
      </c>
      <c r="Q25" s="1" t="s">
        <v>14</v>
      </c>
      <c r="R25" s="44">
        <v>10</v>
      </c>
      <c r="S25" s="46">
        <v>50</v>
      </c>
      <c r="T25" s="4"/>
    </row>
    <row r="26" spans="1:20" x14ac:dyDescent="0.25">
      <c r="A26" s="7">
        <v>23</v>
      </c>
      <c r="D26" s="16" t="s">
        <v>142</v>
      </c>
      <c r="E26" s="17"/>
      <c r="F26" s="17"/>
      <c r="G26" s="18"/>
      <c r="H26" s="12">
        <v>44</v>
      </c>
      <c r="I26" s="7" t="s">
        <v>2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4">
        <f t="shared" si="0"/>
        <v>44</v>
      </c>
      <c r="Q26" s="1" t="s">
        <v>14</v>
      </c>
      <c r="R26" s="44">
        <v>20</v>
      </c>
      <c r="S26" s="47">
        <v>50</v>
      </c>
      <c r="T26" s="4"/>
    </row>
    <row r="27" spans="1:20" x14ac:dyDescent="0.25">
      <c r="A27" s="7">
        <v>24</v>
      </c>
      <c r="D27" s="9" t="s">
        <v>141</v>
      </c>
      <c r="E27" s="10"/>
      <c r="F27" s="10"/>
      <c r="G27" s="11"/>
      <c r="H27" s="12">
        <v>0</v>
      </c>
      <c r="I27" s="7" t="s">
        <v>2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  <c r="P27" s="4">
        <f t="shared" si="0"/>
        <v>0</v>
      </c>
      <c r="Q27" s="1"/>
      <c r="R27" s="44">
        <v>20</v>
      </c>
      <c r="S27" s="47">
        <v>50</v>
      </c>
      <c r="T27" s="4"/>
    </row>
    <row r="28" spans="1:20" x14ac:dyDescent="0.25">
      <c r="A28" s="7">
        <v>25</v>
      </c>
      <c r="D28" s="9" t="s">
        <v>137</v>
      </c>
      <c r="E28" s="10"/>
      <c r="F28" s="10"/>
      <c r="G28" s="11"/>
      <c r="H28" s="12">
        <v>87</v>
      </c>
      <c r="I28" s="7" t="s">
        <v>2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4">
        <f t="shared" si="0"/>
        <v>87</v>
      </c>
      <c r="Q28" s="1" t="s">
        <v>14</v>
      </c>
      <c r="R28" s="44">
        <v>20</v>
      </c>
      <c r="S28" s="47">
        <v>50</v>
      </c>
      <c r="T28" s="4"/>
    </row>
    <row r="29" spans="1:20" x14ac:dyDescent="0.25">
      <c r="A29" s="7">
        <v>26</v>
      </c>
      <c r="D29" s="9" t="s">
        <v>138</v>
      </c>
      <c r="E29" s="10"/>
      <c r="F29" s="10"/>
      <c r="G29" s="11"/>
      <c r="H29" s="12">
        <v>127</v>
      </c>
      <c r="I29" s="7" t="s">
        <v>2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4">
        <f t="shared" si="0"/>
        <v>127</v>
      </c>
      <c r="Q29" s="1"/>
      <c r="R29" s="44">
        <v>10</v>
      </c>
      <c r="S29" s="47">
        <v>50</v>
      </c>
      <c r="T29" s="4"/>
    </row>
    <row r="30" spans="1:20" x14ac:dyDescent="0.25">
      <c r="A30" s="7">
        <v>27</v>
      </c>
      <c r="D30" s="16" t="s">
        <v>35</v>
      </c>
      <c r="E30" s="17"/>
      <c r="F30" s="17"/>
      <c r="G30" s="18"/>
      <c r="H30" s="12">
        <v>263</v>
      </c>
      <c r="I30" s="7" t="s">
        <v>2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4">
        <f t="shared" si="0"/>
        <v>263</v>
      </c>
      <c r="Q30" s="1" t="s">
        <v>14</v>
      </c>
      <c r="R30" s="44">
        <v>50</v>
      </c>
      <c r="S30" s="47">
        <v>100</v>
      </c>
      <c r="T30" s="4"/>
    </row>
    <row r="31" spans="1:20" x14ac:dyDescent="0.25">
      <c r="A31" s="7">
        <v>28</v>
      </c>
      <c r="D31" s="9" t="s">
        <v>36</v>
      </c>
      <c r="E31" s="10"/>
      <c r="F31" s="10"/>
      <c r="G31" s="11"/>
      <c r="H31" s="12">
        <v>18</v>
      </c>
      <c r="I31" s="7" t="s">
        <v>2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4">
        <f t="shared" si="0"/>
        <v>18</v>
      </c>
      <c r="Q31" s="1" t="s">
        <v>14</v>
      </c>
      <c r="R31" s="44">
        <v>50</v>
      </c>
      <c r="S31" s="47">
        <v>100</v>
      </c>
      <c r="T31" s="4"/>
    </row>
    <row r="32" spans="1:20" x14ac:dyDescent="0.25">
      <c r="A32" s="7">
        <v>29</v>
      </c>
      <c r="D32" s="16" t="s">
        <v>37</v>
      </c>
      <c r="E32" s="17"/>
      <c r="F32" s="17"/>
      <c r="G32" s="18"/>
      <c r="H32" s="12">
        <v>178</v>
      </c>
      <c r="I32" s="7" t="s">
        <v>2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4">
        <f t="shared" si="0"/>
        <v>178</v>
      </c>
      <c r="Q32" s="1" t="s">
        <v>14</v>
      </c>
      <c r="R32" s="44">
        <v>20</v>
      </c>
      <c r="S32" s="47">
        <v>50</v>
      </c>
      <c r="T32" s="4"/>
    </row>
    <row r="33" spans="1:20" x14ac:dyDescent="0.25">
      <c r="A33" s="7">
        <v>30</v>
      </c>
      <c r="D33" s="9" t="s">
        <v>38</v>
      </c>
      <c r="E33" s="10"/>
      <c r="F33" s="10"/>
      <c r="G33" s="11"/>
      <c r="H33" s="12">
        <v>198</v>
      </c>
      <c r="I33" s="7" t="s">
        <v>2</v>
      </c>
      <c r="J33" s="3">
        <v>0</v>
      </c>
      <c r="K33" s="3">
        <v>0</v>
      </c>
      <c r="L33" s="3">
        <v>0</v>
      </c>
      <c r="M33" s="3">
        <v>13</v>
      </c>
      <c r="N33" s="3">
        <v>0</v>
      </c>
      <c r="O33" s="3">
        <v>6</v>
      </c>
      <c r="P33" s="4">
        <f t="shared" si="0"/>
        <v>179</v>
      </c>
      <c r="Q33" s="1" t="s">
        <v>14</v>
      </c>
      <c r="R33" s="44">
        <v>50</v>
      </c>
      <c r="S33" s="47">
        <v>100</v>
      </c>
      <c r="T33" s="4"/>
    </row>
    <row r="34" spans="1:20" x14ac:dyDescent="0.25">
      <c r="A34" s="7">
        <v>31</v>
      </c>
      <c r="D34" s="16" t="s">
        <v>39</v>
      </c>
      <c r="E34" s="17"/>
      <c r="F34" s="17"/>
      <c r="G34" s="18"/>
      <c r="H34" s="12">
        <v>51</v>
      </c>
      <c r="I34" s="7" t="s">
        <v>2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4">
        <f t="shared" si="0"/>
        <v>51</v>
      </c>
      <c r="Q34" s="1" t="s">
        <v>14</v>
      </c>
      <c r="R34" s="44">
        <v>20</v>
      </c>
      <c r="S34" s="47">
        <v>50</v>
      </c>
      <c r="T34" s="4"/>
    </row>
    <row r="35" spans="1:20" x14ac:dyDescent="0.25">
      <c r="A35" s="7">
        <v>32</v>
      </c>
      <c r="D35" s="9" t="s">
        <v>40</v>
      </c>
      <c r="E35" s="10"/>
      <c r="F35" s="10"/>
      <c r="G35" s="11"/>
      <c r="H35" s="12">
        <f>'ARALIK 3 HAFTA '!P33</f>
        <v>1075</v>
      </c>
      <c r="I35" s="7" t="s">
        <v>2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4">
        <f t="shared" si="0"/>
        <v>1075</v>
      </c>
      <c r="Q35" s="1" t="s">
        <v>14</v>
      </c>
      <c r="R35" s="44">
        <v>100</v>
      </c>
      <c r="S35" s="46">
        <v>300</v>
      </c>
      <c r="T35" s="4"/>
    </row>
    <row r="36" spans="1:20" x14ac:dyDescent="0.25">
      <c r="A36" s="7">
        <v>33</v>
      </c>
      <c r="D36" s="9" t="s">
        <v>9</v>
      </c>
      <c r="E36" s="10"/>
      <c r="F36" s="10"/>
      <c r="G36" s="11"/>
      <c r="H36" s="83">
        <v>99</v>
      </c>
      <c r="I36" s="7" t="s">
        <v>132</v>
      </c>
      <c r="J36" s="3">
        <v>80</v>
      </c>
      <c r="K36" s="3">
        <v>0</v>
      </c>
      <c r="L36" s="3">
        <v>0</v>
      </c>
      <c r="M36" s="3">
        <v>55</v>
      </c>
      <c r="N36" s="3">
        <v>0</v>
      </c>
      <c r="O36" s="3">
        <v>13</v>
      </c>
      <c r="P36" s="4">
        <f t="shared" si="0"/>
        <v>111</v>
      </c>
      <c r="Q36" s="1" t="s">
        <v>14</v>
      </c>
      <c r="R36" s="44">
        <v>50</v>
      </c>
      <c r="S36" s="47">
        <v>100</v>
      </c>
      <c r="T36" s="4"/>
    </row>
    <row r="37" spans="1:20" x14ac:dyDescent="0.25">
      <c r="A37" s="7">
        <v>34</v>
      </c>
      <c r="D37" s="19" t="s">
        <v>166</v>
      </c>
      <c r="E37" s="20"/>
      <c r="F37" s="20"/>
      <c r="G37" s="21"/>
      <c r="H37" s="69">
        <v>140</v>
      </c>
      <c r="I37" s="7" t="s">
        <v>2</v>
      </c>
      <c r="J37" s="3">
        <v>0</v>
      </c>
      <c r="K37" s="3">
        <v>4</v>
      </c>
      <c r="L37" s="3">
        <v>0</v>
      </c>
      <c r="M37" s="3">
        <v>55</v>
      </c>
      <c r="N37" s="3">
        <v>0</v>
      </c>
      <c r="O37" s="3">
        <v>13</v>
      </c>
      <c r="P37" s="4">
        <f t="shared" si="0"/>
        <v>68</v>
      </c>
      <c r="Q37" s="1" t="s">
        <v>14</v>
      </c>
      <c r="R37" s="44">
        <v>50</v>
      </c>
      <c r="S37" s="46">
        <v>200</v>
      </c>
      <c r="T37" s="4"/>
    </row>
    <row r="38" spans="1:20" x14ac:dyDescent="0.25">
      <c r="A38" s="7">
        <v>35</v>
      </c>
      <c r="D38" s="16" t="s">
        <v>143</v>
      </c>
      <c r="E38" s="17"/>
      <c r="F38" s="17"/>
      <c r="G38" s="18"/>
      <c r="H38" s="12">
        <v>98</v>
      </c>
      <c r="I38" s="7" t="s">
        <v>2</v>
      </c>
      <c r="J38" s="3">
        <v>70</v>
      </c>
      <c r="K38" s="3">
        <v>4</v>
      </c>
      <c r="L38" s="3">
        <v>0</v>
      </c>
      <c r="M38" s="3">
        <v>55</v>
      </c>
      <c r="N38" s="3">
        <v>0</v>
      </c>
      <c r="O38" s="3">
        <v>13</v>
      </c>
      <c r="P38" s="4">
        <f t="shared" si="0"/>
        <v>96</v>
      </c>
      <c r="Q38" s="1" t="s">
        <v>14</v>
      </c>
      <c r="R38" s="44">
        <v>50</v>
      </c>
      <c r="S38" s="46">
        <v>100</v>
      </c>
      <c r="T38" s="4"/>
    </row>
    <row r="39" spans="1:20" x14ac:dyDescent="0.25">
      <c r="A39" s="7">
        <v>36</v>
      </c>
      <c r="D39" s="9" t="s">
        <v>144</v>
      </c>
      <c r="E39" s="10"/>
      <c r="F39" s="10"/>
      <c r="G39" s="11"/>
      <c r="H39" s="12">
        <v>95</v>
      </c>
      <c r="I39" s="7" t="s">
        <v>2</v>
      </c>
      <c r="J39" s="3">
        <v>100</v>
      </c>
      <c r="K39" s="3">
        <v>4</v>
      </c>
      <c r="L39" s="3">
        <v>0</v>
      </c>
      <c r="M39" s="3">
        <v>55</v>
      </c>
      <c r="N39" s="3">
        <v>0</v>
      </c>
      <c r="O39" s="3">
        <v>13</v>
      </c>
      <c r="P39" s="4">
        <f t="shared" si="0"/>
        <v>123</v>
      </c>
      <c r="Q39" s="1" t="s">
        <v>14</v>
      </c>
      <c r="R39" s="44">
        <v>50</v>
      </c>
      <c r="S39" s="47">
        <v>100</v>
      </c>
      <c r="T39" s="4"/>
    </row>
    <row r="40" spans="1:20" x14ac:dyDescent="0.25">
      <c r="A40" s="7">
        <v>37</v>
      </c>
      <c r="D40" s="16" t="s">
        <v>42</v>
      </c>
      <c r="E40" s="17"/>
      <c r="F40" s="17"/>
      <c r="G40" s="18"/>
      <c r="H40" s="12">
        <v>78</v>
      </c>
      <c r="I40" s="7" t="s">
        <v>2</v>
      </c>
      <c r="J40" s="3">
        <v>100</v>
      </c>
      <c r="K40" s="3">
        <v>4</v>
      </c>
      <c r="L40" s="3">
        <v>0</v>
      </c>
      <c r="M40" s="3">
        <v>55</v>
      </c>
      <c r="N40" s="3">
        <v>0</v>
      </c>
      <c r="O40" s="3">
        <v>13</v>
      </c>
      <c r="P40" s="4">
        <f t="shared" si="0"/>
        <v>106</v>
      </c>
      <c r="Q40" s="1" t="s">
        <v>14</v>
      </c>
      <c r="R40" s="44">
        <v>50</v>
      </c>
      <c r="S40" s="47">
        <v>100</v>
      </c>
      <c r="T40" s="4"/>
    </row>
    <row r="41" spans="1:20" x14ac:dyDescent="0.25">
      <c r="A41" s="7">
        <v>38</v>
      </c>
      <c r="D41" s="9" t="s">
        <v>133</v>
      </c>
      <c r="E41" s="10"/>
      <c r="F41" s="10"/>
      <c r="G41" s="11"/>
      <c r="H41" s="12">
        <v>139</v>
      </c>
      <c r="I41" s="7" t="s">
        <v>2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4">
        <f t="shared" si="0"/>
        <v>139</v>
      </c>
      <c r="Q41" s="1" t="s">
        <v>14</v>
      </c>
      <c r="R41" s="44">
        <v>20</v>
      </c>
      <c r="S41" s="47">
        <v>50</v>
      </c>
      <c r="T41" s="4"/>
    </row>
    <row r="42" spans="1:20" x14ac:dyDescent="0.25">
      <c r="A42" s="7">
        <v>39</v>
      </c>
      <c r="D42" s="16" t="s">
        <v>145</v>
      </c>
      <c r="E42" s="17"/>
      <c r="F42" s="17"/>
      <c r="G42" s="18"/>
      <c r="H42" s="12">
        <v>139</v>
      </c>
      <c r="I42" s="7" t="s">
        <v>2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4">
        <f t="shared" si="0"/>
        <v>139</v>
      </c>
      <c r="Q42" s="1" t="s">
        <v>14</v>
      </c>
      <c r="R42" s="44">
        <v>20</v>
      </c>
      <c r="S42" s="46">
        <v>50</v>
      </c>
      <c r="T42" s="4"/>
    </row>
    <row r="43" spans="1:20" x14ac:dyDescent="0.25">
      <c r="A43" s="7">
        <v>40</v>
      </c>
      <c r="D43" s="9" t="s">
        <v>71</v>
      </c>
      <c r="E43" s="10"/>
      <c r="F43" s="10"/>
      <c r="G43" s="11"/>
      <c r="H43" s="12">
        <v>0</v>
      </c>
      <c r="I43" s="7" t="s">
        <v>2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4">
        <f t="shared" si="0"/>
        <v>0</v>
      </c>
      <c r="Q43" s="1" t="s">
        <v>14</v>
      </c>
      <c r="R43" s="44">
        <v>5</v>
      </c>
      <c r="S43" s="47">
        <v>10</v>
      </c>
      <c r="T43" s="4"/>
    </row>
    <row r="44" spans="1:20" x14ac:dyDescent="0.25">
      <c r="A44" s="7">
        <v>41</v>
      </c>
      <c r="D44" s="16" t="s">
        <v>10</v>
      </c>
      <c r="E44" s="17"/>
      <c r="F44" s="17"/>
      <c r="G44" s="18"/>
      <c r="H44" s="12">
        <v>128</v>
      </c>
      <c r="I44" s="7" t="s">
        <v>2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4">
        <f t="shared" si="0"/>
        <v>128</v>
      </c>
      <c r="Q44" s="1" t="s">
        <v>14</v>
      </c>
      <c r="R44" s="44">
        <v>40</v>
      </c>
      <c r="S44" s="47">
        <v>100</v>
      </c>
      <c r="T44" s="4"/>
    </row>
    <row r="45" spans="1:20" x14ac:dyDescent="0.25">
      <c r="A45" s="7">
        <v>42</v>
      </c>
      <c r="D45" s="9" t="s">
        <v>45</v>
      </c>
      <c r="E45" s="10"/>
      <c r="F45" s="10"/>
      <c r="G45" s="11"/>
      <c r="H45" s="12">
        <v>61</v>
      </c>
      <c r="I45" s="7" t="s">
        <v>2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4">
        <f t="shared" si="0"/>
        <v>61</v>
      </c>
      <c r="Q45" s="1" t="s">
        <v>14</v>
      </c>
      <c r="R45" s="44">
        <v>20</v>
      </c>
      <c r="S45" s="47">
        <v>50</v>
      </c>
      <c r="T45" s="4"/>
    </row>
    <row r="46" spans="1:20" x14ac:dyDescent="0.25">
      <c r="A46" s="7">
        <v>43</v>
      </c>
      <c r="D46" s="16" t="s">
        <v>46</v>
      </c>
      <c r="E46" s="17"/>
      <c r="F46" s="17"/>
      <c r="G46" s="18"/>
      <c r="H46" s="12">
        <v>43</v>
      </c>
      <c r="I46" s="7" t="s">
        <v>2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4">
        <f t="shared" si="0"/>
        <v>43</v>
      </c>
      <c r="Q46" s="1" t="s">
        <v>14</v>
      </c>
      <c r="R46" s="44">
        <v>20</v>
      </c>
      <c r="S46" s="47">
        <v>50</v>
      </c>
      <c r="T46" s="4"/>
    </row>
    <row r="47" spans="1:20" x14ac:dyDescent="0.25">
      <c r="A47" s="7">
        <v>44</v>
      </c>
      <c r="D47" s="9" t="s">
        <v>47</v>
      </c>
      <c r="E47" s="10"/>
      <c r="F47" s="10"/>
      <c r="G47" s="11"/>
      <c r="H47" s="12">
        <v>41</v>
      </c>
      <c r="I47" s="7" t="s">
        <v>2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4">
        <f t="shared" si="0"/>
        <v>41</v>
      </c>
      <c r="Q47" s="1" t="s">
        <v>14</v>
      </c>
      <c r="R47" s="44">
        <v>20</v>
      </c>
      <c r="S47" s="47">
        <v>50</v>
      </c>
      <c r="T47" s="4"/>
    </row>
    <row r="48" spans="1:20" x14ac:dyDescent="0.25">
      <c r="A48" s="7">
        <v>45</v>
      </c>
      <c r="D48" s="16" t="s">
        <v>79</v>
      </c>
      <c r="E48" s="17"/>
      <c r="F48" s="17"/>
      <c r="G48" s="18"/>
      <c r="H48" s="12">
        <v>1</v>
      </c>
      <c r="I48" s="7" t="s">
        <v>2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1</v>
      </c>
      <c r="P48" s="4">
        <f t="shared" si="0"/>
        <v>0</v>
      </c>
      <c r="Q48" s="1" t="s">
        <v>14</v>
      </c>
      <c r="R48" s="44">
        <v>10</v>
      </c>
      <c r="S48" s="47">
        <v>20</v>
      </c>
      <c r="T48" s="4"/>
    </row>
    <row r="49" spans="1:20" x14ac:dyDescent="0.25">
      <c r="A49" s="7">
        <v>46</v>
      </c>
      <c r="D49" s="9" t="s">
        <v>48</v>
      </c>
      <c r="E49" s="10"/>
      <c r="F49" s="10"/>
      <c r="G49" s="11"/>
      <c r="H49" s="12">
        <v>60</v>
      </c>
      <c r="I49" s="7" t="s">
        <v>2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1</v>
      </c>
      <c r="P49" s="4">
        <f t="shared" si="0"/>
        <v>59</v>
      </c>
      <c r="Q49" s="1" t="s">
        <v>14</v>
      </c>
      <c r="R49" s="44">
        <v>10</v>
      </c>
      <c r="S49" s="47">
        <v>20</v>
      </c>
      <c r="T49" s="4" t="s">
        <v>14</v>
      </c>
    </row>
    <row r="50" spans="1:20" x14ac:dyDescent="0.25">
      <c r="A50" s="7">
        <v>47</v>
      </c>
      <c r="D50" s="16" t="s">
        <v>49</v>
      </c>
      <c r="E50" s="17"/>
      <c r="F50" s="17"/>
      <c r="G50" s="18"/>
      <c r="H50" s="12">
        <v>107</v>
      </c>
      <c r="I50" s="7" t="s">
        <v>2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1</v>
      </c>
      <c r="P50" s="4">
        <f t="shared" si="0"/>
        <v>106</v>
      </c>
      <c r="Q50" s="1" t="s">
        <v>14</v>
      </c>
      <c r="R50" s="44">
        <v>10</v>
      </c>
      <c r="S50" s="47">
        <v>20</v>
      </c>
      <c r="T50" s="4"/>
    </row>
    <row r="51" spans="1:20" x14ac:dyDescent="0.25">
      <c r="A51" s="7">
        <v>48</v>
      </c>
      <c r="D51" s="9" t="s">
        <v>169</v>
      </c>
      <c r="E51" s="10"/>
      <c r="F51" s="10"/>
      <c r="G51" s="11"/>
      <c r="H51" s="12">
        <v>30</v>
      </c>
      <c r="I51" s="7" t="s">
        <v>1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4">
        <f t="shared" si="0"/>
        <v>30</v>
      </c>
      <c r="Q51" s="1" t="s">
        <v>14</v>
      </c>
      <c r="R51" s="44">
        <v>20</v>
      </c>
      <c r="S51" s="47">
        <v>100</v>
      </c>
      <c r="T51" s="4"/>
    </row>
    <row r="52" spans="1:20" x14ac:dyDescent="0.25">
      <c r="A52" s="7">
        <v>49</v>
      </c>
      <c r="D52" s="88"/>
      <c r="E52" s="89"/>
      <c r="F52" s="90" t="s">
        <v>111</v>
      </c>
      <c r="G52" s="87"/>
      <c r="H52" s="12">
        <v>256</v>
      </c>
      <c r="I52" s="7" t="s">
        <v>2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4">
        <f t="shared" si="0"/>
        <v>256</v>
      </c>
      <c r="Q52" s="1" t="s">
        <v>14</v>
      </c>
      <c r="R52" s="44">
        <v>30</v>
      </c>
      <c r="S52" s="47">
        <v>100</v>
      </c>
      <c r="T52" s="4"/>
    </row>
    <row r="53" spans="1:20" x14ac:dyDescent="0.25">
      <c r="A53" s="7">
        <v>50</v>
      </c>
      <c r="D53" s="9" t="s">
        <v>51</v>
      </c>
      <c r="E53" s="10"/>
      <c r="F53" s="10"/>
      <c r="G53" s="11"/>
      <c r="H53" s="12">
        <v>50</v>
      </c>
      <c r="I53" s="7" t="s">
        <v>2</v>
      </c>
      <c r="J53" s="3">
        <v>0</v>
      </c>
      <c r="K53" s="3">
        <v>0</v>
      </c>
      <c r="L53" s="3">
        <v>0</v>
      </c>
      <c r="M53" s="3">
        <v>27</v>
      </c>
      <c r="N53" s="3">
        <v>0</v>
      </c>
      <c r="O53" s="3">
        <v>5</v>
      </c>
      <c r="P53" s="4">
        <f t="shared" si="0"/>
        <v>18</v>
      </c>
      <c r="Q53" s="1" t="s">
        <v>14</v>
      </c>
      <c r="R53" s="44">
        <v>20</v>
      </c>
      <c r="S53" s="47">
        <v>50</v>
      </c>
      <c r="T53" s="4"/>
    </row>
    <row r="54" spans="1:20" x14ac:dyDescent="0.25">
      <c r="A54" s="7">
        <v>51</v>
      </c>
      <c r="D54" s="16" t="s">
        <v>52</v>
      </c>
      <c r="E54" s="17"/>
      <c r="F54" s="17"/>
      <c r="G54" s="18"/>
      <c r="H54" s="12">
        <v>56</v>
      </c>
      <c r="I54" s="7" t="s">
        <v>2</v>
      </c>
      <c r="J54" s="3">
        <v>0</v>
      </c>
      <c r="K54" s="3">
        <v>0</v>
      </c>
      <c r="L54" s="3">
        <v>0</v>
      </c>
      <c r="M54" s="3">
        <v>17</v>
      </c>
      <c r="N54" s="3">
        <v>0</v>
      </c>
      <c r="O54" s="3">
        <v>5</v>
      </c>
      <c r="P54" s="4">
        <f t="shared" si="0"/>
        <v>34</v>
      </c>
      <c r="Q54" s="1" t="s">
        <v>14</v>
      </c>
      <c r="R54" s="44">
        <v>20</v>
      </c>
      <c r="S54" s="47">
        <v>50</v>
      </c>
      <c r="T54" s="4" t="s">
        <v>14</v>
      </c>
    </row>
    <row r="55" spans="1:20" x14ac:dyDescent="0.25">
      <c r="A55" s="7">
        <v>52</v>
      </c>
      <c r="D55" s="9" t="s">
        <v>53</v>
      </c>
      <c r="E55" s="10"/>
      <c r="F55" s="10"/>
      <c r="G55" s="11"/>
      <c r="H55" s="12">
        <v>60</v>
      </c>
      <c r="I55" s="7" t="s">
        <v>2</v>
      </c>
      <c r="J55" s="3">
        <v>0</v>
      </c>
      <c r="K55" s="3">
        <v>0</v>
      </c>
      <c r="L55" s="3">
        <v>0</v>
      </c>
      <c r="M55" s="3">
        <v>17</v>
      </c>
      <c r="N55" s="3">
        <v>0</v>
      </c>
      <c r="O55" s="3">
        <v>5</v>
      </c>
      <c r="P55" s="4">
        <f t="shared" si="0"/>
        <v>38</v>
      </c>
      <c r="Q55" s="1" t="s">
        <v>14</v>
      </c>
      <c r="R55" s="44">
        <v>20</v>
      </c>
      <c r="S55" s="47">
        <v>50</v>
      </c>
      <c r="T55" s="4"/>
    </row>
    <row r="56" spans="1:20" x14ac:dyDescent="0.25">
      <c r="A56" s="7">
        <v>53</v>
      </c>
      <c r="D56" s="70" t="s">
        <v>54</v>
      </c>
      <c r="E56" s="71"/>
      <c r="F56" s="71"/>
      <c r="G56" s="72"/>
      <c r="H56" s="12">
        <v>1620</v>
      </c>
      <c r="I56" s="7" t="s">
        <v>1</v>
      </c>
      <c r="J56" s="3">
        <v>0</v>
      </c>
      <c r="K56" s="3">
        <v>90</v>
      </c>
      <c r="L56" s="3">
        <v>60</v>
      </c>
      <c r="M56" s="3">
        <v>105</v>
      </c>
      <c r="N56" s="3">
        <v>0</v>
      </c>
      <c r="O56" s="3">
        <v>105</v>
      </c>
      <c r="P56" s="4">
        <f t="shared" si="0"/>
        <v>1260</v>
      </c>
      <c r="Q56" s="1" t="s">
        <v>120</v>
      </c>
      <c r="R56" s="44">
        <v>250</v>
      </c>
      <c r="S56" s="47">
        <v>750</v>
      </c>
      <c r="T56" s="4"/>
    </row>
    <row r="57" spans="1:20" x14ac:dyDescent="0.25">
      <c r="A57" s="7">
        <v>54</v>
      </c>
      <c r="D57" s="16" t="s">
        <v>61</v>
      </c>
      <c r="E57" s="17"/>
      <c r="F57" s="17"/>
      <c r="G57" s="18"/>
      <c r="H57" s="12">
        <v>246</v>
      </c>
      <c r="I57" s="7" t="s">
        <v>2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  <c r="P57" s="4">
        <f t="shared" si="0"/>
        <v>246</v>
      </c>
      <c r="Q57" s="1" t="s">
        <v>14</v>
      </c>
      <c r="R57" s="44">
        <v>10</v>
      </c>
      <c r="S57" s="46">
        <v>200</v>
      </c>
      <c r="T57" s="4"/>
    </row>
    <row r="58" spans="1:20" x14ac:dyDescent="0.25">
      <c r="A58" s="7">
        <v>55</v>
      </c>
      <c r="D58" s="9" t="s">
        <v>62</v>
      </c>
      <c r="E58" s="10"/>
      <c r="F58" s="10"/>
      <c r="G58" s="11"/>
      <c r="H58" s="12">
        <v>2976</v>
      </c>
      <c r="I58" s="7" t="s">
        <v>2</v>
      </c>
      <c r="J58" s="3">
        <v>0</v>
      </c>
      <c r="K58" s="3">
        <v>149</v>
      </c>
      <c r="L58" s="3">
        <v>54</v>
      </c>
      <c r="M58" s="3">
        <v>639</v>
      </c>
      <c r="N58" s="3">
        <v>0</v>
      </c>
      <c r="O58" s="3">
        <v>300</v>
      </c>
      <c r="P58" s="4">
        <f t="shared" si="0"/>
        <v>1834</v>
      </c>
      <c r="Q58" s="1" t="s">
        <v>14</v>
      </c>
      <c r="R58" s="44">
        <v>200</v>
      </c>
      <c r="S58" s="47">
        <v>1000</v>
      </c>
      <c r="T58" s="4"/>
    </row>
    <row r="59" spans="1:20" x14ac:dyDescent="0.25">
      <c r="A59" s="7">
        <v>56</v>
      </c>
      <c r="D59" s="16" t="s">
        <v>13</v>
      </c>
      <c r="E59" s="17"/>
      <c r="F59" s="17"/>
      <c r="G59" s="18"/>
      <c r="H59" s="12">
        <v>291</v>
      </c>
      <c r="I59" s="7" t="s">
        <v>2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13</v>
      </c>
      <c r="P59" s="4">
        <f t="shared" si="0"/>
        <v>278</v>
      </c>
      <c r="Q59" s="1" t="s">
        <v>14</v>
      </c>
      <c r="R59" s="44">
        <v>100</v>
      </c>
      <c r="S59" s="47">
        <v>300</v>
      </c>
      <c r="T59" s="4"/>
    </row>
    <row r="60" spans="1:20" x14ac:dyDescent="0.25">
      <c r="A60" s="7">
        <v>57</v>
      </c>
      <c r="D60" s="9" t="s">
        <v>72</v>
      </c>
      <c r="E60" s="10"/>
      <c r="F60" s="10"/>
      <c r="G60" s="11"/>
      <c r="H60" s="12">
        <v>134</v>
      </c>
      <c r="I60" s="7" t="s">
        <v>2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4">
        <f t="shared" si="0"/>
        <v>134</v>
      </c>
      <c r="Q60" s="1" t="s">
        <v>14</v>
      </c>
      <c r="R60" s="44">
        <v>100</v>
      </c>
      <c r="S60" s="47">
        <v>300</v>
      </c>
      <c r="T60" s="4"/>
    </row>
    <row r="61" spans="1:20" x14ac:dyDescent="0.25">
      <c r="A61" s="7">
        <v>58</v>
      </c>
      <c r="D61" s="16" t="s">
        <v>63</v>
      </c>
      <c r="E61" s="17"/>
      <c r="F61" s="17"/>
      <c r="G61" s="18"/>
      <c r="H61" s="12">
        <v>14</v>
      </c>
      <c r="I61" s="7" t="s">
        <v>2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4">
        <f t="shared" si="0"/>
        <v>14</v>
      </c>
      <c r="Q61" s="1" t="s">
        <v>14</v>
      </c>
      <c r="R61" s="44">
        <v>100</v>
      </c>
      <c r="S61" s="47">
        <v>300</v>
      </c>
      <c r="T61" s="4"/>
    </row>
    <row r="62" spans="1:20" x14ac:dyDescent="0.25">
      <c r="A62" s="7">
        <v>59</v>
      </c>
      <c r="D62" s="9" t="s">
        <v>77</v>
      </c>
      <c r="E62" s="10"/>
      <c r="F62" s="10"/>
      <c r="G62" s="11"/>
      <c r="H62" s="12">
        <v>504</v>
      </c>
      <c r="I62" s="7" t="s">
        <v>2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4">
        <f t="shared" si="0"/>
        <v>504</v>
      </c>
      <c r="Q62" s="1" t="s">
        <v>14</v>
      </c>
      <c r="R62" s="44">
        <v>100</v>
      </c>
      <c r="S62" s="47">
        <v>300</v>
      </c>
      <c r="T62" s="4"/>
    </row>
    <row r="63" spans="1:20" x14ac:dyDescent="0.25">
      <c r="A63" s="7">
        <v>60</v>
      </c>
      <c r="D63" s="16" t="s">
        <v>130</v>
      </c>
      <c r="E63" s="17"/>
      <c r="F63" s="17"/>
      <c r="G63" s="18"/>
      <c r="H63" s="12">
        <v>201</v>
      </c>
      <c r="I63" s="7" t="s">
        <v>2</v>
      </c>
      <c r="J63" s="3">
        <v>0</v>
      </c>
      <c r="K63" s="3">
        <v>3</v>
      </c>
      <c r="L63" s="3">
        <v>0</v>
      </c>
      <c r="M63" s="3">
        <v>0</v>
      </c>
      <c r="N63" s="3">
        <v>0</v>
      </c>
      <c r="O63" s="3">
        <v>0</v>
      </c>
      <c r="P63" s="4">
        <f t="shared" si="0"/>
        <v>198</v>
      </c>
      <c r="Q63" s="1" t="s">
        <v>14</v>
      </c>
      <c r="R63" s="44">
        <v>20</v>
      </c>
      <c r="S63" s="46">
        <v>200</v>
      </c>
      <c r="T63" s="4"/>
    </row>
    <row r="64" spans="1:20" x14ac:dyDescent="0.25">
      <c r="A64" s="7">
        <v>61</v>
      </c>
      <c r="D64" s="26" t="s">
        <v>146</v>
      </c>
      <c r="E64" s="27"/>
      <c r="F64" s="27"/>
      <c r="G64" s="28"/>
      <c r="H64" s="12">
        <v>1</v>
      </c>
      <c r="I64" s="30" t="s">
        <v>2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4">
        <f t="shared" si="0"/>
        <v>1</v>
      </c>
      <c r="Q64" s="1" t="s">
        <v>14</v>
      </c>
      <c r="R64" s="44">
        <v>50</v>
      </c>
      <c r="S64" s="47">
        <v>100</v>
      </c>
      <c r="T64" s="4"/>
    </row>
    <row r="65" spans="1:20" x14ac:dyDescent="0.25">
      <c r="A65" s="7">
        <v>62</v>
      </c>
      <c r="D65" s="16" t="s">
        <v>65</v>
      </c>
      <c r="E65" s="17"/>
      <c r="F65" s="17"/>
      <c r="G65" s="18"/>
      <c r="H65" s="12">
        <v>54</v>
      </c>
      <c r="I65" s="7" t="s">
        <v>2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4">
        <f t="shared" si="0"/>
        <v>54</v>
      </c>
      <c r="Q65" s="1" t="s">
        <v>14</v>
      </c>
      <c r="R65" s="44">
        <v>10</v>
      </c>
      <c r="S65" s="46">
        <v>50</v>
      </c>
      <c r="T65" s="4"/>
    </row>
    <row r="66" spans="1:20" x14ac:dyDescent="0.25">
      <c r="A66" s="7">
        <v>63</v>
      </c>
      <c r="D66" s="9" t="s">
        <v>66</v>
      </c>
      <c r="E66" s="10"/>
      <c r="F66" s="10"/>
      <c r="G66" s="11"/>
      <c r="H66" s="12">
        <v>50</v>
      </c>
      <c r="I66" s="7" t="s">
        <v>2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  <c r="P66" s="4">
        <f t="shared" si="0"/>
        <v>50</v>
      </c>
      <c r="Q66" s="1" t="s">
        <v>14</v>
      </c>
      <c r="R66" s="44">
        <v>300</v>
      </c>
      <c r="S66" s="47">
        <v>1000</v>
      </c>
      <c r="T66" s="4"/>
    </row>
    <row r="67" spans="1:20" x14ac:dyDescent="0.25">
      <c r="A67" s="7">
        <v>64</v>
      </c>
      <c r="D67" s="19" t="s">
        <v>165</v>
      </c>
      <c r="E67" s="20"/>
      <c r="F67" s="20"/>
      <c r="G67" s="21"/>
      <c r="H67" s="12">
        <v>79</v>
      </c>
      <c r="I67" s="7" t="s">
        <v>2</v>
      </c>
      <c r="J67" s="3">
        <v>0</v>
      </c>
      <c r="K67" s="3">
        <v>3</v>
      </c>
      <c r="L67" s="3">
        <v>0</v>
      </c>
      <c r="M67" s="3">
        <v>0</v>
      </c>
      <c r="N67" s="3">
        <v>0</v>
      </c>
      <c r="O67" s="3">
        <v>0</v>
      </c>
      <c r="P67" s="4">
        <f t="shared" si="0"/>
        <v>76</v>
      </c>
      <c r="Q67" s="1" t="s">
        <v>14</v>
      </c>
      <c r="R67" s="44">
        <v>50</v>
      </c>
      <c r="S67" s="47">
        <v>150</v>
      </c>
      <c r="T67" s="4"/>
    </row>
    <row r="68" spans="1:20" x14ac:dyDescent="0.25">
      <c r="A68" s="7">
        <v>65</v>
      </c>
      <c r="D68" s="22" t="s">
        <v>74</v>
      </c>
      <c r="E68" s="10"/>
      <c r="F68" s="10"/>
      <c r="G68" s="11"/>
      <c r="H68" s="12">
        <v>520</v>
      </c>
      <c r="I68" s="8" t="s">
        <v>75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4">
        <f t="shared" ref="P68:P89" si="1">+H68+J68-K68-L68-M68-N68-O68</f>
        <v>520</v>
      </c>
      <c r="Q68" s="1" t="s">
        <v>91</v>
      </c>
      <c r="R68" s="44">
        <v>65</v>
      </c>
      <c r="S68" s="47">
        <v>150</v>
      </c>
      <c r="T68" s="4"/>
    </row>
    <row r="69" spans="1:20" x14ac:dyDescent="0.25">
      <c r="A69" s="7">
        <v>66</v>
      </c>
      <c r="C69" s="1" t="s">
        <v>14</v>
      </c>
      <c r="D69" s="22" t="s">
        <v>76</v>
      </c>
      <c r="E69" s="10"/>
      <c r="F69" s="10"/>
      <c r="G69" s="11"/>
      <c r="H69" s="12">
        <v>240</v>
      </c>
      <c r="I69" s="8" t="s">
        <v>2</v>
      </c>
      <c r="J69" s="3">
        <v>0</v>
      </c>
      <c r="K69" s="3">
        <v>0</v>
      </c>
      <c r="L69" s="3">
        <v>8</v>
      </c>
      <c r="M69" s="3">
        <v>0</v>
      </c>
      <c r="N69" s="3">
        <v>0</v>
      </c>
      <c r="O69" s="3">
        <v>0</v>
      </c>
      <c r="P69" s="4">
        <f t="shared" si="1"/>
        <v>232</v>
      </c>
      <c r="Q69" s="1" t="s">
        <v>14</v>
      </c>
      <c r="R69" s="44">
        <v>50</v>
      </c>
      <c r="S69" s="47">
        <v>100</v>
      </c>
      <c r="T69" s="4"/>
    </row>
    <row r="70" spans="1:20" x14ac:dyDescent="0.25">
      <c r="A70" s="7">
        <v>67</v>
      </c>
      <c r="D70" s="25" t="s">
        <v>147</v>
      </c>
      <c r="H70" s="12">
        <v>622</v>
      </c>
      <c r="I70" s="30" t="s">
        <v>2</v>
      </c>
      <c r="J70" s="3">
        <v>0</v>
      </c>
      <c r="K70" s="3">
        <v>0</v>
      </c>
      <c r="L70" s="3">
        <v>0</v>
      </c>
      <c r="M70" s="3">
        <v>13</v>
      </c>
      <c r="N70" s="3">
        <v>0</v>
      </c>
      <c r="O70" s="3">
        <v>6</v>
      </c>
      <c r="P70" s="4">
        <f t="shared" si="1"/>
        <v>603</v>
      </c>
      <c r="Q70" s="1" t="s">
        <v>14</v>
      </c>
      <c r="R70" s="44">
        <v>50</v>
      </c>
      <c r="S70" s="47">
        <v>100</v>
      </c>
      <c r="T70" s="4"/>
    </row>
    <row r="71" spans="1:20" x14ac:dyDescent="0.25">
      <c r="A71" s="7">
        <v>68</v>
      </c>
      <c r="D71" s="26" t="s">
        <v>80</v>
      </c>
      <c r="E71" s="27"/>
      <c r="F71" s="27"/>
      <c r="G71" s="28"/>
      <c r="H71" s="12">
        <v>84</v>
      </c>
      <c r="I71" s="8" t="s">
        <v>2</v>
      </c>
      <c r="J71" s="3">
        <v>0</v>
      </c>
      <c r="K71" s="3">
        <v>1</v>
      </c>
      <c r="L71" s="3">
        <v>0</v>
      </c>
      <c r="M71" s="3">
        <v>0</v>
      </c>
      <c r="N71" s="3">
        <v>0</v>
      </c>
      <c r="O71" s="3">
        <v>0</v>
      </c>
      <c r="P71" s="4">
        <f t="shared" si="1"/>
        <v>83</v>
      </c>
      <c r="Q71" s="1" t="s">
        <v>14</v>
      </c>
      <c r="R71" s="44">
        <v>20</v>
      </c>
      <c r="S71" s="46">
        <v>200</v>
      </c>
      <c r="T71" s="4"/>
    </row>
    <row r="72" spans="1:20" x14ac:dyDescent="0.25">
      <c r="A72" s="7">
        <v>69</v>
      </c>
      <c r="D72" s="26" t="s">
        <v>84</v>
      </c>
      <c r="E72" s="27"/>
      <c r="F72" s="27"/>
      <c r="G72" s="28"/>
      <c r="H72" s="12">
        <v>0</v>
      </c>
      <c r="I72" s="8" t="s">
        <v>2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  <c r="P72" s="4">
        <f t="shared" si="1"/>
        <v>0</v>
      </c>
      <c r="Q72" s="1" t="s">
        <v>14</v>
      </c>
      <c r="R72" s="44">
        <v>100</v>
      </c>
      <c r="S72" s="47">
        <v>200</v>
      </c>
      <c r="T72" s="4"/>
    </row>
    <row r="73" spans="1:20" x14ac:dyDescent="0.25">
      <c r="A73" s="7">
        <v>70</v>
      </c>
      <c r="D73" s="26" t="s">
        <v>167</v>
      </c>
      <c r="E73" s="27"/>
      <c r="F73" s="27"/>
      <c r="G73" s="28"/>
      <c r="H73" s="12">
        <v>85</v>
      </c>
      <c r="I73" s="8" t="s">
        <v>2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4">
        <f t="shared" si="1"/>
        <v>85</v>
      </c>
      <c r="R73" s="44">
        <v>20</v>
      </c>
      <c r="S73" s="46">
        <v>200</v>
      </c>
      <c r="T73" s="4"/>
    </row>
    <row r="74" spans="1:20" x14ac:dyDescent="0.25">
      <c r="A74" s="7">
        <v>71</v>
      </c>
      <c r="D74" s="37" t="s">
        <v>14</v>
      </c>
      <c r="E74" s="17"/>
      <c r="F74" s="33"/>
      <c r="G74" s="33"/>
      <c r="H74" s="12">
        <v>0</v>
      </c>
      <c r="I74" s="8" t="s">
        <v>14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4">
        <f t="shared" si="1"/>
        <v>0</v>
      </c>
      <c r="Q74" s="1" t="s">
        <v>14</v>
      </c>
      <c r="R74" s="44">
        <v>100</v>
      </c>
      <c r="S74" s="47">
        <v>500</v>
      </c>
      <c r="T74" s="4"/>
    </row>
    <row r="75" spans="1:20" x14ac:dyDescent="0.25">
      <c r="A75" s="7">
        <v>72</v>
      </c>
      <c r="D75" s="22" t="s">
        <v>100</v>
      </c>
      <c r="E75" s="10"/>
      <c r="F75" s="10"/>
      <c r="G75" s="28"/>
      <c r="H75" s="12">
        <v>0</v>
      </c>
      <c r="I75" s="8" t="s">
        <v>2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4">
        <f t="shared" si="1"/>
        <v>0</v>
      </c>
      <c r="R75" s="44">
        <v>0</v>
      </c>
      <c r="S75" s="46"/>
      <c r="T75" s="4"/>
    </row>
    <row r="76" spans="1:20" x14ac:dyDescent="0.25">
      <c r="A76" s="7">
        <v>73</v>
      </c>
      <c r="D76" s="37" t="s">
        <v>113</v>
      </c>
      <c r="E76" s="17"/>
      <c r="F76" s="17"/>
      <c r="G76" s="33"/>
      <c r="H76" s="12">
        <v>1135</v>
      </c>
      <c r="I76" s="8" t="s">
        <v>97</v>
      </c>
      <c r="J76" s="3">
        <v>0</v>
      </c>
      <c r="K76" s="3">
        <v>97</v>
      </c>
      <c r="L76" s="3">
        <v>69</v>
      </c>
      <c r="M76" s="3">
        <v>71</v>
      </c>
      <c r="N76" s="3">
        <v>0</v>
      </c>
      <c r="O76" s="3">
        <v>115</v>
      </c>
      <c r="P76" s="4">
        <f t="shared" si="1"/>
        <v>783</v>
      </c>
      <c r="Q76" s="65" t="s">
        <v>121</v>
      </c>
      <c r="R76" s="44">
        <v>30</v>
      </c>
      <c r="S76" s="47">
        <v>100</v>
      </c>
      <c r="T76" s="4"/>
    </row>
    <row r="77" spans="1:20" x14ac:dyDescent="0.25">
      <c r="A77" s="7">
        <v>74</v>
      </c>
      <c r="D77" s="22" t="s">
        <v>103</v>
      </c>
      <c r="E77" s="10"/>
      <c r="F77" s="10"/>
      <c r="G77" s="28"/>
      <c r="H77" s="12">
        <v>120</v>
      </c>
      <c r="I77" s="8" t="s">
        <v>2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4">
        <f t="shared" si="1"/>
        <v>120</v>
      </c>
      <c r="R77" s="44">
        <v>60</v>
      </c>
      <c r="S77" s="47">
        <v>100</v>
      </c>
      <c r="T77" s="4"/>
    </row>
    <row r="78" spans="1:20" x14ac:dyDescent="0.25">
      <c r="A78" s="8">
        <v>75</v>
      </c>
      <c r="D78" s="49" t="s">
        <v>108</v>
      </c>
      <c r="E78" s="20"/>
      <c r="F78" s="20"/>
      <c r="G78" s="20"/>
      <c r="H78" s="12">
        <v>18000</v>
      </c>
      <c r="I78" s="8" t="s">
        <v>110</v>
      </c>
      <c r="J78" s="3">
        <v>0</v>
      </c>
      <c r="K78" s="3">
        <v>1500</v>
      </c>
      <c r="L78" s="3">
        <v>1500</v>
      </c>
      <c r="M78" s="3">
        <v>500</v>
      </c>
      <c r="N78" s="3">
        <v>0</v>
      </c>
      <c r="O78" s="3">
        <v>500</v>
      </c>
      <c r="P78" s="4">
        <f t="shared" si="1"/>
        <v>14000</v>
      </c>
      <c r="R78" s="43">
        <v>1000</v>
      </c>
      <c r="S78" s="46">
        <v>10000</v>
      </c>
      <c r="T78" s="4"/>
    </row>
    <row r="79" spans="1:20" x14ac:dyDescent="0.25">
      <c r="A79" s="48">
        <v>76</v>
      </c>
      <c r="B79" s="41"/>
      <c r="C79" s="41"/>
      <c r="D79" s="22" t="s">
        <v>115</v>
      </c>
      <c r="E79" s="10"/>
      <c r="F79" s="10"/>
      <c r="G79" s="11"/>
      <c r="H79" s="12">
        <v>628</v>
      </c>
      <c r="I79" s="62" t="s">
        <v>2</v>
      </c>
      <c r="J79" s="3">
        <v>0</v>
      </c>
      <c r="K79" s="3">
        <v>0</v>
      </c>
      <c r="L79" s="3">
        <v>0</v>
      </c>
      <c r="M79" s="3">
        <v>13</v>
      </c>
      <c r="N79" s="3">
        <v>0</v>
      </c>
      <c r="O79" s="3">
        <v>6</v>
      </c>
      <c r="P79" s="64">
        <f t="shared" si="1"/>
        <v>609</v>
      </c>
      <c r="R79" s="64">
        <v>50</v>
      </c>
      <c r="S79" s="64">
        <v>100</v>
      </c>
      <c r="T79" s="4" t="s">
        <v>14</v>
      </c>
    </row>
    <row r="80" spans="1:20" x14ac:dyDescent="0.25">
      <c r="A80" s="73">
        <v>77</v>
      </c>
      <c r="B80" s="41"/>
      <c r="C80" s="41"/>
      <c r="D80" s="49" t="s">
        <v>134</v>
      </c>
      <c r="E80" s="35"/>
      <c r="F80" s="35"/>
      <c r="G80" s="60"/>
      <c r="H80" s="12">
        <v>320</v>
      </c>
      <c r="I80" s="8" t="s">
        <v>2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  <c r="P80" s="4">
        <f t="shared" si="1"/>
        <v>320</v>
      </c>
      <c r="Q80" s="4"/>
      <c r="R80" s="4">
        <v>20</v>
      </c>
      <c r="S80" s="4">
        <v>50</v>
      </c>
      <c r="T80" s="4"/>
    </row>
    <row r="81" spans="1:20" x14ac:dyDescent="0.25">
      <c r="A81" s="8">
        <v>78</v>
      </c>
      <c r="D81" s="22" t="s">
        <v>123</v>
      </c>
      <c r="E81" s="10"/>
      <c r="F81" s="10"/>
      <c r="G81" s="11"/>
      <c r="H81" s="12">
        <v>1300</v>
      </c>
      <c r="I81" s="8" t="s">
        <v>2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  <c r="P81" s="4">
        <f t="shared" si="1"/>
        <v>1300</v>
      </c>
      <c r="Q81" s="4"/>
      <c r="R81" s="4">
        <v>100</v>
      </c>
      <c r="S81" s="4">
        <v>500</v>
      </c>
      <c r="T81" s="4"/>
    </row>
    <row r="82" spans="1:20" x14ac:dyDescent="0.25">
      <c r="A82" s="48">
        <v>79</v>
      </c>
      <c r="B82" s="41"/>
      <c r="C82" s="41"/>
      <c r="D82" s="22" t="s">
        <v>154</v>
      </c>
      <c r="E82" s="10"/>
      <c r="F82" s="10"/>
      <c r="G82" s="11"/>
      <c r="H82" s="4">
        <v>15</v>
      </c>
      <c r="I82" s="8" t="s">
        <v>2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  <c r="P82" s="4">
        <f t="shared" si="1"/>
        <v>15</v>
      </c>
      <c r="Q82" s="4"/>
      <c r="R82" s="4">
        <v>10</v>
      </c>
      <c r="S82" s="4">
        <v>50</v>
      </c>
      <c r="T82" s="4"/>
    </row>
    <row r="83" spans="1:20" x14ac:dyDescent="0.25">
      <c r="A83" s="48">
        <v>80</v>
      </c>
      <c r="B83" s="41"/>
      <c r="C83" s="41"/>
      <c r="D83" s="37" t="s">
        <v>155</v>
      </c>
      <c r="E83" s="17"/>
      <c r="F83" s="17"/>
      <c r="G83" s="18"/>
      <c r="H83" s="64">
        <v>15</v>
      </c>
      <c r="I83" s="62" t="s">
        <v>2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64">
        <f t="shared" si="1"/>
        <v>15</v>
      </c>
      <c r="Q83" s="64"/>
      <c r="R83" s="64">
        <v>10</v>
      </c>
      <c r="S83" s="64">
        <v>50</v>
      </c>
      <c r="T83" s="4"/>
    </row>
    <row r="84" spans="1:20" x14ac:dyDescent="0.25">
      <c r="A84" s="48">
        <v>81</v>
      </c>
      <c r="B84" s="11"/>
      <c r="C84" s="23"/>
      <c r="D84" s="23" t="s">
        <v>149</v>
      </c>
      <c r="E84" s="23"/>
      <c r="F84" s="23"/>
      <c r="G84" s="23"/>
      <c r="H84" s="23">
        <v>10</v>
      </c>
      <c r="I84" s="8" t="s">
        <v>2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4">
        <f t="shared" si="1"/>
        <v>10</v>
      </c>
      <c r="Q84" s="4"/>
      <c r="R84" s="4">
        <v>10</v>
      </c>
      <c r="S84" s="4">
        <v>50</v>
      </c>
      <c r="T84" s="4"/>
    </row>
    <row r="85" spans="1:20" x14ac:dyDescent="0.25">
      <c r="A85" s="8">
        <v>82</v>
      </c>
      <c r="D85" s="68" t="s">
        <v>148</v>
      </c>
      <c r="E85" s="27"/>
      <c r="F85" s="27"/>
      <c r="G85" s="28"/>
      <c r="H85" s="4">
        <v>98</v>
      </c>
      <c r="I85" s="8" t="s">
        <v>2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4">
        <f t="shared" si="1"/>
        <v>98</v>
      </c>
      <c r="Q85" s="4"/>
      <c r="R85" s="4">
        <v>50</v>
      </c>
      <c r="S85" s="4">
        <v>200</v>
      </c>
      <c r="T85" s="4"/>
    </row>
    <row r="86" spans="1:20" ht="15.75" customHeight="1" x14ac:dyDescent="0.25">
      <c r="A86" s="8">
        <v>83</v>
      </c>
      <c r="D86" s="79" t="s">
        <v>150</v>
      </c>
      <c r="E86" s="80"/>
      <c r="F86" s="81"/>
      <c r="G86" s="82"/>
      <c r="H86" s="4">
        <v>390</v>
      </c>
      <c r="I86" s="8" t="s">
        <v>2</v>
      </c>
      <c r="J86" s="3">
        <v>450</v>
      </c>
      <c r="K86" s="3">
        <v>100</v>
      </c>
      <c r="L86" s="3">
        <v>16</v>
      </c>
      <c r="M86" s="3">
        <v>50</v>
      </c>
      <c r="N86" s="3">
        <v>0</v>
      </c>
      <c r="O86" s="3">
        <v>50</v>
      </c>
      <c r="P86" s="4">
        <f t="shared" si="1"/>
        <v>624</v>
      </c>
      <c r="Q86" s="4"/>
      <c r="R86" s="4">
        <v>50</v>
      </c>
      <c r="S86" s="4">
        <v>300</v>
      </c>
      <c r="T86" s="4"/>
    </row>
    <row r="87" spans="1:20" x14ac:dyDescent="0.25">
      <c r="A87" s="8">
        <v>84</v>
      </c>
      <c r="D87" s="22" t="s">
        <v>160</v>
      </c>
      <c r="E87" s="10"/>
      <c r="F87" s="10"/>
      <c r="G87" s="11"/>
      <c r="H87" s="23">
        <v>835</v>
      </c>
      <c r="I87" s="8" t="s">
        <v>2</v>
      </c>
      <c r="J87" s="3">
        <v>0</v>
      </c>
      <c r="K87" s="3">
        <v>3</v>
      </c>
      <c r="L87" s="3">
        <v>0</v>
      </c>
      <c r="M87" s="3">
        <v>0</v>
      </c>
      <c r="N87" s="3">
        <v>0</v>
      </c>
      <c r="O87" s="3">
        <v>0</v>
      </c>
      <c r="P87" s="4">
        <f t="shared" si="1"/>
        <v>832</v>
      </c>
      <c r="Q87" s="4"/>
      <c r="R87" s="4">
        <v>20</v>
      </c>
      <c r="S87" s="4">
        <v>300</v>
      </c>
      <c r="T87" s="4"/>
    </row>
    <row r="88" spans="1:20" x14ac:dyDescent="0.25">
      <c r="A88" s="8">
        <v>85</v>
      </c>
      <c r="D88" s="49" t="s">
        <v>153</v>
      </c>
      <c r="E88" s="20"/>
      <c r="F88" s="20"/>
      <c r="G88" s="21"/>
      <c r="H88" s="23">
        <v>88</v>
      </c>
      <c r="I88" s="8" t="s">
        <v>2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4">
        <f t="shared" si="1"/>
        <v>88</v>
      </c>
      <c r="Q88" s="4"/>
      <c r="R88" s="4">
        <v>10</v>
      </c>
      <c r="S88" s="4">
        <v>200</v>
      </c>
      <c r="T88" s="4"/>
    </row>
    <row r="89" spans="1:20" x14ac:dyDescent="0.25">
      <c r="A89" s="77">
        <v>86</v>
      </c>
      <c r="D89" s="68" t="s">
        <v>162</v>
      </c>
      <c r="E89" s="27"/>
      <c r="F89" s="27"/>
      <c r="G89" s="28"/>
      <c r="H89" s="74">
        <v>85</v>
      </c>
      <c r="I89" s="75" t="s">
        <v>2</v>
      </c>
      <c r="J89" s="3">
        <v>0</v>
      </c>
      <c r="K89" s="3">
        <v>0</v>
      </c>
      <c r="L89" s="3">
        <v>0</v>
      </c>
      <c r="M89" s="3">
        <v>0</v>
      </c>
      <c r="N89" s="3">
        <v>0</v>
      </c>
      <c r="O89" s="3">
        <v>0</v>
      </c>
      <c r="P89" s="4">
        <f t="shared" si="1"/>
        <v>85</v>
      </c>
      <c r="Q89" s="4"/>
      <c r="R89" s="4">
        <v>10</v>
      </c>
      <c r="S89" s="4">
        <v>50</v>
      </c>
      <c r="T89" s="4"/>
    </row>
  </sheetData>
  <pageMargins left="0.75" right="0.75" top="1" bottom="1" header="0.5" footer="0.5"/>
  <pageSetup paperSize="9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T89"/>
  <sheetViews>
    <sheetView topLeftCell="A8" workbookViewId="0">
      <selection activeCell="O22" sqref="O22"/>
    </sheetView>
  </sheetViews>
  <sheetFormatPr defaultRowHeight="15" x14ac:dyDescent="0.25"/>
  <cols>
    <col min="1" max="1" width="5.5703125" customWidth="1"/>
    <col min="2" max="3" width="9.140625" hidden="1" customWidth="1"/>
    <col min="6" max="6" width="12.7109375" customWidth="1"/>
    <col min="8" max="8" width="10.140625" customWidth="1"/>
    <col min="9" max="9" width="10" customWidth="1"/>
    <col min="10" max="10" width="7.7109375" customWidth="1"/>
    <col min="11" max="11" width="10.7109375" customWidth="1"/>
    <col min="12" max="12" width="10.140625" customWidth="1"/>
    <col min="13" max="13" width="11.85546875" customWidth="1"/>
    <col min="14" max="15" width="11.7109375" customWidth="1"/>
    <col min="16" max="16" width="10.140625" customWidth="1"/>
    <col min="17" max="17" width="4.7109375" customWidth="1"/>
    <col min="18" max="18" width="12.140625" customWidth="1"/>
    <col min="19" max="19" width="10.85546875" customWidth="1"/>
    <col min="20" max="20" width="13.85546875" customWidth="1"/>
  </cols>
  <sheetData>
    <row r="1" spans="1:20" x14ac:dyDescent="0.25">
      <c r="G1" s="1"/>
      <c r="P1">
        <f>+H1+J1-K1-L1-M1-N1-O1</f>
        <v>0</v>
      </c>
    </row>
    <row r="2" spans="1:20" x14ac:dyDescent="0.25">
      <c r="A2" t="s">
        <v>14</v>
      </c>
      <c r="D2" s="78">
        <v>45444</v>
      </c>
      <c r="O2" s="38" t="s">
        <v>14</v>
      </c>
      <c r="S2" s="50">
        <v>44837</v>
      </c>
    </row>
    <row r="3" spans="1:20" x14ac:dyDescent="0.25">
      <c r="A3" s="3" t="s">
        <v>15</v>
      </c>
      <c r="D3" s="9" t="s">
        <v>17</v>
      </c>
      <c r="E3" s="10"/>
      <c r="F3" s="10"/>
      <c r="G3" s="11"/>
      <c r="H3" s="12" t="s">
        <v>18</v>
      </c>
      <c r="I3" s="4" t="s">
        <v>19</v>
      </c>
      <c r="J3" s="3" t="s">
        <v>20</v>
      </c>
      <c r="K3" s="5">
        <v>45450</v>
      </c>
      <c r="L3" s="6">
        <v>45457</v>
      </c>
      <c r="M3" s="5">
        <v>45467</v>
      </c>
      <c r="N3" s="5">
        <v>45470</v>
      </c>
      <c r="O3" s="6">
        <v>45473</v>
      </c>
      <c r="P3" s="3" t="s">
        <v>21</v>
      </c>
      <c r="R3" s="42" t="s">
        <v>105</v>
      </c>
      <c r="S3" s="45" t="s">
        <v>104</v>
      </c>
      <c r="T3" s="4"/>
    </row>
    <row r="4" spans="1:20" x14ac:dyDescent="0.25">
      <c r="A4" s="7">
        <v>1</v>
      </c>
      <c r="D4" s="13" t="s">
        <v>16</v>
      </c>
      <c r="E4" s="14"/>
      <c r="F4" s="14"/>
      <c r="G4" s="15"/>
      <c r="H4" s="12">
        <v>430.35</v>
      </c>
      <c r="I4" s="7" t="s">
        <v>1</v>
      </c>
      <c r="J4" s="3">
        <v>0</v>
      </c>
      <c r="K4" s="3">
        <v>20</v>
      </c>
      <c r="L4" s="3">
        <v>0</v>
      </c>
      <c r="M4" s="3">
        <v>0</v>
      </c>
      <c r="N4" s="3">
        <v>0</v>
      </c>
      <c r="O4" s="3">
        <v>20</v>
      </c>
      <c r="P4" s="4">
        <f t="shared" ref="P4:P67" si="0">+H4+J4-K4-L4-M4-N4-O4</f>
        <v>390.35</v>
      </c>
      <c r="Q4" t="s">
        <v>172</v>
      </c>
      <c r="R4" s="43">
        <v>100</v>
      </c>
      <c r="S4" s="46">
        <v>500</v>
      </c>
      <c r="T4" s="4" t="s">
        <v>14</v>
      </c>
    </row>
    <row r="5" spans="1:20" x14ac:dyDescent="0.25">
      <c r="A5" s="7">
        <v>2</v>
      </c>
      <c r="D5" s="9" t="s">
        <v>22</v>
      </c>
      <c r="E5" s="10"/>
      <c r="F5" s="10"/>
      <c r="G5" s="11"/>
      <c r="H5" s="12">
        <v>0</v>
      </c>
      <c r="I5" s="7" t="s">
        <v>2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4">
        <f t="shared" si="0"/>
        <v>0</v>
      </c>
      <c r="Q5" s="1" t="s">
        <v>14</v>
      </c>
      <c r="R5" s="44">
        <v>6</v>
      </c>
      <c r="S5" s="47">
        <v>10</v>
      </c>
      <c r="T5" s="4"/>
    </row>
    <row r="6" spans="1:20" x14ac:dyDescent="0.25">
      <c r="A6" s="7">
        <v>3</v>
      </c>
      <c r="D6" s="16" t="s">
        <v>23</v>
      </c>
      <c r="E6" s="17"/>
      <c r="F6" s="17"/>
      <c r="G6" s="18"/>
      <c r="H6" s="12">
        <v>54</v>
      </c>
      <c r="I6" s="7" t="s">
        <v>2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4">
        <f t="shared" si="0"/>
        <v>54</v>
      </c>
      <c r="Q6" s="1" t="s">
        <v>14</v>
      </c>
      <c r="R6" s="44">
        <v>6</v>
      </c>
      <c r="S6" s="47">
        <v>10</v>
      </c>
      <c r="T6" s="4"/>
    </row>
    <row r="7" spans="1:20" x14ac:dyDescent="0.25">
      <c r="A7" s="7">
        <v>4</v>
      </c>
      <c r="D7" s="9" t="s">
        <v>3</v>
      </c>
      <c r="E7" s="10"/>
      <c r="F7" s="10"/>
      <c r="G7" s="11"/>
      <c r="H7" s="12">
        <v>30</v>
      </c>
      <c r="I7" s="7" t="s">
        <v>2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4">
        <f t="shared" si="0"/>
        <v>30</v>
      </c>
      <c r="Q7" s="1" t="s">
        <v>14</v>
      </c>
      <c r="R7" s="44">
        <v>6</v>
      </c>
      <c r="S7" s="47">
        <v>10</v>
      </c>
      <c r="T7" s="4"/>
    </row>
    <row r="8" spans="1:20" x14ac:dyDescent="0.25">
      <c r="A8" s="7">
        <v>5</v>
      </c>
      <c r="D8" s="16" t="s">
        <v>139</v>
      </c>
      <c r="E8" s="17"/>
      <c r="F8" s="17"/>
      <c r="G8" s="18"/>
      <c r="H8" s="12">
        <v>100</v>
      </c>
      <c r="I8" s="7" t="s">
        <v>2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4">
        <f t="shared" si="0"/>
        <v>100</v>
      </c>
      <c r="Q8" s="1" t="s">
        <v>14</v>
      </c>
      <c r="R8" s="44">
        <v>100</v>
      </c>
      <c r="S8" s="47">
        <v>400</v>
      </c>
      <c r="T8" s="4"/>
    </row>
    <row r="9" spans="1:20" x14ac:dyDescent="0.25">
      <c r="A9" s="7">
        <v>6</v>
      </c>
      <c r="D9" s="9" t="s">
        <v>24</v>
      </c>
      <c r="E9" s="10"/>
      <c r="F9" s="10"/>
      <c r="G9" s="11"/>
      <c r="H9" s="12">
        <v>258</v>
      </c>
      <c r="I9" s="7" t="s">
        <v>2</v>
      </c>
      <c r="J9" s="3">
        <v>0</v>
      </c>
      <c r="K9" s="3">
        <v>20</v>
      </c>
      <c r="L9" s="3">
        <v>20</v>
      </c>
      <c r="M9" s="3">
        <v>0</v>
      </c>
      <c r="N9" s="3">
        <v>0</v>
      </c>
      <c r="O9" s="3">
        <v>200</v>
      </c>
      <c r="P9" s="4">
        <f t="shared" si="0"/>
        <v>18</v>
      </c>
      <c r="Q9" s="1" t="s">
        <v>14</v>
      </c>
      <c r="R9" s="44">
        <v>60</v>
      </c>
      <c r="S9" s="47">
        <v>200</v>
      </c>
      <c r="T9" s="4"/>
    </row>
    <row r="10" spans="1:20" x14ac:dyDescent="0.25">
      <c r="A10" s="7">
        <v>7</v>
      </c>
      <c r="D10" s="16" t="s">
        <v>101</v>
      </c>
      <c r="E10" s="17"/>
      <c r="F10" s="17"/>
      <c r="G10" s="18"/>
      <c r="H10" s="12">
        <v>328</v>
      </c>
      <c r="I10" s="7" t="s">
        <v>2</v>
      </c>
      <c r="J10" s="3">
        <v>0</v>
      </c>
      <c r="K10" s="3">
        <v>40</v>
      </c>
      <c r="L10" s="3">
        <v>0</v>
      </c>
      <c r="M10" s="3">
        <v>0</v>
      </c>
      <c r="N10" s="3">
        <v>0</v>
      </c>
      <c r="O10" s="3">
        <v>0</v>
      </c>
      <c r="P10" s="4">
        <f t="shared" si="0"/>
        <v>288</v>
      </c>
      <c r="Q10" s="1" t="s">
        <v>14</v>
      </c>
      <c r="R10" s="44">
        <v>200</v>
      </c>
      <c r="S10" s="47">
        <v>500</v>
      </c>
      <c r="T10" s="4"/>
    </row>
    <row r="11" spans="1:20" x14ac:dyDescent="0.25">
      <c r="A11" s="7">
        <v>8</v>
      </c>
      <c r="D11" s="9" t="s">
        <v>25</v>
      </c>
      <c r="E11" s="10"/>
      <c r="F11" s="10"/>
      <c r="G11" s="11"/>
      <c r="H11" s="12">
        <v>293</v>
      </c>
      <c r="I11" s="7" t="s">
        <v>2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4">
        <f t="shared" si="0"/>
        <v>293</v>
      </c>
      <c r="Q11" s="1" t="s">
        <v>14</v>
      </c>
      <c r="R11" s="44">
        <v>50</v>
      </c>
      <c r="S11" s="47">
        <v>300</v>
      </c>
      <c r="T11" s="4"/>
    </row>
    <row r="12" spans="1:20" x14ac:dyDescent="0.25">
      <c r="A12" s="7">
        <v>9</v>
      </c>
      <c r="D12" s="16" t="s">
        <v>26</v>
      </c>
      <c r="E12" s="17"/>
      <c r="F12" s="17"/>
      <c r="G12" s="18"/>
      <c r="H12" s="12">
        <v>0</v>
      </c>
      <c r="I12" s="7" t="s">
        <v>2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4">
        <f t="shared" si="0"/>
        <v>0</v>
      </c>
      <c r="Q12" s="1" t="s">
        <v>14</v>
      </c>
      <c r="R12" s="44">
        <v>200</v>
      </c>
      <c r="S12" s="47">
        <v>400</v>
      </c>
      <c r="T12" s="4"/>
    </row>
    <row r="13" spans="1:20" x14ac:dyDescent="0.25">
      <c r="A13" s="7">
        <v>10</v>
      </c>
      <c r="D13" s="9" t="s">
        <v>6</v>
      </c>
      <c r="E13" s="10"/>
      <c r="F13" s="10"/>
      <c r="G13" s="11"/>
      <c r="H13" s="12">
        <v>60</v>
      </c>
      <c r="I13" s="7" t="s">
        <v>2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4">
        <f t="shared" si="0"/>
        <v>60</v>
      </c>
      <c r="Q13" s="1" t="s">
        <v>14</v>
      </c>
      <c r="R13" s="44">
        <v>10</v>
      </c>
      <c r="S13" s="46">
        <v>100</v>
      </c>
      <c r="T13" s="4"/>
    </row>
    <row r="14" spans="1:20" x14ac:dyDescent="0.25">
      <c r="A14" s="7">
        <v>11</v>
      </c>
      <c r="D14" s="16" t="s">
        <v>7</v>
      </c>
      <c r="E14" s="17"/>
      <c r="F14" s="17"/>
      <c r="G14" s="18"/>
      <c r="H14" s="12">
        <v>21</v>
      </c>
      <c r="I14" s="7" t="s">
        <v>171</v>
      </c>
      <c r="J14" s="3">
        <v>0</v>
      </c>
      <c r="K14" s="3">
        <v>3</v>
      </c>
      <c r="L14" s="3">
        <v>0</v>
      </c>
      <c r="M14" s="3">
        <v>0</v>
      </c>
      <c r="N14" s="3">
        <v>0</v>
      </c>
      <c r="O14" s="3">
        <v>1</v>
      </c>
      <c r="P14" s="4">
        <f t="shared" si="0"/>
        <v>17</v>
      </c>
      <c r="Q14" s="1" t="s">
        <v>14</v>
      </c>
      <c r="R14" s="44">
        <v>20</v>
      </c>
      <c r="S14" s="47">
        <v>50</v>
      </c>
      <c r="T14" s="4"/>
    </row>
    <row r="15" spans="1:20" x14ac:dyDescent="0.25">
      <c r="A15" s="7">
        <v>12</v>
      </c>
      <c r="D15" s="9" t="s">
        <v>69</v>
      </c>
      <c r="E15" s="10"/>
      <c r="F15" s="10"/>
      <c r="G15" s="11"/>
      <c r="H15" s="12">
        <v>16</v>
      </c>
      <c r="I15" s="7" t="s">
        <v>171</v>
      </c>
      <c r="J15" s="3">
        <v>0</v>
      </c>
      <c r="K15" s="3">
        <v>2</v>
      </c>
      <c r="L15" s="3">
        <v>0</v>
      </c>
      <c r="M15" s="3">
        <v>0</v>
      </c>
      <c r="N15" s="3">
        <v>0</v>
      </c>
      <c r="O15" s="3">
        <v>0</v>
      </c>
      <c r="P15" s="4">
        <f t="shared" si="0"/>
        <v>14</v>
      </c>
      <c r="Q15" s="1" t="s">
        <v>14</v>
      </c>
      <c r="R15" s="44">
        <v>100</v>
      </c>
      <c r="S15" s="47">
        <v>200</v>
      </c>
      <c r="T15" s="4"/>
    </row>
    <row r="16" spans="1:20" x14ac:dyDescent="0.25">
      <c r="A16" s="7">
        <v>13</v>
      </c>
      <c r="D16" s="16" t="s">
        <v>27</v>
      </c>
      <c r="E16" s="17"/>
      <c r="F16" s="17"/>
      <c r="G16" s="18"/>
      <c r="H16" s="12">
        <v>0</v>
      </c>
      <c r="I16" s="7" t="s">
        <v>2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4">
        <f t="shared" si="0"/>
        <v>0</v>
      </c>
      <c r="Q16" s="1" t="s">
        <v>14</v>
      </c>
      <c r="R16" s="44">
        <v>0</v>
      </c>
      <c r="S16" s="46"/>
      <c r="T16" s="4"/>
    </row>
    <row r="17" spans="1:20" x14ac:dyDescent="0.25">
      <c r="A17" s="7">
        <v>14</v>
      </c>
      <c r="D17" s="9" t="s">
        <v>73</v>
      </c>
      <c r="E17" s="10"/>
      <c r="F17" s="10"/>
      <c r="G17" s="11"/>
      <c r="H17" s="12">
        <v>781</v>
      </c>
      <c r="I17" s="7" t="s">
        <v>2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4">
        <f t="shared" si="0"/>
        <v>781</v>
      </c>
      <c r="Q17" s="1" t="s">
        <v>14</v>
      </c>
      <c r="R17" s="44">
        <v>0</v>
      </c>
      <c r="S17" s="46"/>
      <c r="T17" s="4"/>
    </row>
    <row r="18" spans="1:20" x14ac:dyDescent="0.25">
      <c r="A18" s="7">
        <v>15</v>
      </c>
      <c r="D18" s="16" t="s">
        <v>28</v>
      </c>
      <c r="E18" s="17"/>
      <c r="F18" s="17"/>
      <c r="G18" s="18"/>
      <c r="H18" s="12">
        <v>46</v>
      </c>
      <c r="I18" s="7" t="s">
        <v>2</v>
      </c>
      <c r="J18" s="3">
        <v>0</v>
      </c>
      <c r="K18" s="3">
        <v>7</v>
      </c>
      <c r="L18" s="3">
        <v>18</v>
      </c>
      <c r="M18" s="3">
        <v>0</v>
      </c>
      <c r="N18" s="3">
        <v>0</v>
      </c>
      <c r="O18" s="3">
        <v>0</v>
      </c>
      <c r="P18" s="4">
        <f t="shared" si="0"/>
        <v>21</v>
      </c>
      <c r="Q18" s="1" t="s">
        <v>14</v>
      </c>
      <c r="R18" s="44">
        <v>20</v>
      </c>
      <c r="S18" s="47">
        <v>50</v>
      </c>
      <c r="T18" s="4"/>
    </row>
    <row r="19" spans="1:20" x14ac:dyDescent="0.25">
      <c r="A19" s="7">
        <v>16</v>
      </c>
      <c r="D19" s="9" t="s">
        <v>29</v>
      </c>
      <c r="E19" s="10"/>
      <c r="F19" s="10"/>
      <c r="G19" s="11"/>
      <c r="H19" s="12">
        <v>38</v>
      </c>
      <c r="I19" s="7" t="s">
        <v>2</v>
      </c>
      <c r="J19" s="3">
        <v>0</v>
      </c>
      <c r="K19" s="3">
        <v>7</v>
      </c>
      <c r="L19" s="3">
        <v>18</v>
      </c>
      <c r="M19" s="3">
        <v>0</v>
      </c>
      <c r="N19" s="3">
        <v>0</v>
      </c>
      <c r="O19" s="3">
        <v>0</v>
      </c>
      <c r="P19" s="4">
        <f t="shared" si="0"/>
        <v>13</v>
      </c>
      <c r="Q19" s="1" t="s">
        <v>14</v>
      </c>
      <c r="R19" s="44">
        <v>20</v>
      </c>
      <c r="S19" s="47">
        <v>50</v>
      </c>
      <c r="T19" s="4"/>
    </row>
    <row r="20" spans="1:20" x14ac:dyDescent="0.25">
      <c r="A20" s="7">
        <v>17</v>
      </c>
      <c r="D20" s="16" t="s">
        <v>30</v>
      </c>
      <c r="E20" s="17"/>
      <c r="F20" s="17"/>
      <c r="G20" s="18"/>
      <c r="H20" s="12">
        <v>56</v>
      </c>
      <c r="I20" s="7" t="s">
        <v>2</v>
      </c>
      <c r="J20" s="3">
        <v>200</v>
      </c>
      <c r="K20" s="3">
        <v>7</v>
      </c>
      <c r="L20" s="3">
        <v>18</v>
      </c>
      <c r="M20" s="3">
        <v>0</v>
      </c>
      <c r="N20" s="3">
        <v>0</v>
      </c>
      <c r="O20" s="3">
        <v>0</v>
      </c>
      <c r="P20" s="4">
        <f t="shared" si="0"/>
        <v>231</v>
      </c>
      <c r="Q20" s="1" t="s">
        <v>14</v>
      </c>
      <c r="R20" s="44">
        <v>20</v>
      </c>
      <c r="S20" s="47">
        <v>50</v>
      </c>
      <c r="T20" s="4"/>
    </row>
    <row r="21" spans="1:20" x14ac:dyDescent="0.25">
      <c r="A21" s="7">
        <v>18</v>
      </c>
      <c r="D21" s="9" t="s">
        <v>129</v>
      </c>
      <c r="E21" s="10"/>
      <c r="F21" s="10"/>
      <c r="G21" s="11"/>
      <c r="H21" s="12">
        <v>11</v>
      </c>
      <c r="I21" s="7" t="s">
        <v>2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4">
        <f t="shared" si="0"/>
        <v>11</v>
      </c>
      <c r="Q21" s="1" t="s">
        <v>14</v>
      </c>
      <c r="R21" s="44">
        <v>10</v>
      </c>
      <c r="S21" s="46">
        <v>50</v>
      </c>
      <c r="T21" s="4"/>
    </row>
    <row r="22" spans="1:20" x14ac:dyDescent="0.25">
      <c r="A22" s="7">
        <v>19</v>
      </c>
      <c r="D22" s="55" t="s">
        <v>164</v>
      </c>
      <c r="E22" s="56"/>
      <c r="F22" s="56"/>
      <c r="G22" s="57"/>
      <c r="H22" s="12">
        <v>235</v>
      </c>
      <c r="I22" s="59" t="s">
        <v>1</v>
      </c>
      <c r="J22" s="3">
        <v>300</v>
      </c>
      <c r="K22" s="3">
        <v>40</v>
      </c>
      <c r="L22" s="3">
        <v>10</v>
      </c>
      <c r="M22" s="3">
        <v>0</v>
      </c>
      <c r="N22" s="3">
        <v>0</v>
      </c>
      <c r="O22" s="3">
        <v>20</v>
      </c>
      <c r="P22" s="46">
        <f t="shared" si="0"/>
        <v>465</v>
      </c>
      <c r="Q22" s="1" t="s">
        <v>14</v>
      </c>
      <c r="R22" s="44">
        <v>50</v>
      </c>
      <c r="S22" s="47">
        <v>200</v>
      </c>
      <c r="T22" s="4"/>
    </row>
    <row r="23" spans="1:20" x14ac:dyDescent="0.25">
      <c r="A23" s="7">
        <v>20</v>
      </c>
      <c r="D23" s="9" t="s">
        <v>32</v>
      </c>
      <c r="E23" s="10"/>
      <c r="F23" s="10"/>
      <c r="G23" s="11"/>
      <c r="H23" s="12">
        <v>850</v>
      </c>
      <c r="I23" s="7" t="s">
        <v>2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4">
        <f t="shared" si="0"/>
        <v>850</v>
      </c>
      <c r="Q23" s="1" t="s">
        <v>14</v>
      </c>
      <c r="R23" s="44">
        <v>50</v>
      </c>
      <c r="S23" s="46">
        <v>200</v>
      </c>
      <c r="T23" s="4"/>
    </row>
    <row r="24" spans="1:20" x14ac:dyDescent="0.25">
      <c r="A24" s="7">
        <v>21</v>
      </c>
      <c r="D24" s="16" t="s">
        <v>140</v>
      </c>
      <c r="E24" s="17"/>
      <c r="F24" s="17"/>
      <c r="G24" s="18"/>
      <c r="H24" s="12">
        <v>102</v>
      </c>
      <c r="I24" s="7" t="s">
        <v>2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4">
        <f t="shared" si="0"/>
        <v>102</v>
      </c>
      <c r="Q24" s="1" t="s">
        <v>14</v>
      </c>
      <c r="R24" s="44">
        <v>10</v>
      </c>
      <c r="S24" s="46">
        <v>100</v>
      </c>
      <c r="T24" s="4"/>
    </row>
    <row r="25" spans="1:20" x14ac:dyDescent="0.25">
      <c r="A25" s="7">
        <v>22</v>
      </c>
      <c r="D25" s="9" t="s">
        <v>34</v>
      </c>
      <c r="E25" s="10"/>
      <c r="F25" s="10"/>
      <c r="G25" s="11"/>
      <c r="H25" s="12">
        <v>8</v>
      </c>
      <c r="I25" s="7" t="s">
        <v>2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4">
        <f t="shared" si="0"/>
        <v>8</v>
      </c>
      <c r="Q25" s="1" t="s">
        <v>14</v>
      </c>
      <c r="R25" s="44">
        <v>10</v>
      </c>
      <c r="S25" s="46">
        <v>50</v>
      </c>
      <c r="T25" s="4"/>
    </row>
    <row r="26" spans="1:20" x14ac:dyDescent="0.25">
      <c r="A26" s="7">
        <v>23</v>
      </c>
      <c r="D26" s="16" t="s">
        <v>142</v>
      </c>
      <c r="E26" s="17"/>
      <c r="F26" s="17"/>
      <c r="G26" s="18"/>
      <c r="H26" s="12">
        <v>44</v>
      </c>
      <c r="I26" s="7" t="s">
        <v>2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4">
        <f t="shared" si="0"/>
        <v>44</v>
      </c>
      <c r="Q26" s="1" t="s">
        <v>14</v>
      </c>
      <c r="R26" s="44">
        <v>20</v>
      </c>
      <c r="S26" s="47">
        <v>50</v>
      </c>
      <c r="T26" s="4"/>
    </row>
    <row r="27" spans="1:20" x14ac:dyDescent="0.25">
      <c r="A27" s="7">
        <v>24</v>
      </c>
      <c r="D27" s="9" t="s">
        <v>141</v>
      </c>
      <c r="E27" s="10"/>
      <c r="F27" s="10"/>
      <c r="G27" s="11"/>
      <c r="H27" s="12">
        <v>0</v>
      </c>
      <c r="I27" s="7" t="s">
        <v>2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  <c r="P27" s="4">
        <f t="shared" si="0"/>
        <v>0</v>
      </c>
      <c r="Q27" s="1"/>
      <c r="R27" s="44">
        <v>20</v>
      </c>
      <c r="S27" s="47">
        <v>50</v>
      </c>
      <c r="T27" s="4"/>
    </row>
    <row r="28" spans="1:20" x14ac:dyDescent="0.25">
      <c r="A28" s="7">
        <v>25</v>
      </c>
      <c r="D28" s="9" t="s">
        <v>137</v>
      </c>
      <c r="E28" s="10"/>
      <c r="F28" s="10"/>
      <c r="G28" s="11"/>
      <c r="H28" s="12">
        <v>87</v>
      </c>
      <c r="I28" s="7" t="s">
        <v>2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4">
        <f t="shared" si="0"/>
        <v>87</v>
      </c>
      <c r="Q28" s="1" t="s">
        <v>14</v>
      </c>
      <c r="R28" s="44">
        <v>20</v>
      </c>
      <c r="S28" s="47">
        <v>50</v>
      </c>
      <c r="T28" s="4"/>
    </row>
    <row r="29" spans="1:20" x14ac:dyDescent="0.25">
      <c r="A29" s="7">
        <v>26</v>
      </c>
      <c r="D29" s="9" t="s">
        <v>138</v>
      </c>
      <c r="E29" s="10"/>
      <c r="F29" s="10"/>
      <c r="G29" s="11"/>
      <c r="H29" s="12">
        <v>127</v>
      </c>
      <c r="I29" s="7" t="s">
        <v>2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4">
        <f t="shared" si="0"/>
        <v>127</v>
      </c>
      <c r="Q29" s="1"/>
      <c r="R29" s="44">
        <v>10</v>
      </c>
      <c r="S29" s="47">
        <v>50</v>
      </c>
      <c r="T29" s="4"/>
    </row>
    <row r="30" spans="1:20" x14ac:dyDescent="0.25">
      <c r="A30" s="7">
        <v>27</v>
      </c>
      <c r="D30" s="16" t="s">
        <v>35</v>
      </c>
      <c r="E30" s="17"/>
      <c r="F30" s="17"/>
      <c r="G30" s="18"/>
      <c r="H30" s="12">
        <v>263</v>
      </c>
      <c r="I30" s="7" t="s">
        <v>2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4">
        <f t="shared" si="0"/>
        <v>263</v>
      </c>
      <c r="Q30" s="1" t="s">
        <v>14</v>
      </c>
      <c r="R30" s="44">
        <v>50</v>
      </c>
      <c r="S30" s="47">
        <v>100</v>
      </c>
      <c r="T30" s="4"/>
    </row>
    <row r="31" spans="1:20" x14ac:dyDescent="0.25">
      <c r="A31" s="7">
        <v>28</v>
      </c>
      <c r="D31" s="9" t="s">
        <v>36</v>
      </c>
      <c r="E31" s="10"/>
      <c r="F31" s="10"/>
      <c r="G31" s="11"/>
      <c r="H31" s="12">
        <v>18</v>
      </c>
      <c r="I31" s="7" t="s">
        <v>2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4">
        <f t="shared" si="0"/>
        <v>18</v>
      </c>
      <c r="Q31" s="1" t="s">
        <v>14</v>
      </c>
      <c r="R31" s="44">
        <v>50</v>
      </c>
      <c r="S31" s="47">
        <v>100</v>
      </c>
      <c r="T31" s="4"/>
    </row>
    <row r="32" spans="1:20" x14ac:dyDescent="0.25">
      <c r="A32" s="7">
        <v>29</v>
      </c>
      <c r="D32" s="16" t="s">
        <v>37</v>
      </c>
      <c r="E32" s="17"/>
      <c r="F32" s="17"/>
      <c r="G32" s="18"/>
      <c r="H32" s="12">
        <v>178</v>
      </c>
      <c r="I32" s="7" t="s">
        <v>2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4">
        <f t="shared" si="0"/>
        <v>178</v>
      </c>
      <c r="Q32" s="1" t="s">
        <v>14</v>
      </c>
      <c r="R32" s="44">
        <v>20</v>
      </c>
      <c r="S32" s="47">
        <v>50</v>
      </c>
      <c r="T32" s="4"/>
    </row>
    <row r="33" spans="1:20" x14ac:dyDescent="0.25">
      <c r="A33" s="7">
        <v>30</v>
      </c>
      <c r="D33" s="9" t="s">
        <v>38</v>
      </c>
      <c r="E33" s="10"/>
      <c r="F33" s="10"/>
      <c r="G33" s="11"/>
      <c r="H33" s="12">
        <v>179</v>
      </c>
      <c r="I33" s="7" t="s">
        <v>2</v>
      </c>
      <c r="J33" s="3">
        <v>0</v>
      </c>
      <c r="K33" s="3">
        <v>5</v>
      </c>
      <c r="L33" s="3">
        <v>0</v>
      </c>
      <c r="M33" s="3">
        <v>0</v>
      </c>
      <c r="N33" s="3">
        <v>0</v>
      </c>
      <c r="O33" s="3">
        <v>0</v>
      </c>
      <c r="P33" s="4">
        <f t="shared" si="0"/>
        <v>174</v>
      </c>
      <c r="Q33" s="1" t="s">
        <v>14</v>
      </c>
      <c r="R33" s="44">
        <v>50</v>
      </c>
      <c r="S33" s="47">
        <v>100</v>
      </c>
      <c r="T33" s="4"/>
    </row>
    <row r="34" spans="1:20" x14ac:dyDescent="0.25">
      <c r="A34" s="7">
        <v>31</v>
      </c>
      <c r="D34" s="16" t="s">
        <v>39</v>
      </c>
      <c r="E34" s="17"/>
      <c r="F34" s="17"/>
      <c r="G34" s="18"/>
      <c r="H34" s="12">
        <v>51</v>
      </c>
      <c r="I34" s="7" t="s">
        <v>2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4">
        <f t="shared" si="0"/>
        <v>51</v>
      </c>
      <c r="Q34" s="1" t="s">
        <v>14</v>
      </c>
      <c r="R34" s="44">
        <v>20</v>
      </c>
      <c r="S34" s="47">
        <v>50</v>
      </c>
      <c r="T34" s="4"/>
    </row>
    <row r="35" spans="1:20" x14ac:dyDescent="0.25">
      <c r="A35" s="7">
        <v>32</v>
      </c>
      <c r="D35" s="9" t="s">
        <v>40</v>
      </c>
      <c r="E35" s="10"/>
      <c r="F35" s="10"/>
      <c r="G35" s="11"/>
      <c r="H35" s="12">
        <f>'ARALIK 3 HAFTA '!P33</f>
        <v>1075</v>
      </c>
      <c r="I35" s="7" t="s">
        <v>2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4">
        <f t="shared" si="0"/>
        <v>1075</v>
      </c>
      <c r="Q35" s="1" t="s">
        <v>14</v>
      </c>
      <c r="R35" s="44">
        <v>100</v>
      </c>
      <c r="S35" s="46">
        <v>300</v>
      </c>
      <c r="T35" s="4"/>
    </row>
    <row r="36" spans="1:20" x14ac:dyDescent="0.25">
      <c r="A36" s="7">
        <v>33</v>
      </c>
      <c r="D36" s="9" t="s">
        <v>9</v>
      </c>
      <c r="E36" s="10"/>
      <c r="F36" s="10"/>
      <c r="G36" s="11"/>
      <c r="H36" s="83">
        <v>111</v>
      </c>
      <c r="I36" s="7" t="s">
        <v>132</v>
      </c>
      <c r="J36" s="3">
        <v>0</v>
      </c>
      <c r="K36" s="3">
        <v>2</v>
      </c>
      <c r="L36" s="3">
        <v>0</v>
      </c>
      <c r="M36" s="3">
        <v>0</v>
      </c>
      <c r="N36" s="3">
        <v>0</v>
      </c>
      <c r="O36" s="3">
        <v>0</v>
      </c>
      <c r="P36" s="4">
        <f t="shared" si="0"/>
        <v>109</v>
      </c>
      <c r="Q36" s="1" t="s">
        <v>14</v>
      </c>
      <c r="R36" s="44">
        <v>50</v>
      </c>
      <c r="S36" s="47">
        <v>100</v>
      </c>
      <c r="T36" s="4"/>
    </row>
    <row r="37" spans="1:20" x14ac:dyDescent="0.25">
      <c r="A37" s="7">
        <v>34</v>
      </c>
      <c r="D37" s="19" t="s">
        <v>166</v>
      </c>
      <c r="E37" s="20"/>
      <c r="F37" s="20"/>
      <c r="G37" s="21"/>
      <c r="H37" s="69">
        <v>68</v>
      </c>
      <c r="I37" s="7" t="s">
        <v>2</v>
      </c>
      <c r="J37" s="3">
        <v>0</v>
      </c>
      <c r="K37" s="3">
        <v>2</v>
      </c>
      <c r="L37" s="3">
        <v>0</v>
      </c>
      <c r="M37" s="3">
        <v>0</v>
      </c>
      <c r="N37" s="3">
        <v>0</v>
      </c>
      <c r="O37" s="3">
        <v>24</v>
      </c>
      <c r="P37" s="4">
        <f t="shared" si="0"/>
        <v>42</v>
      </c>
      <c r="Q37" s="1" t="s">
        <v>14</v>
      </c>
      <c r="R37" s="44">
        <v>50</v>
      </c>
      <c r="S37" s="46">
        <v>200</v>
      </c>
      <c r="T37" s="4"/>
    </row>
    <row r="38" spans="1:20" x14ac:dyDescent="0.25">
      <c r="A38" s="7">
        <v>35</v>
      </c>
      <c r="D38" s="16" t="s">
        <v>143</v>
      </c>
      <c r="E38" s="17"/>
      <c r="F38" s="17"/>
      <c r="G38" s="18"/>
      <c r="H38" s="12">
        <v>96</v>
      </c>
      <c r="I38" s="7" t="s">
        <v>2</v>
      </c>
      <c r="J38" s="3">
        <v>0</v>
      </c>
      <c r="K38" s="3">
        <v>2</v>
      </c>
      <c r="L38" s="3">
        <v>0</v>
      </c>
      <c r="M38" s="3">
        <v>0</v>
      </c>
      <c r="N38" s="3">
        <v>0</v>
      </c>
      <c r="O38" s="3">
        <v>24</v>
      </c>
      <c r="P38" s="4">
        <f t="shared" si="0"/>
        <v>70</v>
      </c>
      <c r="Q38" s="1" t="s">
        <v>14</v>
      </c>
      <c r="R38" s="44">
        <v>50</v>
      </c>
      <c r="S38" s="46">
        <v>100</v>
      </c>
      <c r="T38" s="4"/>
    </row>
    <row r="39" spans="1:20" x14ac:dyDescent="0.25">
      <c r="A39" s="7">
        <v>36</v>
      </c>
      <c r="D39" s="9" t="s">
        <v>144</v>
      </c>
      <c r="E39" s="10"/>
      <c r="F39" s="10"/>
      <c r="G39" s="11"/>
      <c r="H39" s="12">
        <v>123</v>
      </c>
      <c r="I39" s="7" t="s">
        <v>2</v>
      </c>
      <c r="J39" s="3">
        <v>0</v>
      </c>
      <c r="K39" s="3">
        <v>2</v>
      </c>
      <c r="L39" s="3">
        <v>0</v>
      </c>
      <c r="M39" s="3">
        <v>0</v>
      </c>
      <c r="N39" s="3">
        <v>0</v>
      </c>
      <c r="O39" s="3">
        <v>24</v>
      </c>
      <c r="P39" s="4">
        <f t="shared" si="0"/>
        <v>97</v>
      </c>
      <c r="Q39" s="1" t="s">
        <v>14</v>
      </c>
      <c r="R39" s="44">
        <v>50</v>
      </c>
      <c r="S39" s="47">
        <v>100</v>
      </c>
      <c r="T39" s="4"/>
    </row>
    <row r="40" spans="1:20" x14ac:dyDescent="0.25">
      <c r="A40" s="7">
        <v>37</v>
      </c>
      <c r="D40" s="16" t="s">
        <v>42</v>
      </c>
      <c r="E40" s="17"/>
      <c r="F40" s="17"/>
      <c r="G40" s="18"/>
      <c r="H40" s="12">
        <v>106</v>
      </c>
      <c r="I40" s="7" t="s">
        <v>2</v>
      </c>
      <c r="J40" s="3">
        <v>0</v>
      </c>
      <c r="K40" s="3">
        <v>2</v>
      </c>
      <c r="L40" s="3">
        <v>0</v>
      </c>
      <c r="M40" s="3">
        <v>0</v>
      </c>
      <c r="N40" s="3">
        <v>0</v>
      </c>
      <c r="O40" s="3">
        <v>24</v>
      </c>
      <c r="P40" s="4">
        <f t="shared" si="0"/>
        <v>80</v>
      </c>
      <c r="Q40" s="1" t="s">
        <v>14</v>
      </c>
      <c r="R40" s="44">
        <v>50</v>
      </c>
      <c r="S40" s="47">
        <v>100</v>
      </c>
      <c r="T40" s="4"/>
    </row>
    <row r="41" spans="1:20" x14ac:dyDescent="0.25">
      <c r="A41" s="7">
        <v>38</v>
      </c>
      <c r="D41" s="9" t="s">
        <v>133</v>
      </c>
      <c r="E41" s="10"/>
      <c r="F41" s="10"/>
      <c r="G41" s="11"/>
      <c r="H41" s="12">
        <v>139</v>
      </c>
      <c r="I41" s="7" t="s">
        <v>2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4">
        <f t="shared" si="0"/>
        <v>139</v>
      </c>
      <c r="Q41" s="1" t="s">
        <v>14</v>
      </c>
      <c r="R41" s="44">
        <v>20</v>
      </c>
      <c r="S41" s="47">
        <v>50</v>
      </c>
      <c r="T41" s="4"/>
    </row>
    <row r="42" spans="1:20" x14ac:dyDescent="0.25">
      <c r="A42" s="7">
        <v>39</v>
      </c>
      <c r="D42" s="16" t="s">
        <v>145</v>
      </c>
      <c r="E42" s="17"/>
      <c r="F42" s="17"/>
      <c r="G42" s="18"/>
      <c r="H42" s="12">
        <v>139</v>
      </c>
      <c r="I42" s="7" t="s">
        <v>2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4">
        <f t="shared" si="0"/>
        <v>139</v>
      </c>
      <c r="Q42" s="1" t="s">
        <v>14</v>
      </c>
      <c r="R42" s="44">
        <v>20</v>
      </c>
      <c r="S42" s="46">
        <v>50</v>
      </c>
      <c r="T42" s="4"/>
    </row>
    <row r="43" spans="1:20" x14ac:dyDescent="0.25">
      <c r="A43" s="7">
        <v>40</v>
      </c>
      <c r="D43" s="9" t="s">
        <v>71</v>
      </c>
      <c r="E43" s="10"/>
      <c r="F43" s="10"/>
      <c r="G43" s="11"/>
      <c r="H43" s="12">
        <v>0</v>
      </c>
      <c r="I43" s="7" t="s">
        <v>2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4">
        <f t="shared" si="0"/>
        <v>0</v>
      </c>
      <c r="Q43" s="1" t="s">
        <v>14</v>
      </c>
      <c r="R43" s="44">
        <v>5</v>
      </c>
      <c r="S43" s="47">
        <v>10</v>
      </c>
      <c r="T43" s="4"/>
    </row>
    <row r="44" spans="1:20" x14ac:dyDescent="0.25">
      <c r="A44" s="7">
        <v>41</v>
      </c>
      <c r="D44" s="16" t="s">
        <v>10</v>
      </c>
      <c r="E44" s="17"/>
      <c r="F44" s="17"/>
      <c r="G44" s="18"/>
      <c r="H44" s="12">
        <v>128</v>
      </c>
      <c r="I44" s="7" t="s">
        <v>2</v>
      </c>
      <c r="J44" s="3">
        <v>0</v>
      </c>
      <c r="K44" s="3">
        <v>0</v>
      </c>
      <c r="L44" s="3">
        <v>14</v>
      </c>
      <c r="M44" s="3">
        <v>0</v>
      </c>
      <c r="N44" s="3">
        <v>0</v>
      </c>
      <c r="O44" s="3">
        <v>3</v>
      </c>
      <c r="P44" s="4">
        <f t="shared" si="0"/>
        <v>111</v>
      </c>
      <c r="Q44" s="1" t="s">
        <v>14</v>
      </c>
      <c r="R44" s="44">
        <v>40</v>
      </c>
      <c r="S44" s="47">
        <v>100</v>
      </c>
      <c r="T44" s="4"/>
    </row>
    <row r="45" spans="1:20" x14ac:dyDescent="0.25">
      <c r="A45" s="7">
        <v>42</v>
      </c>
      <c r="D45" s="9" t="s">
        <v>45</v>
      </c>
      <c r="E45" s="10"/>
      <c r="F45" s="10"/>
      <c r="G45" s="11"/>
      <c r="H45" s="12">
        <v>61</v>
      </c>
      <c r="I45" s="7" t="s">
        <v>2</v>
      </c>
      <c r="J45" s="3">
        <v>0</v>
      </c>
      <c r="K45" s="3">
        <v>0</v>
      </c>
      <c r="L45" s="3">
        <v>12</v>
      </c>
      <c r="M45" s="3">
        <v>0</v>
      </c>
      <c r="N45" s="3">
        <v>0</v>
      </c>
      <c r="O45" s="3">
        <v>3</v>
      </c>
      <c r="P45" s="4">
        <f t="shared" si="0"/>
        <v>46</v>
      </c>
      <c r="Q45" s="1" t="s">
        <v>14</v>
      </c>
      <c r="R45" s="44">
        <v>20</v>
      </c>
      <c r="S45" s="47">
        <v>50</v>
      </c>
      <c r="T45" s="4"/>
    </row>
    <row r="46" spans="1:20" x14ac:dyDescent="0.25">
      <c r="A46" s="7">
        <v>43</v>
      </c>
      <c r="D46" s="16" t="s">
        <v>46</v>
      </c>
      <c r="E46" s="17"/>
      <c r="F46" s="17"/>
      <c r="G46" s="18"/>
      <c r="H46" s="12">
        <v>43</v>
      </c>
      <c r="I46" s="7" t="s">
        <v>2</v>
      </c>
      <c r="J46" s="3">
        <v>0</v>
      </c>
      <c r="K46" s="3">
        <v>0</v>
      </c>
      <c r="L46" s="3">
        <v>3</v>
      </c>
      <c r="M46" s="3">
        <v>0</v>
      </c>
      <c r="N46" s="3">
        <v>0</v>
      </c>
      <c r="O46" s="3">
        <v>3</v>
      </c>
      <c r="P46" s="4">
        <f t="shared" si="0"/>
        <v>37</v>
      </c>
      <c r="Q46" s="1" t="s">
        <v>14</v>
      </c>
      <c r="R46" s="44">
        <v>20</v>
      </c>
      <c r="S46" s="47">
        <v>50</v>
      </c>
      <c r="T46" s="4"/>
    </row>
    <row r="47" spans="1:20" x14ac:dyDescent="0.25">
      <c r="A47" s="7">
        <v>44</v>
      </c>
      <c r="D47" s="9" t="s">
        <v>47</v>
      </c>
      <c r="E47" s="10"/>
      <c r="F47" s="10"/>
      <c r="G47" s="11"/>
      <c r="H47" s="12">
        <v>41</v>
      </c>
      <c r="I47" s="7" t="s">
        <v>2</v>
      </c>
      <c r="J47" s="3">
        <v>0</v>
      </c>
      <c r="K47" s="3">
        <v>0</v>
      </c>
      <c r="L47" s="3">
        <v>3</v>
      </c>
      <c r="M47" s="3">
        <v>0</v>
      </c>
      <c r="N47" s="3">
        <v>0</v>
      </c>
      <c r="O47" s="3">
        <v>3</v>
      </c>
      <c r="P47" s="4">
        <f t="shared" si="0"/>
        <v>35</v>
      </c>
      <c r="Q47" s="1" t="s">
        <v>14</v>
      </c>
      <c r="R47" s="44">
        <v>20</v>
      </c>
      <c r="S47" s="47">
        <v>50</v>
      </c>
      <c r="T47" s="4"/>
    </row>
    <row r="48" spans="1:20" x14ac:dyDescent="0.25">
      <c r="A48" s="7">
        <v>45</v>
      </c>
      <c r="D48" s="16" t="s">
        <v>79</v>
      </c>
      <c r="E48" s="17"/>
      <c r="F48" s="17"/>
      <c r="G48" s="18"/>
      <c r="H48" s="12">
        <v>0</v>
      </c>
      <c r="I48" s="7" t="s">
        <v>2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4">
        <f t="shared" si="0"/>
        <v>0</v>
      </c>
      <c r="Q48" s="1" t="s">
        <v>14</v>
      </c>
      <c r="R48" s="44">
        <v>10</v>
      </c>
      <c r="S48" s="47">
        <v>20</v>
      </c>
      <c r="T48" s="4"/>
    </row>
    <row r="49" spans="1:20" x14ac:dyDescent="0.25">
      <c r="A49" s="7">
        <v>46</v>
      </c>
      <c r="D49" s="9" t="s">
        <v>48</v>
      </c>
      <c r="E49" s="10"/>
      <c r="F49" s="10"/>
      <c r="G49" s="11"/>
      <c r="H49" s="12">
        <v>59</v>
      </c>
      <c r="I49" s="7" t="s">
        <v>2</v>
      </c>
      <c r="J49" s="3">
        <v>0</v>
      </c>
      <c r="K49" s="3">
        <v>2</v>
      </c>
      <c r="L49" s="3">
        <v>0</v>
      </c>
      <c r="M49" s="3">
        <v>0</v>
      </c>
      <c r="N49" s="3">
        <v>0</v>
      </c>
      <c r="O49" s="3">
        <v>0</v>
      </c>
      <c r="P49" s="4">
        <f t="shared" si="0"/>
        <v>57</v>
      </c>
      <c r="Q49" s="1" t="s">
        <v>14</v>
      </c>
      <c r="R49" s="44">
        <v>10</v>
      </c>
      <c r="S49" s="47">
        <v>20</v>
      </c>
      <c r="T49" s="4" t="s">
        <v>14</v>
      </c>
    </row>
    <row r="50" spans="1:20" x14ac:dyDescent="0.25">
      <c r="A50" s="7">
        <v>47</v>
      </c>
      <c r="D50" s="16" t="s">
        <v>49</v>
      </c>
      <c r="E50" s="17"/>
      <c r="F50" s="17"/>
      <c r="G50" s="18"/>
      <c r="H50" s="12">
        <v>106</v>
      </c>
      <c r="I50" s="7" t="s">
        <v>2</v>
      </c>
      <c r="J50" s="3">
        <v>0</v>
      </c>
      <c r="K50" s="3">
        <v>2</v>
      </c>
      <c r="L50" s="3">
        <v>0</v>
      </c>
      <c r="M50" s="3">
        <v>0</v>
      </c>
      <c r="N50" s="3">
        <v>0</v>
      </c>
      <c r="O50" s="3">
        <v>0</v>
      </c>
      <c r="P50" s="4">
        <f t="shared" si="0"/>
        <v>104</v>
      </c>
      <c r="Q50" s="1" t="s">
        <v>14</v>
      </c>
      <c r="R50" s="44">
        <v>10</v>
      </c>
      <c r="S50" s="47">
        <v>20</v>
      </c>
      <c r="T50" s="4"/>
    </row>
    <row r="51" spans="1:20" x14ac:dyDescent="0.25">
      <c r="A51" s="7">
        <v>48</v>
      </c>
      <c r="D51" s="9" t="s">
        <v>169</v>
      </c>
      <c r="E51" s="10"/>
      <c r="F51" s="10"/>
      <c r="G51" s="11"/>
      <c r="H51" s="12">
        <v>30</v>
      </c>
      <c r="I51" s="7" t="s">
        <v>1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4">
        <f t="shared" si="0"/>
        <v>30</v>
      </c>
      <c r="Q51" s="1" t="s">
        <v>14</v>
      </c>
      <c r="R51" s="44">
        <v>20</v>
      </c>
      <c r="S51" s="47">
        <v>100</v>
      </c>
      <c r="T51" s="4"/>
    </row>
    <row r="52" spans="1:20" x14ac:dyDescent="0.25">
      <c r="A52" s="7">
        <v>49</v>
      </c>
      <c r="D52" s="88"/>
      <c r="E52" s="89"/>
      <c r="F52" s="90" t="s">
        <v>111</v>
      </c>
      <c r="G52" s="87"/>
      <c r="H52" s="12">
        <v>256</v>
      </c>
      <c r="I52" s="7" t="s">
        <v>2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4">
        <f t="shared" si="0"/>
        <v>256</v>
      </c>
      <c r="Q52" s="1" t="s">
        <v>14</v>
      </c>
      <c r="R52" s="44">
        <v>30</v>
      </c>
      <c r="S52" s="47">
        <v>100</v>
      </c>
      <c r="T52" s="4"/>
    </row>
    <row r="53" spans="1:20" x14ac:dyDescent="0.25">
      <c r="A53" s="7">
        <v>50</v>
      </c>
      <c r="D53" s="9" t="s">
        <v>51</v>
      </c>
      <c r="E53" s="10"/>
      <c r="F53" s="10"/>
      <c r="G53" s="11"/>
      <c r="H53" s="12">
        <v>18</v>
      </c>
      <c r="I53" s="7" t="s">
        <v>2</v>
      </c>
      <c r="J53" s="3">
        <v>100</v>
      </c>
      <c r="K53" s="3">
        <v>8</v>
      </c>
      <c r="L53" s="3">
        <v>63</v>
      </c>
      <c r="M53" s="3">
        <v>0</v>
      </c>
      <c r="N53" s="3">
        <v>0</v>
      </c>
      <c r="O53" s="3">
        <v>0</v>
      </c>
      <c r="P53" s="4">
        <f t="shared" si="0"/>
        <v>47</v>
      </c>
      <c r="Q53" s="1" t="s">
        <v>14</v>
      </c>
      <c r="R53" s="44">
        <v>20</v>
      </c>
      <c r="S53" s="47">
        <v>50</v>
      </c>
      <c r="T53" s="4"/>
    </row>
    <row r="54" spans="1:20" x14ac:dyDescent="0.25">
      <c r="A54" s="7">
        <v>51</v>
      </c>
      <c r="D54" s="16" t="s">
        <v>52</v>
      </c>
      <c r="E54" s="17"/>
      <c r="F54" s="17"/>
      <c r="G54" s="18"/>
      <c r="H54" s="12">
        <v>34</v>
      </c>
      <c r="I54" s="7" t="s">
        <v>2</v>
      </c>
      <c r="J54" s="3">
        <v>100</v>
      </c>
      <c r="K54" s="3">
        <v>8</v>
      </c>
      <c r="L54" s="3">
        <v>79</v>
      </c>
      <c r="M54" s="3">
        <v>0</v>
      </c>
      <c r="N54" s="3">
        <v>0</v>
      </c>
      <c r="O54" s="3">
        <v>0</v>
      </c>
      <c r="P54" s="4">
        <f t="shared" si="0"/>
        <v>47</v>
      </c>
      <c r="Q54" s="1" t="s">
        <v>14</v>
      </c>
      <c r="R54" s="44">
        <v>20</v>
      </c>
      <c r="S54" s="47">
        <v>50</v>
      </c>
      <c r="T54" s="4" t="s">
        <v>14</v>
      </c>
    </row>
    <row r="55" spans="1:20" x14ac:dyDescent="0.25">
      <c r="A55" s="7">
        <v>52</v>
      </c>
      <c r="D55" s="9" t="s">
        <v>53</v>
      </c>
      <c r="E55" s="10"/>
      <c r="F55" s="10"/>
      <c r="G55" s="11"/>
      <c r="H55" s="12">
        <v>38</v>
      </c>
      <c r="I55" s="7" t="s">
        <v>2</v>
      </c>
      <c r="J55" s="3">
        <v>100</v>
      </c>
      <c r="K55" s="3">
        <v>8</v>
      </c>
      <c r="L55" s="3">
        <v>83</v>
      </c>
      <c r="M55" s="3">
        <v>0</v>
      </c>
      <c r="N55" s="3">
        <v>0</v>
      </c>
      <c r="O55" s="3">
        <v>0</v>
      </c>
      <c r="P55" s="4">
        <f t="shared" si="0"/>
        <v>47</v>
      </c>
      <c r="Q55" s="1" t="s">
        <v>14</v>
      </c>
      <c r="R55" s="44">
        <v>20</v>
      </c>
      <c r="S55" s="47">
        <v>50</v>
      </c>
      <c r="T55" s="4"/>
    </row>
    <row r="56" spans="1:20" x14ac:dyDescent="0.25">
      <c r="A56" s="7">
        <v>53</v>
      </c>
      <c r="D56" s="70" t="s">
        <v>54</v>
      </c>
      <c r="E56" s="71"/>
      <c r="F56" s="71"/>
      <c r="G56" s="72"/>
      <c r="H56" s="12">
        <v>1260</v>
      </c>
      <c r="I56" s="7" t="s">
        <v>1</v>
      </c>
      <c r="J56" s="3">
        <v>0</v>
      </c>
      <c r="K56" s="3">
        <v>60</v>
      </c>
      <c r="L56" s="3">
        <v>120</v>
      </c>
      <c r="M56" s="3">
        <v>0</v>
      </c>
      <c r="N56" s="3">
        <v>0</v>
      </c>
      <c r="O56" s="3">
        <v>105</v>
      </c>
      <c r="P56" s="4">
        <f t="shared" si="0"/>
        <v>975</v>
      </c>
      <c r="Q56" s="1" t="s">
        <v>120</v>
      </c>
      <c r="R56" s="44">
        <v>250</v>
      </c>
      <c r="S56" s="47">
        <v>750</v>
      </c>
      <c r="T56" s="4"/>
    </row>
    <row r="57" spans="1:20" x14ac:dyDescent="0.25">
      <c r="A57" s="7">
        <v>54</v>
      </c>
      <c r="D57" s="16" t="s">
        <v>61</v>
      </c>
      <c r="E57" s="17"/>
      <c r="F57" s="17"/>
      <c r="G57" s="18"/>
      <c r="H57" s="12">
        <v>246</v>
      </c>
      <c r="I57" s="7" t="s">
        <v>2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  <c r="P57" s="4">
        <f t="shared" si="0"/>
        <v>246</v>
      </c>
      <c r="Q57" s="1" t="s">
        <v>14</v>
      </c>
      <c r="R57" s="44">
        <v>10</v>
      </c>
      <c r="S57" s="46">
        <v>200</v>
      </c>
      <c r="T57" s="4"/>
    </row>
    <row r="58" spans="1:20" x14ac:dyDescent="0.25">
      <c r="A58" s="7">
        <v>55</v>
      </c>
      <c r="D58" s="9" t="s">
        <v>62</v>
      </c>
      <c r="E58" s="10"/>
      <c r="F58" s="10"/>
      <c r="G58" s="11"/>
      <c r="H58" s="12">
        <v>1834</v>
      </c>
      <c r="I58" s="7" t="s">
        <v>2</v>
      </c>
      <c r="J58" s="3">
        <v>0</v>
      </c>
      <c r="K58" s="3">
        <v>0</v>
      </c>
      <c r="L58" s="3">
        <v>360</v>
      </c>
      <c r="M58" s="3">
        <v>0</v>
      </c>
      <c r="N58" s="3">
        <v>0</v>
      </c>
      <c r="O58" s="3">
        <v>24</v>
      </c>
      <c r="P58" s="4">
        <f t="shared" si="0"/>
        <v>1450</v>
      </c>
      <c r="Q58" s="1" t="s">
        <v>14</v>
      </c>
      <c r="R58" s="44">
        <v>200</v>
      </c>
      <c r="S58" s="47">
        <v>1000</v>
      </c>
      <c r="T58" s="4"/>
    </row>
    <row r="59" spans="1:20" x14ac:dyDescent="0.25">
      <c r="A59" s="7">
        <v>56</v>
      </c>
      <c r="D59" s="16" t="s">
        <v>13</v>
      </c>
      <c r="E59" s="17"/>
      <c r="F59" s="17"/>
      <c r="G59" s="18"/>
      <c r="H59" s="12">
        <v>278</v>
      </c>
      <c r="I59" s="7" t="s">
        <v>2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  <c r="P59" s="4">
        <f t="shared" si="0"/>
        <v>278</v>
      </c>
      <c r="Q59" s="1" t="s">
        <v>14</v>
      </c>
      <c r="R59" s="44">
        <v>100</v>
      </c>
      <c r="S59" s="47">
        <v>300</v>
      </c>
      <c r="T59" s="4"/>
    </row>
    <row r="60" spans="1:20" x14ac:dyDescent="0.25">
      <c r="A60" s="7">
        <v>57</v>
      </c>
      <c r="D60" s="9" t="s">
        <v>72</v>
      </c>
      <c r="E60" s="10"/>
      <c r="F60" s="10"/>
      <c r="G60" s="11"/>
      <c r="H60" s="12">
        <v>134</v>
      </c>
      <c r="I60" s="7" t="s">
        <v>2</v>
      </c>
      <c r="J60" s="3">
        <v>0</v>
      </c>
      <c r="K60" s="3">
        <v>4</v>
      </c>
      <c r="L60" s="3">
        <v>0</v>
      </c>
      <c r="M60" s="3">
        <v>0</v>
      </c>
      <c r="N60" s="3">
        <v>0</v>
      </c>
      <c r="O60" s="3">
        <v>0</v>
      </c>
      <c r="P60" s="4">
        <f t="shared" si="0"/>
        <v>130</v>
      </c>
      <c r="Q60" s="1" t="s">
        <v>14</v>
      </c>
      <c r="R60" s="44">
        <v>100</v>
      </c>
      <c r="S60" s="47">
        <v>300</v>
      </c>
      <c r="T60" s="4"/>
    </row>
    <row r="61" spans="1:20" x14ac:dyDescent="0.25">
      <c r="A61" s="7">
        <v>58</v>
      </c>
      <c r="D61" s="16" t="s">
        <v>63</v>
      </c>
      <c r="E61" s="17"/>
      <c r="F61" s="17"/>
      <c r="G61" s="18"/>
      <c r="H61" s="12">
        <v>14</v>
      </c>
      <c r="I61" s="7" t="s">
        <v>2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4">
        <f t="shared" si="0"/>
        <v>14</v>
      </c>
      <c r="Q61" s="1" t="s">
        <v>14</v>
      </c>
      <c r="R61" s="44">
        <v>100</v>
      </c>
      <c r="S61" s="47">
        <v>300</v>
      </c>
      <c r="T61" s="4"/>
    </row>
    <row r="62" spans="1:20" x14ac:dyDescent="0.25">
      <c r="A62" s="7">
        <v>59</v>
      </c>
      <c r="D62" s="9" t="s">
        <v>77</v>
      </c>
      <c r="E62" s="10"/>
      <c r="F62" s="10"/>
      <c r="G62" s="11"/>
      <c r="H62" s="12">
        <v>504</v>
      </c>
      <c r="I62" s="7" t="s">
        <v>2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4">
        <f t="shared" si="0"/>
        <v>504</v>
      </c>
      <c r="Q62" s="1" t="s">
        <v>14</v>
      </c>
      <c r="R62" s="44">
        <v>100</v>
      </c>
      <c r="S62" s="47">
        <v>300</v>
      </c>
      <c r="T62" s="4"/>
    </row>
    <row r="63" spans="1:20" x14ac:dyDescent="0.25">
      <c r="A63" s="7">
        <v>60</v>
      </c>
      <c r="D63" s="16" t="s">
        <v>130</v>
      </c>
      <c r="E63" s="17"/>
      <c r="F63" s="17"/>
      <c r="G63" s="18"/>
      <c r="H63" s="12">
        <v>198</v>
      </c>
      <c r="I63" s="7" t="s">
        <v>2</v>
      </c>
      <c r="J63" s="3">
        <v>0</v>
      </c>
      <c r="K63" s="3">
        <v>2</v>
      </c>
      <c r="L63" s="3">
        <v>0</v>
      </c>
      <c r="M63" s="3">
        <v>0</v>
      </c>
      <c r="N63" s="3">
        <v>0</v>
      </c>
      <c r="O63" s="3">
        <v>1</v>
      </c>
      <c r="P63" s="4">
        <f t="shared" si="0"/>
        <v>195</v>
      </c>
      <c r="Q63" s="1" t="s">
        <v>14</v>
      </c>
      <c r="R63" s="44">
        <v>20</v>
      </c>
      <c r="S63" s="46">
        <v>200</v>
      </c>
      <c r="T63" s="4"/>
    </row>
    <row r="64" spans="1:20" x14ac:dyDescent="0.25">
      <c r="A64" s="7">
        <v>61</v>
      </c>
      <c r="D64" s="26" t="s">
        <v>146</v>
      </c>
      <c r="E64" s="27"/>
      <c r="F64" s="27"/>
      <c r="G64" s="28"/>
      <c r="H64" s="12">
        <v>1</v>
      </c>
      <c r="I64" s="30" t="s">
        <v>2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4">
        <f t="shared" si="0"/>
        <v>1</v>
      </c>
      <c r="Q64" s="1" t="s">
        <v>14</v>
      </c>
      <c r="R64" s="44">
        <v>50</v>
      </c>
      <c r="S64" s="47">
        <v>100</v>
      </c>
      <c r="T64" s="4"/>
    </row>
    <row r="65" spans="1:20" x14ac:dyDescent="0.25">
      <c r="A65" s="7">
        <v>62</v>
      </c>
      <c r="D65" s="16" t="s">
        <v>65</v>
      </c>
      <c r="E65" s="17"/>
      <c r="F65" s="17"/>
      <c r="G65" s="18"/>
      <c r="H65" s="12">
        <v>54</v>
      </c>
      <c r="I65" s="7" t="s">
        <v>2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4">
        <f t="shared" si="0"/>
        <v>54</v>
      </c>
      <c r="Q65" s="1" t="s">
        <v>14</v>
      </c>
      <c r="R65" s="44">
        <v>10</v>
      </c>
      <c r="S65" s="46">
        <v>50</v>
      </c>
      <c r="T65" s="4"/>
    </row>
    <row r="66" spans="1:20" x14ac:dyDescent="0.25">
      <c r="A66" s="7">
        <v>63</v>
      </c>
      <c r="D66" s="9" t="s">
        <v>66</v>
      </c>
      <c r="E66" s="10"/>
      <c r="F66" s="10"/>
      <c r="G66" s="11"/>
      <c r="H66" s="12">
        <v>50</v>
      </c>
      <c r="I66" s="7" t="s">
        <v>2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  <c r="P66" s="4">
        <f t="shared" si="0"/>
        <v>50</v>
      </c>
      <c r="Q66" s="1" t="s">
        <v>14</v>
      </c>
      <c r="R66" s="44">
        <v>300</v>
      </c>
      <c r="S66" s="47">
        <v>1000</v>
      </c>
      <c r="T66" s="4"/>
    </row>
    <row r="67" spans="1:20" x14ac:dyDescent="0.25">
      <c r="A67" s="7">
        <v>64</v>
      </c>
      <c r="D67" s="19" t="s">
        <v>165</v>
      </c>
      <c r="E67" s="20"/>
      <c r="F67" s="20"/>
      <c r="G67" s="21"/>
      <c r="H67" s="12">
        <v>76</v>
      </c>
      <c r="I67" s="7" t="s">
        <v>2</v>
      </c>
      <c r="J67" s="3">
        <v>0</v>
      </c>
      <c r="K67" s="3">
        <v>2</v>
      </c>
      <c r="L67" s="3">
        <v>0</v>
      </c>
      <c r="M67" s="3">
        <v>0</v>
      </c>
      <c r="N67" s="3">
        <v>0</v>
      </c>
      <c r="O67" s="3">
        <v>0</v>
      </c>
      <c r="P67" s="4">
        <f t="shared" si="0"/>
        <v>74</v>
      </c>
      <c r="Q67" s="1" t="s">
        <v>14</v>
      </c>
      <c r="R67" s="44">
        <v>50</v>
      </c>
      <c r="S67" s="47">
        <v>150</v>
      </c>
      <c r="T67" s="4"/>
    </row>
    <row r="68" spans="1:20" x14ac:dyDescent="0.25">
      <c r="A68" s="7">
        <v>65</v>
      </c>
      <c r="D68" s="22" t="s">
        <v>74</v>
      </c>
      <c r="E68" s="10"/>
      <c r="F68" s="10"/>
      <c r="G68" s="11"/>
      <c r="H68" s="12">
        <v>520</v>
      </c>
      <c r="I68" s="8" t="s">
        <v>75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4">
        <f t="shared" ref="P68:P89" si="1">+H68+J68-K68-L68-M68-N68-O68</f>
        <v>520</v>
      </c>
      <c r="Q68" s="1" t="s">
        <v>91</v>
      </c>
      <c r="R68" s="44">
        <v>65</v>
      </c>
      <c r="S68" s="47">
        <v>150</v>
      </c>
      <c r="T68" s="4"/>
    </row>
    <row r="69" spans="1:20" x14ac:dyDescent="0.25">
      <c r="A69" s="7">
        <v>66</v>
      </c>
      <c r="C69" s="1" t="s">
        <v>14</v>
      </c>
      <c r="D69" s="22" t="s">
        <v>76</v>
      </c>
      <c r="E69" s="10"/>
      <c r="F69" s="10"/>
      <c r="G69" s="11"/>
      <c r="H69" s="12">
        <v>232</v>
      </c>
      <c r="I69" s="8" t="s">
        <v>2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4">
        <f t="shared" si="1"/>
        <v>232</v>
      </c>
      <c r="Q69" s="1" t="s">
        <v>14</v>
      </c>
      <c r="R69" s="44">
        <v>50</v>
      </c>
      <c r="S69" s="47">
        <v>100</v>
      </c>
      <c r="T69" s="4"/>
    </row>
    <row r="70" spans="1:20" x14ac:dyDescent="0.25">
      <c r="A70" s="7">
        <v>67</v>
      </c>
      <c r="D70" s="25" t="s">
        <v>147</v>
      </c>
      <c r="H70" s="12">
        <v>603</v>
      </c>
      <c r="I70" s="30" t="s">
        <v>2</v>
      </c>
      <c r="J70" s="3">
        <v>0</v>
      </c>
      <c r="K70" s="3">
        <v>5</v>
      </c>
      <c r="L70" s="3">
        <v>0</v>
      </c>
      <c r="M70" s="3">
        <v>0</v>
      </c>
      <c r="N70" s="3">
        <v>0</v>
      </c>
      <c r="O70" s="3">
        <v>0</v>
      </c>
      <c r="P70" s="4">
        <f t="shared" si="1"/>
        <v>598</v>
      </c>
      <c r="Q70" s="1" t="s">
        <v>14</v>
      </c>
      <c r="R70" s="44">
        <v>50</v>
      </c>
      <c r="S70" s="47">
        <v>100</v>
      </c>
      <c r="T70" s="4"/>
    </row>
    <row r="71" spans="1:20" x14ac:dyDescent="0.25">
      <c r="A71" s="7">
        <v>68</v>
      </c>
      <c r="D71" s="26" t="s">
        <v>80</v>
      </c>
      <c r="E71" s="27"/>
      <c r="F71" s="27"/>
      <c r="G71" s="28"/>
      <c r="H71" s="12">
        <v>83</v>
      </c>
      <c r="I71" s="8" t="s">
        <v>2</v>
      </c>
      <c r="J71" s="3">
        <v>0</v>
      </c>
      <c r="K71" s="3">
        <v>2</v>
      </c>
      <c r="L71" s="3">
        <v>0</v>
      </c>
      <c r="M71" s="3">
        <v>0</v>
      </c>
      <c r="N71" s="3">
        <v>0</v>
      </c>
      <c r="O71" s="3">
        <v>0</v>
      </c>
      <c r="P71" s="4">
        <f t="shared" si="1"/>
        <v>81</v>
      </c>
      <c r="Q71" s="1" t="s">
        <v>14</v>
      </c>
      <c r="R71" s="44">
        <v>20</v>
      </c>
      <c r="S71" s="46">
        <v>200</v>
      </c>
      <c r="T71" s="4"/>
    </row>
    <row r="72" spans="1:20" x14ac:dyDescent="0.25">
      <c r="A72" s="7">
        <v>69</v>
      </c>
      <c r="D72" s="26" t="s">
        <v>84</v>
      </c>
      <c r="E72" s="27"/>
      <c r="F72" s="27"/>
      <c r="G72" s="28"/>
      <c r="H72" s="12">
        <v>0</v>
      </c>
      <c r="I72" s="8" t="s">
        <v>2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  <c r="P72" s="4">
        <f t="shared" si="1"/>
        <v>0</v>
      </c>
      <c r="Q72" s="1" t="s">
        <v>14</v>
      </c>
      <c r="R72" s="44">
        <v>100</v>
      </c>
      <c r="S72" s="47">
        <v>200</v>
      </c>
      <c r="T72" s="4"/>
    </row>
    <row r="73" spans="1:20" x14ac:dyDescent="0.25">
      <c r="A73" s="7">
        <v>70</v>
      </c>
      <c r="D73" s="26" t="s">
        <v>167</v>
      </c>
      <c r="E73" s="27"/>
      <c r="F73" s="27"/>
      <c r="G73" s="28"/>
      <c r="H73" s="12">
        <v>85</v>
      </c>
      <c r="I73" s="8" t="s">
        <v>2</v>
      </c>
      <c r="J73" s="3">
        <v>0</v>
      </c>
      <c r="K73" s="3">
        <v>2</v>
      </c>
      <c r="L73" s="3">
        <v>0</v>
      </c>
      <c r="M73" s="3">
        <v>0</v>
      </c>
      <c r="N73" s="3">
        <v>0</v>
      </c>
      <c r="O73" s="3">
        <v>0</v>
      </c>
      <c r="P73" s="4">
        <f t="shared" si="1"/>
        <v>83</v>
      </c>
      <c r="R73" s="44">
        <v>20</v>
      </c>
      <c r="S73" s="46">
        <v>200</v>
      </c>
      <c r="T73" s="4"/>
    </row>
    <row r="74" spans="1:20" x14ac:dyDescent="0.25">
      <c r="A74" s="7">
        <v>71</v>
      </c>
      <c r="D74" s="37" t="s">
        <v>14</v>
      </c>
      <c r="E74" s="17"/>
      <c r="F74" s="33"/>
      <c r="G74" s="33"/>
      <c r="H74" s="12">
        <v>0</v>
      </c>
      <c r="I74" s="8" t="s">
        <v>14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4">
        <f t="shared" si="1"/>
        <v>0</v>
      </c>
      <c r="Q74" s="1" t="s">
        <v>14</v>
      </c>
      <c r="R74" s="44">
        <v>100</v>
      </c>
      <c r="S74" s="47">
        <v>500</v>
      </c>
      <c r="T74" s="4"/>
    </row>
    <row r="75" spans="1:20" x14ac:dyDescent="0.25">
      <c r="A75" s="7">
        <v>72</v>
      </c>
      <c r="D75" s="22" t="s">
        <v>100</v>
      </c>
      <c r="E75" s="10"/>
      <c r="F75" s="10"/>
      <c r="G75" s="28"/>
      <c r="H75" s="12">
        <v>0</v>
      </c>
      <c r="I75" s="8" t="s">
        <v>2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4">
        <f t="shared" si="1"/>
        <v>0</v>
      </c>
      <c r="R75" s="44">
        <v>0</v>
      </c>
      <c r="S75" s="46"/>
      <c r="T75" s="4"/>
    </row>
    <row r="76" spans="1:20" x14ac:dyDescent="0.25">
      <c r="A76" s="7">
        <v>73</v>
      </c>
      <c r="D76" s="37" t="s">
        <v>113</v>
      </c>
      <c r="E76" s="17"/>
      <c r="F76" s="17"/>
      <c r="G76" s="33"/>
      <c r="H76" s="12">
        <v>783</v>
      </c>
      <c r="I76" s="8" t="s">
        <v>97</v>
      </c>
      <c r="J76" s="3">
        <v>0</v>
      </c>
      <c r="K76" s="3">
        <v>97</v>
      </c>
      <c r="L76" s="3">
        <v>46</v>
      </c>
      <c r="M76" s="3">
        <v>0</v>
      </c>
      <c r="N76" s="3">
        <v>0</v>
      </c>
      <c r="O76" s="3">
        <v>14</v>
      </c>
      <c r="P76" s="4">
        <f t="shared" si="1"/>
        <v>626</v>
      </c>
      <c r="Q76" s="65" t="s">
        <v>121</v>
      </c>
      <c r="R76" s="44">
        <v>30</v>
      </c>
      <c r="S76" s="47">
        <v>100</v>
      </c>
      <c r="T76" s="4"/>
    </row>
    <row r="77" spans="1:20" x14ac:dyDescent="0.25">
      <c r="A77" s="7">
        <v>74</v>
      </c>
      <c r="D77" s="22" t="s">
        <v>103</v>
      </c>
      <c r="E77" s="10"/>
      <c r="F77" s="10"/>
      <c r="G77" s="28"/>
      <c r="H77" s="12">
        <v>120</v>
      </c>
      <c r="I77" s="8" t="s">
        <v>2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4">
        <f t="shared" si="1"/>
        <v>120</v>
      </c>
      <c r="R77" s="44">
        <v>60</v>
      </c>
      <c r="S77" s="47">
        <v>100</v>
      </c>
      <c r="T77" s="4"/>
    </row>
    <row r="78" spans="1:20" x14ac:dyDescent="0.25">
      <c r="A78" s="8">
        <v>75</v>
      </c>
      <c r="D78" s="49" t="s">
        <v>108</v>
      </c>
      <c r="E78" s="20"/>
      <c r="F78" s="20"/>
      <c r="G78" s="20"/>
      <c r="H78" s="12">
        <v>14000</v>
      </c>
      <c r="I78" s="8" t="s">
        <v>110</v>
      </c>
      <c r="J78" s="3">
        <v>0</v>
      </c>
      <c r="K78" s="3">
        <v>500</v>
      </c>
      <c r="L78" s="3">
        <v>500</v>
      </c>
      <c r="M78" s="3">
        <v>0</v>
      </c>
      <c r="N78" s="3">
        <v>0</v>
      </c>
      <c r="O78" s="3">
        <v>2000</v>
      </c>
      <c r="P78" s="4">
        <f t="shared" si="1"/>
        <v>11000</v>
      </c>
      <c r="R78" s="43">
        <v>1000</v>
      </c>
      <c r="S78" s="46">
        <v>10000</v>
      </c>
      <c r="T78" s="4"/>
    </row>
    <row r="79" spans="1:20" x14ac:dyDescent="0.25">
      <c r="A79" s="48">
        <v>76</v>
      </c>
      <c r="B79" s="41"/>
      <c r="C79" s="41"/>
      <c r="D79" s="22" t="s">
        <v>115</v>
      </c>
      <c r="E79" s="10"/>
      <c r="F79" s="10"/>
      <c r="G79" s="11"/>
      <c r="H79" s="12">
        <v>609</v>
      </c>
      <c r="I79" s="62" t="s">
        <v>2</v>
      </c>
      <c r="J79" s="3">
        <v>0</v>
      </c>
      <c r="K79" s="3">
        <v>5</v>
      </c>
      <c r="L79" s="3">
        <v>0</v>
      </c>
      <c r="M79" s="3">
        <v>0</v>
      </c>
      <c r="N79" s="3">
        <v>0</v>
      </c>
      <c r="O79" s="3">
        <v>0</v>
      </c>
      <c r="P79" s="64">
        <f t="shared" si="1"/>
        <v>604</v>
      </c>
      <c r="R79" s="64">
        <v>50</v>
      </c>
      <c r="S79" s="64">
        <v>100</v>
      </c>
      <c r="T79" s="4" t="s">
        <v>14</v>
      </c>
    </row>
    <row r="80" spans="1:20" x14ac:dyDescent="0.25">
      <c r="A80" s="73">
        <v>77</v>
      </c>
      <c r="B80" s="41"/>
      <c r="C80" s="41"/>
      <c r="D80" s="49" t="s">
        <v>134</v>
      </c>
      <c r="E80" s="35"/>
      <c r="F80" s="35"/>
      <c r="G80" s="60"/>
      <c r="H80" s="12">
        <v>320</v>
      </c>
      <c r="I80" s="8" t="s">
        <v>2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  <c r="P80" s="4">
        <f t="shared" si="1"/>
        <v>320</v>
      </c>
      <c r="Q80" s="4"/>
      <c r="R80" s="4">
        <v>20</v>
      </c>
      <c r="S80" s="4">
        <v>50</v>
      </c>
      <c r="T80" s="4"/>
    </row>
    <row r="81" spans="1:20" x14ac:dyDescent="0.25">
      <c r="A81" s="8">
        <v>78</v>
      </c>
      <c r="D81" s="22" t="s">
        <v>123</v>
      </c>
      <c r="E81" s="10"/>
      <c r="F81" s="10"/>
      <c r="G81" s="11"/>
      <c r="H81" s="12">
        <v>1300</v>
      </c>
      <c r="I81" s="8" t="s">
        <v>2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  <c r="P81" s="4">
        <f t="shared" si="1"/>
        <v>1300</v>
      </c>
      <c r="Q81" s="4"/>
      <c r="R81" s="4">
        <v>100</v>
      </c>
      <c r="S81" s="4">
        <v>500</v>
      </c>
      <c r="T81" s="4"/>
    </row>
    <row r="82" spans="1:20" x14ac:dyDescent="0.25">
      <c r="A82" s="48">
        <v>79</v>
      </c>
      <c r="B82" s="41"/>
      <c r="C82" s="41"/>
      <c r="D82" s="22" t="s">
        <v>154</v>
      </c>
      <c r="E82" s="10"/>
      <c r="F82" s="10"/>
      <c r="G82" s="11"/>
      <c r="H82" s="4">
        <v>15</v>
      </c>
      <c r="I82" s="8" t="s">
        <v>2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  <c r="P82" s="4">
        <f t="shared" si="1"/>
        <v>15</v>
      </c>
      <c r="Q82" s="4"/>
      <c r="R82" s="4">
        <v>10</v>
      </c>
      <c r="S82" s="4">
        <v>50</v>
      </c>
      <c r="T82" s="4"/>
    </row>
    <row r="83" spans="1:20" x14ac:dyDescent="0.25">
      <c r="A83" s="48">
        <v>80</v>
      </c>
      <c r="B83" s="41"/>
      <c r="C83" s="41"/>
      <c r="D83" s="37" t="s">
        <v>155</v>
      </c>
      <c r="E83" s="17"/>
      <c r="F83" s="17"/>
      <c r="G83" s="18"/>
      <c r="H83" s="64">
        <v>15</v>
      </c>
      <c r="I83" s="62" t="s">
        <v>2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64">
        <f t="shared" si="1"/>
        <v>15</v>
      </c>
      <c r="Q83" s="64"/>
      <c r="R83" s="64">
        <v>10</v>
      </c>
      <c r="S83" s="64">
        <v>50</v>
      </c>
      <c r="T83" s="4"/>
    </row>
    <row r="84" spans="1:20" x14ac:dyDescent="0.25">
      <c r="A84" s="48">
        <v>81</v>
      </c>
      <c r="B84" s="11"/>
      <c r="C84" s="23"/>
      <c r="D84" s="23" t="s">
        <v>149</v>
      </c>
      <c r="E84" s="23"/>
      <c r="F84" s="23"/>
      <c r="G84" s="23"/>
      <c r="H84" s="23">
        <v>10</v>
      </c>
      <c r="I84" s="8" t="s">
        <v>2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4">
        <f t="shared" si="1"/>
        <v>10</v>
      </c>
      <c r="Q84" s="4"/>
      <c r="R84" s="4">
        <v>10</v>
      </c>
      <c r="S84" s="4">
        <v>50</v>
      </c>
      <c r="T84" s="4"/>
    </row>
    <row r="85" spans="1:20" x14ac:dyDescent="0.25">
      <c r="A85" s="8">
        <v>82</v>
      </c>
      <c r="D85" s="68" t="s">
        <v>148</v>
      </c>
      <c r="E85" s="27"/>
      <c r="F85" s="27"/>
      <c r="G85" s="28"/>
      <c r="H85" s="4">
        <v>98</v>
      </c>
      <c r="I85" s="8" t="s">
        <v>2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4">
        <f t="shared" si="1"/>
        <v>98</v>
      </c>
      <c r="Q85" s="4"/>
      <c r="R85" s="4">
        <v>50</v>
      </c>
      <c r="S85" s="4">
        <v>200</v>
      </c>
      <c r="T85" s="4"/>
    </row>
    <row r="86" spans="1:20" ht="15.75" customHeight="1" x14ac:dyDescent="0.25">
      <c r="A86" s="8">
        <v>83</v>
      </c>
      <c r="D86" s="79" t="s">
        <v>150</v>
      </c>
      <c r="E86" s="80"/>
      <c r="F86" s="81"/>
      <c r="G86" s="82"/>
      <c r="H86" s="4">
        <v>624</v>
      </c>
      <c r="I86" s="8" t="s">
        <v>2</v>
      </c>
      <c r="J86" s="3">
        <v>0</v>
      </c>
      <c r="K86" s="3">
        <v>25</v>
      </c>
      <c r="L86" s="3">
        <v>0</v>
      </c>
      <c r="M86" s="3">
        <v>0</v>
      </c>
      <c r="N86" s="3">
        <v>0</v>
      </c>
      <c r="O86" s="3">
        <v>175</v>
      </c>
      <c r="P86" s="4">
        <f t="shared" si="1"/>
        <v>424</v>
      </c>
      <c r="Q86" s="4"/>
      <c r="R86" s="4">
        <v>50</v>
      </c>
      <c r="S86" s="4">
        <v>300</v>
      </c>
      <c r="T86" s="4"/>
    </row>
    <row r="87" spans="1:20" x14ac:dyDescent="0.25">
      <c r="A87" s="8">
        <v>84</v>
      </c>
      <c r="D87" s="22" t="s">
        <v>160</v>
      </c>
      <c r="E87" s="10"/>
      <c r="F87" s="10"/>
      <c r="G87" s="11"/>
      <c r="H87" s="23">
        <v>832</v>
      </c>
      <c r="I87" s="8" t="s">
        <v>2</v>
      </c>
      <c r="J87" s="3">
        <v>0</v>
      </c>
      <c r="K87" s="3">
        <v>4</v>
      </c>
      <c r="L87" s="3">
        <v>0</v>
      </c>
      <c r="M87" s="3">
        <v>0</v>
      </c>
      <c r="N87" s="3">
        <v>0</v>
      </c>
      <c r="O87" s="3">
        <v>0</v>
      </c>
      <c r="P87" s="4">
        <f t="shared" si="1"/>
        <v>828</v>
      </c>
      <c r="Q87" s="4"/>
      <c r="R87" s="4">
        <v>20</v>
      </c>
      <c r="S87" s="4">
        <v>300</v>
      </c>
      <c r="T87" s="4"/>
    </row>
    <row r="88" spans="1:20" x14ac:dyDescent="0.25">
      <c r="A88" s="8">
        <v>85</v>
      </c>
      <c r="D88" s="49" t="s">
        <v>153</v>
      </c>
      <c r="E88" s="20"/>
      <c r="F88" s="20"/>
      <c r="G88" s="21"/>
      <c r="H88" s="23">
        <v>88</v>
      </c>
      <c r="I88" s="8" t="s">
        <v>2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4">
        <f t="shared" si="1"/>
        <v>88</v>
      </c>
      <c r="Q88" s="4"/>
      <c r="R88" s="4">
        <v>10</v>
      </c>
      <c r="S88" s="4">
        <v>200</v>
      </c>
      <c r="T88" s="4"/>
    </row>
    <row r="89" spans="1:20" x14ac:dyDescent="0.25">
      <c r="A89" s="77">
        <v>86</v>
      </c>
      <c r="D89" s="68" t="s">
        <v>162</v>
      </c>
      <c r="E89" s="27"/>
      <c r="F89" s="27"/>
      <c r="G89" s="28"/>
      <c r="H89" s="74">
        <v>85</v>
      </c>
      <c r="I89" s="75" t="s">
        <v>2</v>
      </c>
      <c r="J89" s="3">
        <v>0</v>
      </c>
      <c r="K89" s="3">
        <v>0</v>
      </c>
      <c r="L89" s="3">
        <v>0</v>
      </c>
      <c r="M89" s="3">
        <v>0</v>
      </c>
      <c r="N89" s="3">
        <v>0</v>
      </c>
      <c r="O89" s="3">
        <v>0</v>
      </c>
      <c r="P89" s="4">
        <f t="shared" si="1"/>
        <v>85</v>
      </c>
      <c r="Q89" s="4"/>
      <c r="R89" s="4">
        <v>10</v>
      </c>
      <c r="S89" s="4">
        <v>50</v>
      </c>
      <c r="T89" s="4"/>
    </row>
  </sheetData>
  <pageMargins left="0.75" right="0.75" top="1" bottom="1" header="0.5" footer="0.5"/>
  <pageSetup paperSize="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T89"/>
  <sheetViews>
    <sheetView topLeftCell="A25" workbookViewId="0">
      <selection activeCell="O14" sqref="O14"/>
    </sheetView>
  </sheetViews>
  <sheetFormatPr defaultRowHeight="15" x14ac:dyDescent="0.25"/>
  <cols>
    <col min="1" max="1" width="5.5703125" customWidth="1"/>
    <col min="2" max="3" width="9.140625" hidden="1" customWidth="1"/>
    <col min="6" max="6" width="12.7109375" customWidth="1"/>
    <col min="8" max="8" width="10.140625" customWidth="1"/>
    <col min="9" max="9" width="10" customWidth="1"/>
    <col min="10" max="10" width="7.7109375" customWidth="1"/>
    <col min="11" max="11" width="10.7109375" customWidth="1"/>
    <col min="12" max="12" width="10.140625" customWidth="1"/>
    <col min="13" max="13" width="11.85546875" customWidth="1"/>
    <col min="14" max="15" width="11.7109375" customWidth="1"/>
    <col min="16" max="16" width="10.140625" customWidth="1"/>
    <col min="17" max="17" width="4.7109375" customWidth="1"/>
    <col min="18" max="18" width="12.140625" customWidth="1"/>
    <col min="19" max="19" width="10.85546875" customWidth="1"/>
    <col min="20" max="20" width="13.85546875" customWidth="1"/>
  </cols>
  <sheetData>
    <row r="1" spans="1:20" x14ac:dyDescent="0.25">
      <c r="G1" s="1"/>
      <c r="P1">
        <f>+H1+J1-K1-L1-M1-N1-O1</f>
        <v>0</v>
      </c>
    </row>
    <row r="2" spans="1:20" x14ac:dyDescent="0.25">
      <c r="A2" t="s">
        <v>14</v>
      </c>
      <c r="D2" s="78">
        <v>45474</v>
      </c>
      <c r="O2" s="38" t="s">
        <v>14</v>
      </c>
      <c r="S2" s="50">
        <v>44837</v>
      </c>
    </row>
    <row r="3" spans="1:20" x14ac:dyDescent="0.25">
      <c r="A3" s="3" t="s">
        <v>15</v>
      </c>
      <c r="D3" s="9" t="s">
        <v>17</v>
      </c>
      <c r="E3" s="10"/>
      <c r="F3" s="10"/>
      <c r="G3" s="11"/>
      <c r="H3" s="12" t="s">
        <v>18</v>
      </c>
      <c r="I3" s="4" t="s">
        <v>19</v>
      </c>
      <c r="J3" s="3" t="s">
        <v>20</v>
      </c>
      <c r="K3" s="5">
        <v>45478</v>
      </c>
      <c r="L3" s="6">
        <v>45485</v>
      </c>
      <c r="M3" s="5">
        <v>45492</v>
      </c>
      <c r="N3" s="5">
        <v>45499</v>
      </c>
      <c r="O3" s="6">
        <v>45504</v>
      </c>
      <c r="P3" s="3" t="s">
        <v>21</v>
      </c>
      <c r="R3" s="42" t="s">
        <v>105</v>
      </c>
      <c r="S3" s="45" t="s">
        <v>104</v>
      </c>
      <c r="T3" s="4"/>
    </row>
    <row r="4" spans="1:20" x14ac:dyDescent="0.25">
      <c r="A4" s="7">
        <v>1</v>
      </c>
      <c r="D4" s="13" t="s">
        <v>16</v>
      </c>
      <c r="E4" s="14"/>
      <c r="F4" s="14"/>
      <c r="G4" s="15"/>
      <c r="H4" s="12">
        <v>390.35</v>
      </c>
      <c r="I4" s="7" t="s">
        <v>1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20</v>
      </c>
      <c r="P4" s="4">
        <f t="shared" ref="P4:P67" si="0">+H4+J4-K4-L4-M4-N4-O4</f>
        <v>370.35</v>
      </c>
      <c r="Q4" t="s">
        <v>172</v>
      </c>
      <c r="R4" s="43">
        <v>100</v>
      </c>
      <c r="S4" s="46">
        <v>500</v>
      </c>
      <c r="T4" s="4" t="s">
        <v>14</v>
      </c>
    </row>
    <row r="5" spans="1:20" x14ac:dyDescent="0.25">
      <c r="A5" s="7">
        <v>2</v>
      </c>
      <c r="D5" s="9" t="s">
        <v>22</v>
      </c>
      <c r="E5" s="10"/>
      <c r="F5" s="10"/>
      <c r="G5" s="11"/>
      <c r="H5" s="12">
        <v>0</v>
      </c>
      <c r="I5" s="7" t="s">
        <v>2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4">
        <f t="shared" si="0"/>
        <v>0</v>
      </c>
      <c r="Q5" s="1" t="s">
        <v>14</v>
      </c>
      <c r="R5" s="44">
        <v>6</v>
      </c>
      <c r="S5" s="47">
        <v>10</v>
      </c>
      <c r="T5" s="4"/>
    </row>
    <row r="6" spans="1:20" x14ac:dyDescent="0.25">
      <c r="A6" s="7">
        <v>3</v>
      </c>
      <c r="D6" s="16" t="s">
        <v>23</v>
      </c>
      <c r="E6" s="17"/>
      <c r="F6" s="17"/>
      <c r="G6" s="18"/>
      <c r="H6" s="12">
        <v>54</v>
      </c>
      <c r="I6" s="7" t="s">
        <v>2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4">
        <f t="shared" si="0"/>
        <v>54</v>
      </c>
      <c r="Q6" s="1" t="s">
        <v>14</v>
      </c>
      <c r="R6" s="44">
        <v>6</v>
      </c>
      <c r="S6" s="47">
        <v>10</v>
      </c>
      <c r="T6" s="4"/>
    </row>
    <row r="7" spans="1:20" x14ac:dyDescent="0.25">
      <c r="A7" s="7">
        <v>4</v>
      </c>
      <c r="D7" s="9" t="s">
        <v>3</v>
      </c>
      <c r="E7" s="10"/>
      <c r="F7" s="10"/>
      <c r="G7" s="11"/>
      <c r="H7" s="12">
        <v>30</v>
      </c>
      <c r="I7" s="7" t="s">
        <v>2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4">
        <f t="shared" si="0"/>
        <v>30</v>
      </c>
      <c r="Q7" s="1" t="s">
        <v>14</v>
      </c>
      <c r="R7" s="44">
        <v>6</v>
      </c>
      <c r="S7" s="47">
        <v>10</v>
      </c>
      <c r="T7" s="4"/>
    </row>
    <row r="8" spans="1:20" x14ac:dyDescent="0.25">
      <c r="A8" s="7">
        <v>5</v>
      </c>
      <c r="D8" s="16" t="s">
        <v>139</v>
      </c>
      <c r="E8" s="17"/>
      <c r="F8" s="17"/>
      <c r="G8" s="18"/>
      <c r="H8" s="12">
        <v>100</v>
      </c>
      <c r="I8" s="7" t="s">
        <v>2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4">
        <f t="shared" si="0"/>
        <v>100</v>
      </c>
      <c r="Q8" s="1" t="s">
        <v>14</v>
      </c>
      <c r="R8" s="44">
        <v>100</v>
      </c>
      <c r="S8" s="47">
        <v>400</v>
      </c>
      <c r="T8" s="4"/>
    </row>
    <row r="9" spans="1:20" x14ac:dyDescent="0.25">
      <c r="A9" s="7">
        <v>6</v>
      </c>
      <c r="D9" s="9" t="s">
        <v>24</v>
      </c>
      <c r="E9" s="10"/>
      <c r="F9" s="10"/>
      <c r="G9" s="11"/>
      <c r="H9" s="12">
        <v>18</v>
      </c>
      <c r="I9" s="7" t="s">
        <v>2</v>
      </c>
      <c r="J9" s="3">
        <v>100</v>
      </c>
      <c r="K9" s="3">
        <v>18</v>
      </c>
      <c r="L9" s="3">
        <v>10</v>
      </c>
      <c r="M9" s="3">
        <v>0</v>
      </c>
      <c r="N9" s="3">
        <v>0</v>
      </c>
      <c r="O9" s="3">
        <v>0</v>
      </c>
      <c r="P9" s="4">
        <f t="shared" si="0"/>
        <v>90</v>
      </c>
      <c r="Q9" s="1" t="s">
        <v>14</v>
      </c>
      <c r="R9" s="44">
        <v>60</v>
      </c>
      <c r="S9" s="47">
        <v>200</v>
      </c>
      <c r="T9" s="4"/>
    </row>
    <row r="10" spans="1:20" x14ac:dyDescent="0.25">
      <c r="A10" s="7">
        <v>7</v>
      </c>
      <c r="D10" s="16" t="s">
        <v>101</v>
      </c>
      <c r="E10" s="17"/>
      <c r="F10" s="17"/>
      <c r="G10" s="18"/>
      <c r="H10" s="12">
        <v>288</v>
      </c>
      <c r="I10" s="7" t="s">
        <v>2</v>
      </c>
      <c r="J10" s="3">
        <v>0</v>
      </c>
      <c r="K10" s="3">
        <v>2</v>
      </c>
      <c r="L10" s="3">
        <v>40</v>
      </c>
      <c r="M10" s="3">
        <v>0</v>
      </c>
      <c r="N10" s="3">
        <v>20</v>
      </c>
      <c r="O10" s="3">
        <v>0</v>
      </c>
      <c r="P10" s="4">
        <f t="shared" si="0"/>
        <v>226</v>
      </c>
      <c r="Q10" s="1" t="s">
        <v>14</v>
      </c>
      <c r="R10" s="44">
        <v>200</v>
      </c>
      <c r="S10" s="47">
        <v>500</v>
      </c>
      <c r="T10" s="4"/>
    </row>
    <row r="11" spans="1:20" x14ac:dyDescent="0.25">
      <c r="A11" s="7">
        <v>8</v>
      </c>
      <c r="D11" s="9" t="s">
        <v>25</v>
      </c>
      <c r="E11" s="10"/>
      <c r="F11" s="10"/>
      <c r="G11" s="11"/>
      <c r="H11" s="12">
        <v>293</v>
      </c>
      <c r="I11" s="7" t="s">
        <v>2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4">
        <f t="shared" si="0"/>
        <v>293</v>
      </c>
      <c r="Q11" s="1" t="s">
        <v>14</v>
      </c>
      <c r="R11" s="44">
        <v>50</v>
      </c>
      <c r="S11" s="47">
        <v>300</v>
      </c>
      <c r="T11" s="4"/>
    </row>
    <row r="12" spans="1:20" x14ac:dyDescent="0.25">
      <c r="A12" s="7">
        <v>9</v>
      </c>
      <c r="D12" s="16" t="s">
        <v>26</v>
      </c>
      <c r="E12" s="17"/>
      <c r="F12" s="17"/>
      <c r="G12" s="18"/>
      <c r="H12" s="12">
        <v>0</v>
      </c>
      <c r="I12" s="7" t="s">
        <v>2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4">
        <f t="shared" si="0"/>
        <v>0</v>
      </c>
      <c r="Q12" s="1" t="s">
        <v>14</v>
      </c>
      <c r="R12" s="44">
        <v>200</v>
      </c>
      <c r="S12" s="47">
        <v>400</v>
      </c>
      <c r="T12" s="4"/>
    </row>
    <row r="13" spans="1:20" x14ac:dyDescent="0.25">
      <c r="A13" s="7">
        <v>10</v>
      </c>
      <c r="D13" s="9" t="s">
        <v>6</v>
      </c>
      <c r="E13" s="10"/>
      <c r="F13" s="10"/>
      <c r="G13" s="11"/>
      <c r="H13" s="12">
        <v>60</v>
      </c>
      <c r="I13" s="7" t="s">
        <v>2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4">
        <f t="shared" si="0"/>
        <v>60</v>
      </c>
      <c r="Q13" s="1" t="s">
        <v>14</v>
      </c>
      <c r="R13" s="44">
        <v>10</v>
      </c>
      <c r="S13" s="46">
        <v>100</v>
      </c>
      <c r="T13" s="4"/>
    </row>
    <row r="14" spans="1:20" x14ac:dyDescent="0.25">
      <c r="A14" s="7">
        <v>11</v>
      </c>
      <c r="D14" s="16" t="s">
        <v>7</v>
      </c>
      <c r="E14" s="17"/>
      <c r="F14" s="17"/>
      <c r="G14" s="18"/>
      <c r="H14" s="12">
        <v>17</v>
      </c>
      <c r="I14" s="7" t="s">
        <v>171</v>
      </c>
      <c r="J14" s="3">
        <v>0</v>
      </c>
      <c r="K14" s="3">
        <v>1</v>
      </c>
      <c r="L14" s="3">
        <v>0</v>
      </c>
      <c r="M14" s="3">
        <v>0</v>
      </c>
      <c r="N14" s="3">
        <v>0</v>
      </c>
      <c r="O14" s="3">
        <v>8</v>
      </c>
      <c r="P14" s="4">
        <f t="shared" si="0"/>
        <v>8</v>
      </c>
      <c r="Q14" s="1" t="s">
        <v>14</v>
      </c>
      <c r="R14" s="44">
        <v>20</v>
      </c>
      <c r="S14" s="47">
        <v>50</v>
      </c>
      <c r="T14" s="4"/>
    </row>
    <row r="15" spans="1:20" x14ac:dyDescent="0.25">
      <c r="A15" s="7">
        <v>12</v>
      </c>
      <c r="D15" s="9" t="s">
        <v>69</v>
      </c>
      <c r="E15" s="10"/>
      <c r="F15" s="10"/>
      <c r="G15" s="11"/>
      <c r="H15" s="12">
        <v>14</v>
      </c>
      <c r="I15" s="7" t="s">
        <v>171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4">
        <f t="shared" si="0"/>
        <v>14</v>
      </c>
      <c r="Q15" s="1" t="s">
        <v>14</v>
      </c>
      <c r="R15" s="44">
        <v>100</v>
      </c>
      <c r="S15" s="47">
        <v>200</v>
      </c>
      <c r="T15" s="4"/>
    </row>
    <row r="16" spans="1:20" x14ac:dyDescent="0.25">
      <c r="A16" s="7">
        <v>13</v>
      </c>
      <c r="D16" s="16" t="s">
        <v>27</v>
      </c>
      <c r="E16" s="17"/>
      <c r="F16" s="17"/>
      <c r="G16" s="18"/>
      <c r="H16" s="12">
        <v>0</v>
      </c>
      <c r="I16" s="7" t="s">
        <v>2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4">
        <f t="shared" si="0"/>
        <v>0</v>
      </c>
      <c r="Q16" s="1" t="s">
        <v>14</v>
      </c>
      <c r="R16" s="44">
        <v>0</v>
      </c>
      <c r="S16" s="46"/>
      <c r="T16" s="4"/>
    </row>
    <row r="17" spans="1:20" x14ac:dyDescent="0.25">
      <c r="A17" s="7">
        <v>14</v>
      </c>
      <c r="D17" s="9" t="s">
        <v>73</v>
      </c>
      <c r="E17" s="10"/>
      <c r="F17" s="10"/>
      <c r="G17" s="11"/>
      <c r="H17" s="12">
        <v>781</v>
      </c>
      <c r="I17" s="7" t="s">
        <v>2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4">
        <f t="shared" si="0"/>
        <v>781</v>
      </c>
      <c r="Q17" s="1" t="s">
        <v>14</v>
      </c>
      <c r="R17" s="44">
        <v>0</v>
      </c>
      <c r="S17" s="46"/>
      <c r="T17" s="4"/>
    </row>
    <row r="18" spans="1:20" x14ac:dyDescent="0.25">
      <c r="A18" s="7">
        <v>15</v>
      </c>
      <c r="D18" s="16" t="s">
        <v>28</v>
      </c>
      <c r="E18" s="17"/>
      <c r="F18" s="17"/>
      <c r="G18" s="18"/>
      <c r="H18" s="12">
        <v>21</v>
      </c>
      <c r="I18" s="7" t="s">
        <v>2</v>
      </c>
      <c r="J18" s="3">
        <v>0</v>
      </c>
      <c r="K18" s="3">
        <v>3</v>
      </c>
      <c r="L18" s="3">
        <v>0</v>
      </c>
      <c r="M18" s="3">
        <v>18</v>
      </c>
      <c r="N18" s="3">
        <v>0</v>
      </c>
      <c r="O18" s="3">
        <v>0</v>
      </c>
      <c r="P18" s="4">
        <f t="shared" si="0"/>
        <v>0</v>
      </c>
      <c r="Q18" s="1" t="s">
        <v>14</v>
      </c>
      <c r="R18" s="44">
        <v>20</v>
      </c>
      <c r="S18" s="47">
        <v>50</v>
      </c>
      <c r="T18" s="4"/>
    </row>
    <row r="19" spans="1:20" x14ac:dyDescent="0.25">
      <c r="A19" s="7">
        <v>16</v>
      </c>
      <c r="D19" s="9" t="s">
        <v>29</v>
      </c>
      <c r="E19" s="10"/>
      <c r="F19" s="10"/>
      <c r="G19" s="11"/>
      <c r="H19" s="12">
        <v>13</v>
      </c>
      <c r="I19" s="7" t="s">
        <v>2</v>
      </c>
      <c r="J19" s="3">
        <v>0</v>
      </c>
      <c r="K19" s="3">
        <v>3</v>
      </c>
      <c r="L19" s="3">
        <v>0</v>
      </c>
      <c r="M19" s="3">
        <v>10</v>
      </c>
      <c r="N19" s="3">
        <v>0</v>
      </c>
      <c r="O19" s="3">
        <v>0</v>
      </c>
      <c r="P19" s="4">
        <f t="shared" si="0"/>
        <v>0</v>
      </c>
      <c r="Q19" s="1" t="s">
        <v>14</v>
      </c>
      <c r="R19" s="44">
        <v>20</v>
      </c>
      <c r="S19" s="47">
        <v>50</v>
      </c>
      <c r="T19" s="4"/>
    </row>
    <row r="20" spans="1:20" x14ac:dyDescent="0.25">
      <c r="A20" s="7">
        <v>17</v>
      </c>
      <c r="D20" s="16" t="s">
        <v>30</v>
      </c>
      <c r="E20" s="17"/>
      <c r="F20" s="17"/>
      <c r="G20" s="18"/>
      <c r="H20" s="12">
        <v>231</v>
      </c>
      <c r="I20" s="7" t="s">
        <v>2</v>
      </c>
      <c r="J20" s="3">
        <v>0</v>
      </c>
      <c r="K20" s="3">
        <v>3</v>
      </c>
      <c r="L20" s="3">
        <v>0</v>
      </c>
      <c r="M20" s="3">
        <v>12</v>
      </c>
      <c r="N20" s="3">
        <v>0</v>
      </c>
      <c r="O20" s="3">
        <v>0</v>
      </c>
      <c r="P20" s="4">
        <f t="shared" si="0"/>
        <v>216</v>
      </c>
      <c r="Q20" s="1" t="s">
        <v>14</v>
      </c>
      <c r="R20" s="44">
        <v>20</v>
      </c>
      <c r="S20" s="47">
        <v>50</v>
      </c>
      <c r="T20" s="4"/>
    </row>
    <row r="21" spans="1:20" x14ac:dyDescent="0.25">
      <c r="A21" s="7">
        <v>18</v>
      </c>
      <c r="D21" s="9" t="s">
        <v>129</v>
      </c>
      <c r="E21" s="10"/>
      <c r="F21" s="10"/>
      <c r="G21" s="11"/>
      <c r="H21" s="12">
        <v>11</v>
      </c>
      <c r="I21" s="7" t="s">
        <v>2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4">
        <f t="shared" si="0"/>
        <v>11</v>
      </c>
      <c r="Q21" s="1" t="s">
        <v>14</v>
      </c>
      <c r="R21" s="44">
        <v>10</v>
      </c>
      <c r="S21" s="46">
        <v>50</v>
      </c>
      <c r="T21" s="4"/>
    </row>
    <row r="22" spans="1:20" x14ac:dyDescent="0.25">
      <c r="A22" s="7">
        <v>19</v>
      </c>
      <c r="D22" s="55" t="s">
        <v>164</v>
      </c>
      <c r="E22" s="56"/>
      <c r="F22" s="56"/>
      <c r="G22" s="57"/>
      <c r="H22" s="12">
        <v>465</v>
      </c>
      <c r="I22" s="59" t="s">
        <v>1</v>
      </c>
      <c r="J22" s="3">
        <v>0</v>
      </c>
      <c r="K22" s="3">
        <v>20</v>
      </c>
      <c r="L22" s="3">
        <v>20</v>
      </c>
      <c r="M22" s="3">
        <v>60</v>
      </c>
      <c r="N22" s="3">
        <v>40</v>
      </c>
      <c r="O22" s="3">
        <v>40</v>
      </c>
      <c r="P22" s="46">
        <f t="shared" si="0"/>
        <v>285</v>
      </c>
      <c r="Q22" s="1" t="s">
        <v>14</v>
      </c>
      <c r="R22" s="44">
        <v>50</v>
      </c>
      <c r="S22" s="47">
        <v>200</v>
      </c>
      <c r="T22" s="4"/>
    </row>
    <row r="23" spans="1:20" x14ac:dyDescent="0.25">
      <c r="A23" s="7">
        <v>20</v>
      </c>
      <c r="D23" s="9" t="s">
        <v>32</v>
      </c>
      <c r="E23" s="10"/>
      <c r="F23" s="10"/>
      <c r="G23" s="11"/>
      <c r="H23" s="12">
        <v>850</v>
      </c>
      <c r="I23" s="7" t="s">
        <v>2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4">
        <f t="shared" si="0"/>
        <v>850</v>
      </c>
      <c r="Q23" s="1" t="s">
        <v>14</v>
      </c>
      <c r="R23" s="44">
        <v>50</v>
      </c>
      <c r="S23" s="46">
        <v>200</v>
      </c>
      <c r="T23" s="4"/>
    </row>
    <row r="24" spans="1:20" x14ac:dyDescent="0.25">
      <c r="A24" s="7">
        <v>21</v>
      </c>
      <c r="D24" s="16" t="s">
        <v>140</v>
      </c>
      <c r="E24" s="17"/>
      <c r="F24" s="17"/>
      <c r="G24" s="18"/>
      <c r="H24" s="12">
        <v>102</v>
      </c>
      <c r="I24" s="7" t="s">
        <v>2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4">
        <f t="shared" si="0"/>
        <v>102</v>
      </c>
      <c r="Q24" s="1" t="s">
        <v>14</v>
      </c>
      <c r="R24" s="44">
        <v>10</v>
      </c>
      <c r="S24" s="46">
        <v>100</v>
      </c>
      <c r="T24" s="4"/>
    </row>
    <row r="25" spans="1:20" x14ac:dyDescent="0.25">
      <c r="A25" s="7">
        <v>22</v>
      </c>
      <c r="D25" s="9" t="s">
        <v>34</v>
      </c>
      <c r="E25" s="10"/>
      <c r="F25" s="10"/>
      <c r="G25" s="11"/>
      <c r="H25" s="12">
        <v>8</v>
      </c>
      <c r="I25" s="7" t="s">
        <v>2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4">
        <f t="shared" si="0"/>
        <v>8</v>
      </c>
      <c r="Q25" s="1" t="s">
        <v>14</v>
      </c>
      <c r="R25" s="44">
        <v>10</v>
      </c>
      <c r="S25" s="46">
        <v>50</v>
      </c>
      <c r="T25" s="4"/>
    </row>
    <row r="26" spans="1:20" x14ac:dyDescent="0.25">
      <c r="A26" s="7">
        <v>23</v>
      </c>
      <c r="D26" s="16" t="s">
        <v>142</v>
      </c>
      <c r="E26" s="17"/>
      <c r="F26" s="17"/>
      <c r="G26" s="18"/>
      <c r="H26" s="12">
        <v>44</v>
      </c>
      <c r="I26" s="7" t="s">
        <v>2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4">
        <f t="shared" si="0"/>
        <v>44</v>
      </c>
      <c r="Q26" s="1" t="s">
        <v>14</v>
      </c>
      <c r="R26" s="44">
        <v>20</v>
      </c>
      <c r="S26" s="47">
        <v>50</v>
      </c>
      <c r="T26" s="4"/>
    </row>
    <row r="27" spans="1:20" x14ac:dyDescent="0.25">
      <c r="A27" s="7">
        <v>24</v>
      </c>
      <c r="D27" s="9" t="s">
        <v>141</v>
      </c>
      <c r="E27" s="10"/>
      <c r="F27" s="10"/>
      <c r="G27" s="11"/>
      <c r="H27" s="12">
        <v>0</v>
      </c>
      <c r="I27" s="7" t="s">
        <v>2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  <c r="P27" s="4">
        <f t="shared" si="0"/>
        <v>0</v>
      </c>
      <c r="Q27" s="1"/>
      <c r="R27" s="44">
        <v>20</v>
      </c>
      <c r="S27" s="47">
        <v>50</v>
      </c>
      <c r="T27" s="4"/>
    </row>
    <row r="28" spans="1:20" x14ac:dyDescent="0.25">
      <c r="A28" s="7">
        <v>25</v>
      </c>
      <c r="D28" s="9" t="s">
        <v>137</v>
      </c>
      <c r="E28" s="10"/>
      <c r="F28" s="10"/>
      <c r="G28" s="11"/>
      <c r="H28" s="12">
        <v>87</v>
      </c>
      <c r="I28" s="7" t="s">
        <v>2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4">
        <f t="shared" si="0"/>
        <v>87</v>
      </c>
      <c r="Q28" s="1" t="s">
        <v>14</v>
      </c>
      <c r="R28" s="44">
        <v>20</v>
      </c>
      <c r="S28" s="47">
        <v>50</v>
      </c>
      <c r="T28" s="4"/>
    </row>
    <row r="29" spans="1:20" x14ac:dyDescent="0.25">
      <c r="A29" s="7">
        <v>26</v>
      </c>
      <c r="D29" s="9" t="s">
        <v>138</v>
      </c>
      <c r="E29" s="10"/>
      <c r="F29" s="10"/>
      <c r="G29" s="11"/>
      <c r="H29" s="12">
        <v>127</v>
      </c>
      <c r="I29" s="7" t="s">
        <v>2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4">
        <f t="shared" si="0"/>
        <v>127</v>
      </c>
      <c r="Q29" s="1"/>
      <c r="R29" s="44">
        <v>10</v>
      </c>
      <c r="S29" s="47">
        <v>50</v>
      </c>
      <c r="T29" s="4"/>
    </row>
    <row r="30" spans="1:20" x14ac:dyDescent="0.25">
      <c r="A30" s="7">
        <v>27</v>
      </c>
      <c r="D30" s="16" t="s">
        <v>35</v>
      </c>
      <c r="E30" s="17"/>
      <c r="F30" s="17"/>
      <c r="G30" s="18"/>
      <c r="H30" s="12">
        <v>263</v>
      </c>
      <c r="I30" s="7" t="s">
        <v>2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4">
        <f t="shared" si="0"/>
        <v>263</v>
      </c>
      <c r="Q30" s="1" t="s">
        <v>14</v>
      </c>
      <c r="R30" s="44">
        <v>50</v>
      </c>
      <c r="S30" s="47">
        <v>100</v>
      </c>
      <c r="T30" s="4"/>
    </row>
    <row r="31" spans="1:20" x14ac:dyDescent="0.25">
      <c r="A31" s="7">
        <v>28</v>
      </c>
      <c r="D31" s="9" t="s">
        <v>36</v>
      </c>
      <c r="E31" s="10"/>
      <c r="F31" s="10"/>
      <c r="G31" s="11"/>
      <c r="H31" s="12">
        <v>18</v>
      </c>
      <c r="I31" s="7" t="s">
        <v>2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4">
        <f t="shared" si="0"/>
        <v>18</v>
      </c>
      <c r="Q31" s="1" t="s">
        <v>14</v>
      </c>
      <c r="R31" s="44">
        <v>50</v>
      </c>
      <c r="S31" s="47">
        <v>100</v>
      </c>
      <c r="T31" s="4"/>
    </row>
    <row r="32" spans="1:20" x14ac:dyDescent="0.25">
      <c r="A32" s="7">
        <v>29</v>
      </c>
      <c r="D32" s="16" t="s">
        <v>37</v>
      </c>
      <c r="E32" s="17"/>
      <c r="F32" s="17"/>
      <c r="G32" s="18"/>
      <c r="H32" s="12">
        <v>178</v>
      </c>
      <c r="I32" s="7" t="s">
        <v>2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4">
        <f t="shared" si="0"/>
        <v>178</v>
      </c>
      <c r="Q32" s="1" t="s">
        <v>14</v>
      </c>
      <c r="R32" s="44">
        <v>20</v>
      </c>
      <c r="S32" s="47">
        <v>50</v>
      </c>
      <c r="T32" s="4"/>
    </row>
    <row r="33" spans="1:20" x14ac:dyDescent="0.25">
      <c r="A33" s="7">
        <v>30</v>
      </c>
      <c r="D33" s="9" t="s">
        <v>38</v>
      </c>
      <c r="E33" s="10"/>
      <c r="F33" s="10"/>
      <c r="G33" s="11"/>
      <c r="H33" s="12">
        <v>174</v>
      </c>
      <c r="I33" s="7" t="s">
        <v>2</v>
      </c>
      <c r="J33" s="3">
        <v>0</v>
      </c>
      <c r="K33" s="3">
        <v>0</v>
      </c>
      <c r="L33" s="3">
        <v>14</v>
      </c>
      <c r="M33" s="3">
        <v>16</v>
      </c>
      <c r="N33" s="3">
        <v>0</v>
      </c>
      <c r="O33" s="3">
        <v>0</v>
      </c>
      <c r="P33" s="4">
        <f t="shared" si="0"/>
        <v>144</v>
      </c>
      <c r="Q33" s="1" t="s">
        <v>14</v>
      </c>
      <c r="R33" s="44">
        <v>50</v>
      </c>
      <c r="S33" s="47">
        <v>100</v>
      </c>
      <c r="T33" s="4"/>
    </row>
    <row r="34" spans="1:20" x14ac:dyDescent="0.25">
      <c r="A34" s="7">
        <v>31</v>
      </c>
      <c r="D34" s="16" t="s">
        <v>39</v>
      </c>
      <c r="E34" s="17"/>
      <c r="F34" s="17"/>
      <c r="G34" s="18"/>
      <c r="H34" s="12">
        <v>51</v>
      </c>
      <c r="I34" s="7" t="s">
        <v>2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4">
        <f t="shared" si="0"/>
        <v>51</v>
      </c>
      <c r="Q34" s="1" t="s">
        <v>14</v>
      </c>
      <c r="R34" s="44">
        <v>20</v>
      </c>
      <c r="S34" s="47">
        <v>50</v>
      </c>
      <c r="T34" s="4"/>
    </row>
    <row r="35" spans="1:20" x14ac:dyDescent="0.25">
      <c r="A35" s="7">
        <v>32</v>
      </c>
      <c r="D35" s="9" t="s">
        <v>40</v>
      </c>
      <c r="E35" s="10"/>
      <c r="F35" s="10"/>
      <c r="G35" s="11"/>
      <c r="H35" s="12">
        <f>'ARALIK 3 HAFTA '!P33</f>
        <v>1075</v>
      </c>
      <c r="I35" s="7" t="s">
        <v>2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4">
        <f t="shared" si="0"/>
        <v>1075</v>
      </c>
      <c r="Q35" s="1" t="s">
        <v>14</v>
      </c>
      <c r="R35" s="44">
        <v>100</v>
      </c>
      <c r="S35" s="46">
        <v>300</v>
      </c>
      <c r="T35" s="4"/>
    </row>
    <row r="36" spans="1:20" x14ac:dyDescent="0.25">
      <c r="A36" s="7">
        <v>33</v>
      </c>
      <c r="D36" s="9" t="s">
        <v>9</v>
      </c>
      <c r="E36" s="10"/>
      <c r="F36" s="10"/>
      <c r="G36" s="11"/>
      <c r="H36" s="83">
        <v>109</v>
      </c>
      <c r="I36" s="7" t="s">
        <v>132</v>
      </c>
      <c r="J36" s="3">
        <v>0</v>
      </c>
      <c r="K36" s="3">
        <v>5</v>
      </c>
      <c r="L36" s="3">
        <v>0</v>
      </c>
      <c r="M36" s="3">
        <v>0</v>
      </c>
      <c r="N36" s="3">
        <v>4</v>
      </c>
      <c r="O36" s="3">
        <v>0</v>
      </c>
      <c r="P36" s="4">
        <f t="shared" si="0"/>
        <v>100</v>
      </c>
      <c r="Q36" s="1" t="s">
        <v>14</v>
      </c>
      <c r="R36" s="44">
        <v>50</v>
      </c>
      <c r="S36" s="47">
        <v>100</v>
      </c>
      <c r="T36" s="4"/>
    </row>
    <row r="37" spans="1:20" x14ac:dyDescent="0.25">
      <c r="A37" s="7">
        <v>34</v>
      </c>
      <c r="D37" s="19" t="s">
        <v>166</v>
      </c>
      <c r="E37" s="20"/>
      <c r="F37" s="20"/>
      <c r="G37" s="21"/>
      <c r="H37" s="69">
        <v>42</v>
      </c>
      <c r="I37" s="7" t="s">
        <v>2</v>
      </c>
      <c r="J37" s="3">
        <v>0</v>
      </c>
      <c r="K37" s="3">
        <v>5</v>
      </c>
      <c r="L37" s="3">
        <v>0</v>
      </c>
      <c r="M37" s="3">
        <v>0</v>
      </c>
      <c r="N37" s="3">
        <v>0</v>
      </c>
      <c r="O37" s="3">
        <v>19</v>
      </c>
      <c r="P37" s="4">
        <f t="shared" si="0"/>
        <v>18</v>
      </c>
      <c r="Q37" s="1" t="s">
        <v>14</v>
      </c>
      <c r="R37" s="44">
        <v>50</v>
      </c>
      <c r="S37" s="46">
        <v>200</v>
      </c>
      <c r="T37" s="4"/>
    </row>
    <row r="38" spans="1:20" x14ac:dyDescent="0.25">
      <c r="A38" s="7">
        <v>35</v>
      </c>
      <c r="D38" s="16" t="s">
        <v>143</v>
      </c>
      <c r="E38" s="17"/>
      <c r="F38" s="17"/>
      <c r="G38" s="18"/>
      <c r="H38" s="12">
        <v>70</v>
      </c>
      <c r="I38" s="7" t="s">
        <v>2</v>
      </c>
      <c r="J38" s="3">
        <v>0</v>
      </c>
      <c r="K38" s="3">
        <v>5</v>
      </c>
      <c r="L38" s="3">
        <v>0</v>
      </c>
      <c r="M38" s="3">
        <v>0</v>
      </c>
      <c r="N38" s="3">
        <v>4</v>
      </c>
      <c r="O38" s="3">
        <v>19</v>
      </c>
      <c r="P38" s="4">
        <f t="shared" si="0"/>
        <v>42</v>
      </c>
      <c r="Q38" s="1" t="s">
        <v>14</v>
      </c>
      <c r="R38" s="44">
        <v>50</v>
      </c>
      <c r="S38" s="46">
        <v>100</v>
      </c>
      <c r="T38" s="4"/>
    </row>
    <row r="39" spans="1:20" x14ac:dyDescent="0.25">
      <c r="A39" s="7">
        <v>36</v>
      </c>
      <c r="D39" s="9" t="s">
        <v>144</v>
      </c>
      <c r="E39" s="10"/>
      <c r="F39" s="10"/>
      <c r="G39" s="11"/>
      <c r="H39" s="12">
        <v>97</v>
      </c>
      <c r="I39" s="7" t="s">
        <v>2</v>
      </c>
      <c r="J39" s="3">
        <v>0</v>
      </c>
      <c r="K39" s="3">
        <v>5</v>
      </c>
      <c r="L39" s="3">
        <v>0</v>
      </c>
      <c r="M39" s="3">
        <v>0</v>
      </c>
      <c r="N39" s="3">
        <v>4</v>
      </c>
      <c r="O39" s="3">
        <v>19</v>
      </c>
      <c r="P39" s="4">
        <f t="shared" si="0"/>
        <v>69</v>
      </c>
      <c r="Q39" s="1" t="s">
        <v>14</v>
      </c>
      <c r="R39" s="44">
        <v>50</v>
      </c>
      <c r="S39" s="47">
        <v>100</v>
      </c>
      <c r="T39" s="4"/>
    </row>
    <row r="40" spans="1:20" x14ac:dyDescent="0.25">
      <c r="A40" s="7">
        <v>37</v>
      </c>
      <c r="D40" s="16" t="s">
        <v>42</v>
      </c>
      <c r="E40" s="17"/>
      <c r="F40" s="17"/>
      <c r="G40" s="18"/>
      <c r="H40" s="12">
        <v>80</v>
      </c>
      <c r="I40" s="7" t="s">
        <v>2</v>
      </c>
      <c r="J40" s="3">
        <v>0</v>
      </c>
      <c r="K40" s="3">
        <v>5</v>
      </c>
      <c r="L40" s="3">
        <v>0</v>
      </c>
      <c r="M40" s="3">
        <v>0</v>
      </c>
      <c r="N40" s="3">
        <v>4</v>
      </c>
      <c r="O40" s="3">
        <v>19</v>
      </c>
      <c r="P40" s="4">
        <f t="shared" si="0"/>
        <v>52</v>
      </c>
      <c r="Q40" s="1" t="s">
        <v>14</v>
      </c>
      <c r="R40" s="44">
        <v>50</v>
      </c>
      <c r="S40" s="47">
        <v>100</v>
      </c>
      <c r="T40" s="4"/>
    </row>
    <row r="41" spans="1:20" x14ac:dyDescent="0.25">
      <c r="A41" s="7">
        <v>38</v>
      </c>
      <c r="D41" s="9" t="s">
        <v>133</v>
      </c>
      <c r="E41" s="10"/>
      <c r="F41" s="10"/>
      <c r="G41" s="11"/>
      <c r="H41" s="12">
        <v>139</v>
      </c>
      <c r="I41" s="7" t="s">
        <v>2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4">
        <f t="shared" si="0"/>
        <v>139</v>
      </c>
      <c r="Q41" s="1" t="s">
        <v>14</v>
      </c>
      <c r="R41" s="44">
        <v>20</v>
      </c>
      <c r="S41" s="47">
        <v>50</v>
      </c>
      <c r="T41" s="4"/>
    </row>
    <row r="42" spans="1:20" x14ac:dyDescent="0.25">
      <c r="A42" s="7">
        <v>39</v>
      </c>
      <c r="D42" s="16" t="s">
        <v>145</v>
      </c>
      <c r="E42" s="17"/>
      <c r="F42" s="17"/>
      <c r="G42" s="18"/>
      <c r="H42" s="12">
        <v>139</v>
      </c>
      <c r="I42" s="7" t="s">
        <v>2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4">
        <f t="shared" si="0"/>
        <v>139</v>
      </c>
      <c r="Q42" s="1" t="s">
        <v>14</v>
      </c>
      <c r="R42" s="44">
        <v>20</v>
      </c>
      <c r="S42" s="46">
        <v>50</v>
      </c>
      <c r="T42" s="4"/>
    </row>
    <row r="43" spans="1:20" x14ac:dyDescent="0.25">
      <c r="A43" s="7">
        <v>40</v>
      </c>
      <c r="D43" s="9" t="s">
        <v>71</v>
      </c>
      <c r="E43" s="10"/>
      <c r="F43" s="10"/>
      <c r="G43" s="11"/>
      <c r="H43" s="12">
        <v>0</v>
      </c>
      <c r="I43" s="7" t="s">
        <v>2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4">
        <f t="shared" si="0"/>
        <v>0</v>
      </c>
      <c r="Q43" s="1" t="s">
        <v>14</v>
      </c>
      <c r="R43" s="44">
        <v>5</v>
      </c>
      <c r="S43" s="47">
        <v>10</v>
      </c>
      <c r="T43" s="4"/>
    </row>
    <row r="44" spans="1:20" x14ac:dyDescent="0.25">
      <c r="A44" s="7">
        <v>41</v>
      </c>
      <c r="D44" s="16" t="s">
        <v>10</v>
      </c>
      <c r="E44" s="17"/>
      <c r="F44" s="17"/>
      <c r="G44" s="18"/>
      <c r="H44" s="12">
        <v>111</v>
      </c>
      <c r="I44" s="7" t="s">
        <v>2</v>
      </c>
      <c r="J44" s="3">
        <v>0</v>
      </c>
      <c r="K44" s="3">
        <v>10</v>
      </c>
      <c r="L44" s="3">
        <v>0</v>
      </c>
      <c r="M44" s="3">
        <v>0</v>
      </c>
      <c r="N44" s="3">
        <v>0</v>
      </c>
      <c r="O44" s="3">
        <v>0</v>
      </c>
      <c r="P44" s="4">
        <f t="shared" si="0"/>
        <v>101</v>
      </c>
      <c r="Q44" s="1" t="s">
        <v>14</v>
      </c>
      <c r="R44" s="44">
        <v>40</v>
      </c>
      <c r="S44" s="47">
        <v>100</v>
      </c>
      <c r="T44" s="4"/>
    </row>
    <row r="45" spans="1:20" x14ac:dyDescent="0.25">
      <c r="A45" s="7">
        <v>42</v>
      </c>
      <c r="D45" s="9" t="s">
        <v>45</v>
      </c>
      <c r="E45" s="10"/>
      <c r="F45" s="10"/>
      <c r="G45" s="11"/>
      <c r="H45" s="12">
        <v>46</v>
      </c>
      <c r="I45" s="7" t="s">
        <v>2</v>
      </c>
      <c r="J45" s="3">
        <v>0</v>
      </c>
      <c r="K45" s="3">
        <v>10</v>
      </c>
      <c r="L45" s="3">
        <v>0</v>
      </c>
      <c r="M45" s="3">
        <v>0</v>
      </c>
      <c r="N45" s="3">
        <v>0</v>
      </c>
      <c r="O45" s="3">
        <v>0</v>
      </c>
      <c r="P45" s="4">
        <f t="shared" si="0"/>
        <v>36</v>
      </c>
      <c r="Q45" s="1" t="s">
        <v>14</v>
      </c>
      <c r="R45" s="44">
        <v>20</v>
      </c>
      <c r="S45" s="47">
        <v>50</v>
      </c>
      <c r="T45" s="4"/>
    </row>
    <row r="46" spans="1:20" x14ac:dyDescent="0.25">
      <c r="A46" s="7">
        <v>43</v>
      </c>
      <c r="D46" s="16" t="s">
        <v>46</v>
      </c>
      <c r="E46" s="17"/>
      <c r="F46" s="17"/>
      <c r="G46" s="18"/>
      <c r="H46" s="12">
        <v>37</v>
      </c>
      <c r="I46" s="7" t="s">
        <v>2</v>
      </c>
      <c r="J46" s="3">
        <v>0</v>
      </c>
      <c r="K46" s="3">
        <v>10</v>
      </c>
      <c r="L46" s="3">
        <v>0</v>
      </c>
      <c r="M46" s="3">
        <v>0</v>
      </c>
      <c r="N46" s="3">
        <v>0</v>
      </c>
      <c r="O46" s="3">
        <v>0</v>
      </c>
      <c r="P46" s="4">
        <f t="shared" si="0"/>
        <v>27</v>
      </c>
      <c r="Q46" s="1" t="s">
        <v>14</v>
      </c>
      <c r="R46" s="44">
        <v>20</v>
      </c>
      <c r="S46" s="47">
        <v>50</v>
      </c>
      <c r="T46" s="4"/>
    </row>
    <row r="47" spans="1:20" x14ac:dyDescent="0.25">
      <c r="A47" s="7">
        <v>44</v>
      </c>
      <c r="D47" s="9" t="s">
        <v>47</v>
      </c>
      <c r="E47" s="10"/>
      <c r="F47" s="10"/>
      <c r="G47" s="11"/>
      <c r="H47" s="12">
        <v>35</v>
      </c>
      <c r="I47" s="7" t="s">
        <v>2</v>
      </c>
      <c r="J47" s="3">
        <v>0</v>
      </c>
      <c r="K47" s="3">
        <v>10</v>
      </c>
      <c r="L47" s="3">
        <v>0</v>
      </c>
      <c r="M47" s="3">
        <v>0</v>
      </c>
      <c r="N47" s="3">
        <v>0</v>
      </c>
      <c r="O47" s="3">
        <v>0</v>
      </c>
      <c r="P47" s="4">
        <f t="shared" si="0"/>
        <v>25</v>
      </c>
      <c r="Q47" s="1" t="s">
        <v>14</v>
      </c>
      <c r="R47" s="44">
        <v>20</v>
      </c>
      <c r="S47" s="47">
        <v>50</v>
      </c>
      <c r="T47" s="4"/>
    </row>
    <row r="48" spans="1:20" x14ac:dyDescent="0.25">
      <c r="A48" s="7">
        <v>45</v>
      </c>
      <c r="D48" s="16" t="s">
        <v>79</v>
      </c>
      <c r="E48" s="17"/>
      <c r="F48" s="17"/>
      <c r="G48" s="18"/>
      <c r="H48" s="12">
        <v>0</v>
      </c>
      <c r="I48" s="7" t="s">
        <v>2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4">
        <f t="shared" si="0"/>
        <v>0</v>
      </c>
      <c r="Q48" s="1" t="s">
        <v>14</v>
      </c>
      <c r="R48" s="44">
        <v>10</v>
      </c>
      <c r="S48" s="47">
        <v>20</v>
      </c>
      <c r="T48" s="4"/>
    </row>
    <row r="49" spans="1:20" x14ac:dyDescent="0.25">
      <c r="A49" s="7">
        <v>46</v>
      </c>
      <c r="D49" s="9" t="s">
        <v>48</v>
      </c>
      <c r="E49" s="10"/>
      <c r="F49" s="10"/>
      <c r="G49" s="11"/>
      <c r="H49" s="12">
        <v>57</v>
      </c>
      <c r="I49" s="7" t="s">
        <v>2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4">
        <f t="shared" si="0"/>
        <v>57</v>
      </c>
      <c r="Q49" s="1" t="s">
        <v>14</v>
      </c>
      <c r="R49" s="44">
        <v>10</v>
      </c>
      <c r="S49" s="47">
        <v>20</v>
      </c>
      <c r="T49" s="4" t="s">
        <v>14</v>
      </c>
    </row>
    <row r="50" spans="1:20" x14ac:dyDescent="0.25">
      <c r="A50" s="7">
        <v>47</v>
      </c>
      <c r="D50" s="16" t="s">
        <v>49</v>
      </c>
      <c r="E50" s="17"/>
      <c r="F50" s="17"/>
      <c r="G50" s="18"/>
      <c r="H50" s="12">
        <v>104</v>
      </c>
      <c r="I50" s="7" t="s">
        <v>2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4">
        <f t="shared" si="0"/>
        <v>104</v>
      </c>
      <c r="Q50" s="1" t="s">
        <v>14</v>
      </c>
      <c r="R50" s="44">
        <v>10</v>
      </c>
      <c r="S50" s="47">
        <v>20</v>
      </c>
      <c r="T50" s="4"/>
    </row>
    <row r="51" spans="1:20" x14ac:dyDescent="0.25">
      <c r="A51" s="7">
        <v>48</v>
      </c>
      <c r="D51" s="9" t="s">
        <v>169</v>
      </c>
      <c r="E51" s="10"/>
      <c r="F51" s="10"/>
      <c r="G51" s="11"/>
      <c r="H51" s="12">
        <v>30</v>
      </c>
      <c r="I51" s="7" t="s">
        <v>1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4">
        <f t="shared" si="0"/>
        <v>30</v>
      </c>
      <c r="Q51" s="1" t="s">
        <v>14</v>
      </c>
      <c r="R51" s="44">
        <v>20</v>
      </c>
      <c r="S51" s="47">
        <v>100</v>
      </c>
      <c r="T51" s="4"/>
    </row>
    <row r="52" spans="1:20" x14ac:dyDescent="0.25">
      <c r="A52" s="7">
        <v>49</v>
      </c>
      <c r="D52" s="88"/>
      <c r="E52" s="89"/>
      <c r="F52" s="90" t="s">
        <v>111</v>
      </c>
      <c r="G52" s="87"/>
      <c r="H52" s="12">
        <v>256</v>
      </c>
      <c r="I52" s="7" t="s">
        <v>2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4">
        <f t="shared" si="0"/>
        <v>256</v>
      </c>
      <c r="Q52" s="1" t="s">
        <v>14</v>
      </c>
      <c r="R52" s="44">
        <v>30</v>
      </c>
      <c r="S52" s="47">
        <v>100</v>
      </c>
      <c r="T52" s="4"/>
    </row>
    <row r="53" spans="1:20" x14ac:dyDescent="0.25">
      <c r="A53" s="7">
        <v>50</v>
      </c>
      <c r="D53" s="9" t="s">
        <v>51</v>
      </c>
      <c r="E53" s="10"/>
      <c r="F53" s="10"/>
      <c r="G53" s="11"/>
      <c r="H53" s="12">
        <v>47</v>
      </c>
      <c r="I53" s="7" t="s">
        <v>2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4">
        <f t="shared" si="0"/>
        <v>47</v>
      </c>
      <c r="Q53" s="1" t="s">
        <v>14</v>
      </c>
      <c r="R53" s="44">
        <v>20</v>
      </c>
      <c r="S53" s="47">
        <v>50</v>
      </c>
      <c r="T53" s="4"/>
    </row>
    <row r="54" spans="1:20" x14ac:dyDescent="0.25">
      <c r="A54" s="7">
        <v>51</v>
      </c>
      <c r="D54" s="16" t="s">
        <v>52</v>
      </c>
      <c r="E54" s="17"/>
      <c r="F54" s="17"/>
      <c r="G54" s="18"/>
      <c r="H54" s="12">
        <v>47</v>
      </c>
      <c r="I54" s="7" t="s">
        <v>2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  <c r="P54" s="4">
        <f t="shared" si="0"/>
        <v>47</v>
      </c>
      <c r="Q54" s="1" t="s">
        <v>14</v>
      </c>
      <c r="R54" s="44">
        <v>20</v>
      </c>
      <c r="S54" s="47">
        <v>50</v>
      </c>
      <c r="T54" s="4" t="s">
        <v>14</v>
      </c>
    </row>
    <row r="55" spans="1:20" x14ac:dyDescent="0.25">
      <c r="A55" s="7">
        <v>52</v>
      </c>
      <c r="D55" s="9" t="s">
        <v>53</v>
      </c>
      <c r="E55" s="10"/>
      <c r="F55" s="10"/>
      <c r="G55" s="11"/>
      <c r="H55" s="12">
        <v>47</v>
      </c>
      <c r="I55" s="7" t="s">
        <v>2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  <c r="P55" s="4">
        <f t="shared" si="0"/>
        <v>47</v>
      </c>
      <c r="Q55" s="1" t="s">
        <v>14</v>
      </c>
      <c r="R55" s="44">
        <v>20</v>
      </c>
      <c r="S55" s="47">
        <v>50</v>
      </c>
      <c r="T55" s="4"/>
    </row>
    <row r="56" spans="1:20" x14ac:dyDescent="0.25">
      <c r="A56" s="7">
        <v>53</v>
      </c>
      <c r="D56" s="70" t="s">
        <v>54</v>
      </c>
      <c r="E56" s="71"/>
      <c r="F56" s="71"/>
      <c r="G56" s="72"/>
      <c r="H56" s="12">
        <v>975</v>
      </c>
      <c r="I56" s="7" t="s">
        <v>1</v>
      </c>
      <c r="J56" s="3">
        <v>1440</v>
      </c>
      <c r="K56" s="3">
        <v>90</v>
      </c>
      <c r="L56" s="3">
        <v>165</v>
      </c>
      <c r="M56" s="3">
        <v>60</v>
      </c>
      <c r="N56" s="3">
        <v>120</v>
      </c>
      <c r="O56" s="3">
        <v>105</v>
      </c>
      <c r="P56" s="4">
        <f t="shared" si="0"/>
        <v>1875</v>
      </c>
      <c r="Q56" s="1" t="s">
        <v>120</v>
      </c>
      <c r="R56" s="44">
        <v>250</v>
      </c>
      <c r="S56" s="47">
        <v>750</v>
      </c>
      <c r="T56" s="4"/>
    </row>
    <row r="57" spans="1:20" x14ac:dyDescent="0.25">
      <c r="A57" s="7">
        <v>54</v>
      </c>
      <c r="D57" s="16" t="s">
        <v>61</v>
      </c>
      <c r="E57" s="17"/>
      <c r="F57" s="17"/>
      <c r="G57" s="18"/>
      <c r="H57" s="12">
        <v>246</v>
      </c>
      <c r="I57" s="7" t="s">
        <v>2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  <c r="P57" s="4">
        <f t="shared" si="0"/>
        <v>246</v>
      </c>
      <c r="Q57" s="1" t="s">
        <v>14</v>
      </c>
      <c r="R57" s="44">
        <v>10</v>
      </c>
      <c r="S57" s="46">
        <v>200</v>
      </c>
      <c r="T57" s="4"/>
    </row>
    <row r="58" spans="1:20" x14ac:dyDescent="0.25">
      <c r="A58" s="7">
        <v>55</v>
      </c>
      <c r="D58" s="9" t="s">
        <v>62</v>
      </c>
      <c r="E58" s="10"/>
      <c r="F58" s="10"/>
      <c r="G58" s="11"/>
      <c r="H58" s="12">
        <v>1450</v>
      </c>
      <c r="I58" s="7" t="s">
        <v>2</v>
      </c>
      <c r="J58" s="3">
        <v>1700</v>
      </c>
      <c r="K58" s="3">
        <v>12</v>
      </c>
      <c r="L58" s="3">
        <v>0</v>
      </c>
      <c r="M58" s="3">
        <v>0</v>
      </c>
      <c r="N58" s="3">
        <v>0</v>
      </c>
      <c r="O58" s="3">
        <v>12</v>
      </c>
      <c r="P58" s="4">
        <f t="shared" si="0"/>
        <v>3126</v>
      </c>
      <c r="Q58" s="1" t="s">
        <v>14</v>
      </c>
      <c r="R58" s="44">
        <v>200</v>
      </c>
      <c r="S58" s="47">
        <v>1000</v>
      </c>
      <c r="T58" s="4"/>
    </row>
    <row r="59" spans="1:20" x14ac:dyDescent="0.25">
      <c r="A59" s="7">
        <v>56</v>
      </c>
      <c r="D59" s="16" t="s">
        <v>13</v>
      </c>
      <c r="E59" s="17"/>
      <c r="F59" s="17"/>
      <c r="G59" s="18"/>
      <c r="H59" s="12">
        <v>278</v>
      </c>
      <c r="I59" s="7" t="s">
        <v>2</v>
      </c>
      <c r="J59" s="3">
        <v>1650</v>
      </c>
      <c r="K59" s="3">
        <v>0</v>
      </c>
      <c r="L59" s="3">
        <v>0</v>
      </c>
      <c r="M59" s="3">
        <v>150</v>
      </c>
      <c r="N59" s="3">
        <v>450</v>
      </c>
      <c r="O59" s="3">
        <v>300</v>
      </c>
      <c r="P59" s="4">
        <f t="shared" si="0"/>
        <v>1028</v>
      </c>
      <c r="Q59" s="1" t="s">
        <v>14</v>
      </c>
      <c r="R59" s="44">
        <v>100</v>
      </c>
      <c r="S59" s="47">
        <v>300</v>
      </c>
      <c r="T59" s="4"/>
    </row>
    <row r="60" spans="1:20" x14ac:dyDescent="0.25">
      <c r="A60" s="7">
        <v>57</v>
      </c>
      <c r="D60" s="9" t="s">
        <v>72</v>
      </c>
      <c r="E60" s="10"/>
      <c r="F60" s="10"/>
      <c r="G60" s="11"/>
      <c r="H60" s="12">
        <v>130</v>
      </c>
      <c r="I60" s="7" t="s">
        <v>2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4">
        <f t="shared" si="0"/>
        <v>130</v>
      </c>
      <c r="Q60" s="1" t="s">
        <v>14</v>
      </c>
      <c r="R60" s="44">
        <v>100</v>
      </c>
      <c r="S60" s="47">
        <v>300</v>
      </c>
      <c r="T60" s="4"/>
    </row>
    <row r="61" spans="1:20" x14ac:dyDescent="0.25">
      <c r="A61" s="7">
        <v>58</v>
      </c>
      <c r="D61" s="16" t="s">
        <v>63</v>
      </c>
      <c r="E61" s="17"/>
      <c r="F61" s="17"/>
      <c r="G61" s="18"/>
      <c r="H61" s="12">
        <v>14</v>
      </c>
      <c r="I61" s="7" t="s">
        <v>2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4">
        <f t="shared" si="0"/>
        <v>14</v>
      </c>
      <c r="Q61" s="1" t="s">
        <v>14</v>
      </c>
      <c r="R61" s="44">
        <v>100</v>
      </c>
      <c r="S61" s="47">
        <v>300</v>
      </c>
      <c r="T61" s="4"/>
    </row>
    <row r="62" spans="1:20" x14ac:dyDescent="0.25">
      <c r="A62" s="7">
        <v>59</v>
      </c>
      <c r="D62" s="9" t="s">
        <v>77</v>
      </c>
      <c r="E62" s="10"/>
      <c r="F62" s="10"/>
      <c r="G62" s="11"/>
      <c r="H62" s="12">
        <v>504</v>
      </c>
      <c r="I62" s="7" t="s">
        <v>2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4">
        <f t="shared" si="0"/>
        <v>504</v>
      </c>
      <c r="Q62" s="1" t="s">
        <v>14</v>
      </c>
      <c r="R62" s="44">
        <v>100</v>
      </c>
      <c r="S62" s="47">
        <v>300</v>
      </c>
      <c r="T62" s="4"/>
    </row>
    <row r="63" spans="1:20" x14ac:dyDescent="0.25">
      <c r="A63" s="7">
        <v>60</v>
      </c>
      <c r="D63" s="16" t="s">
        <v>130</v>
      </c>
      <c r="E63" s="17"/>
      <c r="F63" s="17"/>
      <c r="G63" s="18"/>
      <c r="H63" s="12">
        <v>195</v>
      </c>
      <c r="I63" s="7" t="s">
        <v>2</v>
      </c>
      <c r="J63" s="3">
        <v>0</v>
      </c>
      <c r="K63" s="3">
        <v>0</v>
      </c>
      <c r="L63" s="3">
        <v>0</v>
      </c>
      <c r="M63" s="3">
        <v>0</v>
      </c>
      <c r="N63" s="3">
        <v>1</v>
      </c>
      <c r="O63" s="3">
        <v>0</v>
      </c>
      <c r="P63" s="4">
        <f t="shared" si="0"/>
        <v>194</v>
      </c>
      <c r="Q63" s="1" t="s">
        <v>14</v>
      </c>
      <c r="R63" s="44">
        <v>20</v>
      </c>
      <c r="S63" s="46">
        <v>200</v>
      </c>
      <c r="T63" s="4"/>
    </row>
    <row r="64" spans="1:20" x14ac:dyDescent="0.25">
      <c r="A64" s="7">
        <v>61</v>
      </c>
      <c r="D64" s="26" t="s">
        <v>146</v>
      </c>
      <c r="E64" s="27"/>
      <c r="F64" s="27"/>
      <c r="G64" s="28"/>
      <c r="H64" s="12">
        <v>1</v>
      </c>
      <c r="I64" s="30" t="s">
        <v>2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4">
        <f t="shared" si="0"/>
        <v>1</v>
      </c>
      <c r="Q64" s="1" t="s">
        <v>14</v>
      </c>
      <c r="R64" s="44">
        <v>50</v>
      </c>
      <c r="S64" s="47">
        <v>100</v>
      </c>
      <c r="T64" s="4"/>
    </row>
    <row r="65" spans="1:20" x14ac:dyDescent="0.25">
      <c r="A65" s="7">
        <v>62</v>
      </c>
      <c r="D65" s="16" t="s">
        <v>65</v>
      </c>
      <c r="E65" s="17"/>
      <c r="F65" s="17"/>
      <c r="G65" s="18"/>
      <c r="H65" s="12">
        <v>54</v>
      </c>
      <c r="I65" s="7" t="s">
        <v>2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4">
        <f t="shared" si="0"/>
        <v>54</v>
      </c>
      <c r="Q65" s="1" t="s">
        <v>14</v>
      </c>
      <c r="R65" s="44">
        <v>10</v>
      </c>
      <c r="S65" s="46">
        <v>50</v>
      </c>
      <c r="T65" s="4"/>
    </row>
    <row r="66" spans="1:20" x14ac:dyDescent="0.25">
      <c r="A66" s="7">
        <v>63</v>
      </c>
      <c r="D66" s="9" t="s">
        <v>66</v>
      </c>
      <c r="E66" s="10"/>
      <c r="F66" s="10"/>
      <c r="G66" s="11"/>
      <c r="H66" s="12">
        <v>50</v>
      </c>
      <c r="I66" s="7" t="s">
        <v>2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  <c r="P66" s="4">
        <f t="shared" si="0"/>
        <v>50</v>
      </c>
      <c r="Q66" s="1" t="s">
        <v>14</v>
      </c>
      <c r="R66" s="44">
        <v>300</v>
      </c>
      <c r="S66" s="47">
        <v>1000</v>
      </c>
      <c r="T66" s="4"/>
    </row>
    <row r="67" spans="1:20" x14ac:dyDescent="0.25">
      <c r="A67" s="7">
        <v>64</v>
      </c>
      <c r="D67" s="19" t="s">
        <v>165</v>
      </c>
      <c r="E67" s="20"/>
      <c r="F67" s="20"/>
      <c r="G67" s="21"/>
      <c r="H67" s="12">
        <v>74</v>
      </c>
      <c r="I67" s="7" t="s">
        <v>2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  <c r="P67" s="4">
        <f t="shared" si="0"/>
        <v>74</v>
      </c>
      <c r="Q67" s="1" t="s">
        <v>14</v>
      </c>
      <c r="R67" s="44">
        <v>50</v>
      </c>
      <c r="S67" s="47">
        <v>150</v>
      </c>
      <c r="T67" s="4"/>
    </row>
    <row r="68" spans="1:20" x14ac:dyDescent="0.25">
      <c r="A68" s="7">
        <v>65</v>
      </c>
      <c r="D68" s="22" t="s">
        <v>74</v>
      </c>
      <c r="E68" s="10"/>
      <c r="F68" s="10"/>
      <c r="G68" s="11"/>
      <c r="H68" s="12">
        <v>520</v>
      </c>
      <c r="I68" s="8" t="s">
        <v>75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4">
        <f t="shared" ref="P68:P89" si="1">+H68+J68-K68-L68-M68-N68-O68</f>
        <v>520</v>
      </c>
      <c r="Q68" s="1" t="s">
        <v>91</v>
      </c>
      <c r="R68" s="44">
        <v>65</v>
      </c>
      <c r="S68" s="47">
        <v>150</v>
      </c>
      <c r="T68" s="4"/>
    </row>
    <row r="69" spans="1:20" x14ac:dyDescent="0.25">
      <c r="A69" s="7">
        <v>66</v>
      </c>
      <c r="C69" s="1" t="s">
        <v>14</v>
      </c>
      <c r="D69" s="22" t="s">
        <v>76</v>
      </c>
      <c r="E69" s="10"/>
      <c r="F69" s="10"/>
      <c r="G69" s="11"/>
      <c r="H69" s="12">
        <v>232</v>
      </c>
      <c r="I69" s="8" t="s">
        <v>2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4">
        <f t="shared" si="1"/>
        <v>232</v>
      </c>
      <c r="Q69" s="1" t="s">
        <v>14</v>
      </c>
      <c r="R69" s="44">
        <v>50</v>
      </c>
      <c r="S69" s="47">
        <v>100</v>
      </c>
      <c r="T69" s="4"/>
    </row>
    <row r="70" spans="1:20" x14ac:dyDescent="0.25">
      <c r="A70" s="7">
        <v>67</v>
      </c>
      <c r="D70" s="25" t="s">
        <v>147</v>
      </c>
      <c r="H70" s="12">
        <v>598</v>
      </c>
      <c r="I70" s="30" t="s">
        <v>2</v>
      </c>
      <c r="J70" s="3">
        <v>0</v>
      </c>
      <c r="K70" s="3">
        <v>3</v>
      </c>
      <c r="L70" s="3">
        <v>14</v>
      </c>
      <c r="M70" s="3">
        <v>16</v>
      </c>
      <c r="N70" s="3">
        <v>0</v>
      </c>
      <c r="O70" s="3">
        <v>0</v>
      </c>
      <c r="P70" s="4">
        <f t="shared" si="1"/>
        <v>565</v>
      </c>
      <c r="Q70" s="1" t="s">
        <v>14</v>
      </c>
      <c r="R70" s="44">
        <v>50</v>
      </c>
      <c r="S70" s="47">
        <v>100</v>
      </c>
      <c r="T70" s="4"/>
    </row>
    <row r="71" spans="1:20" x14ac:dyDescent="0.25">
      <c r="A71" s="7">
        <v>68</v>
      </c>
      <c r="D71" s="26" t="s">
        <v>80</v>
      </c>
      <c r="E71" s="27"/>
      <c r="F71" s="27"/>
      <c r="G71" s="28"/>
      <c r="H71" s="12">
        <v>81</v>
      </c>
      <c r="I71" s="8" t="s">
        <v>2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4">
        <f t="shared" si="1"/>
        <v>81</v>
      </c>
      <c r="Q71" s="1" t="s">
        <v>14</v>
      </c>
      <c r="R71" s="44">
        <v>20</v>
      </c>
      <c r="S71" s="46">
        <v>200</v>
      </c>
      <c r="T71" s="4"/>
    </row>
    <row r="72" spans="1:20" x14ac:dyDescent="0.25">
      <c r="A72" s="7">
        <v>69</v>
      </c>
      <c r="D72" s="26" t="s">
        <v>84</v>
      </c>
      <c r="E72" s="27"/>
      <c r="F72" s="27"/>
      <c r="G72" s="28"/>
      <c r="H72" s="12">
        <v>0</v>
      </c>
      <c r="I72" s="8" t="s">
        <v>2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  <c r="P72" s="4">
        <f t="shared" si="1"/>
        <v>0</v>
      </c>
      <c r="Q72" s="1" t="s">
        <v>14</v>
      </c>
      <c r="R72" s="44">
        <v>100</v>
      </c>
      <c r="S72" s="47">
        <v>200</v>
      </c>
      <c r="T72" s="4"/>
    </row>
    <row r="73" spans="1:20" x14ac:dyDescent="0.25">
      <c r="A73" s="7">
        <v>70</v>
      </c>
      <c r="D73" s="26" t="s">
        <v>167</v>
      </c>
      <c r="E73" s="27"/>
      <c r="F73" s="27"/>
      <c r="G73" s="28"/>
      <c r="H73" s="12">
        <v>83</v>
      </c>
      <c r="I73" s="8" t="s">
        <v>2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4">
        <f t="shared" si="1"/>
        <v>83</v>
      </c>
      <c r="R73" s="44">
        <v>20</v>
      </c>
      <c r="S73" s="46">
        <v>200</v>
      </c>
      <c r="T73" s="4"/>
    </row>
    <row r="74" spans="1:20" x14ac:dyDescent="0.25">
      <c r="A74" s="7">
        <v>71</v>
      </c>
      <c r="D74" s="37" t="s">
        <v>14</v>
      </c>
      <c r="E74" s="17"/>
      <c r="F74" s="33"/>
      <c r="G74" s="33"/>
      <c r="H74" s="12">
        <v>0</v>
      </c>
      <c r="I74" s="8" t="s">
        <v>14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4">
        <f t="shared" si="1"/>
        <v>0</v>
      </c>
      <c r="Q74" s="1" t="s">
        <v>14</v>
      </c>
      <c r="R74" s="44">
        <v>100</v>
      </c>
      <c r="S74" s="47">
        <v>500</v>
      </c>
      <c r="T74" s="4"/>
    </row>
    <row r="75" spans="1:20" x14ac:dyDescent="0.25">
      <c r="A75" s="7">
        <v>72</v>
      </c>
      <c r="D75" s="22" t="s">
        <v>100</v>
      </c>
      <c r="E75" s="10"/>
      <c r="F75" s="10"/>
      <c r="G75" s="28"/>
      <c r="H75" s="12">
        <v>0</v>
      </c>
      <c r="I75" s="8" t="s">
        <v>2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4">
        <f t="shared" si="1"/>
        <v>0</v>
      </c>
      <c r="R75" s="44">
        <v>0</v>
      </c>
      <c r="S75" s="46"/>
      <c r="T75" s="4"/>
    </row>
    <row r="76" spans="1:20" x14ac:dyDescent="0.25">
      <c r="A76" s="7">
        <v>73</v>
      </c>
      <c r="D76" s="37" t="s">
        <v>113</v>
      </c>
      <c r="E76" s="17"/>
      <c r="F76" s="17"/>
      <c r="G76" s="33"/>
      <c r="H76" s="12">
        <v>626</v>
      </c>
      <c r="I76" s="8" t="s">
        <v>97</v>
      </c>
      <c r="J76" s="3">
        <v>0</v>
      </c>
      <c r="K76" s="3">
        <v>75</v>
      </c>
      <c r="L76" s="3">
        <v>33</v>
      </c>
      <c r="M76" s="3">
        <v>48</v>
      </c>
      <c r="N76" s="3">
        <v>49</v>
      </c>
      <c r="O76" s="3">
        <v>55</v>
      </c>
      <c r="P76" s="4">
        <f t="shared" si="1"/>
        <v>366</v>
      </c>
      <c r="Q76" s="65" t="s">
        <v>121</v>
      </c>
      <c r="R76" s="44">
        <v>30</v>
      </c>
      <c r="S76" s="47">
        <v>100</v>
      </c>
      <c r="T76" s="4"/>
    </row>
    <row r="77" spans="1:20" x14ac:dyDescent="0.25">
      <c r="A77" s="7">
        <v>74</v>
      </c>
      <c r="D77" s="22" t="s">
        <v>103</v>
      </c>
      <c r="E77" s="10"/>
      <c r="F77" s="10"/>
      <c r="G77" s="28"/>
      <c r="H77" s="12">
        <v>120</v>
      </c>
      <c r="I77" s="8" t="s">
        <v>2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4">
        <f t="shared" si="1"/>
        <v>120</v>
      </c>
      <c r="R77" s="44">
        <v>60</v>
      </c>
      <c r="S77" s="47">
        <v>100</v>
      </c>
      <c r="T77" s="4"/>
    </row>
    <row r="78" spans="1:20" x14ac:dyDescent="0.25">
      <c r="A78" s="8">
        <v>75</v>
      </c>
      <c r="D78" s="49" t="s">
        <v>108</v>
      </c>
      <c r="E78" s="20"/>
      <c r="F78" s="20"/>
      <c r="G78" s="20"/>
      <c r="H78" s="12">
        <v>11000</v>
      </c>
      <c r="I78" s="8" t="s">
        <v>110</v>
      </c>
      <c r="J78" s="3">
        <v>36000</v>
      </c>
      <c r="K78" s="3">
        <v>4500</v>
      </c>
      <c r="L78" s="3">
        <v>1000</v>
      </c>
      <c r="M78" s="3">
        <v>2000</v>
      </c>
      <c r="N78" s="3">
        <v>1500</v>
      </c>
      <c r="O78" s="3">
        <v>1000</v>
      </c>
      <c r="P78" s="4">
        <f t="shared" si="1"/>
        <v>37000</v>
      </c>
      <c r="R78" s="43">
        <v>1000</v>
      </c>
      <c r="S78" s="46">
        <v>10000</v>
      </c>
      <c r="T78" s="4"/>
    </row>
    <row r="79" spans="1:20" x14ac:dyDescent="0.25">
      <c r="A79" s="48">
        <v>76</v>
      </c>
      <c r="B79" s="41"/>
      <c r="C79" s="41"/>
      <c r="D79" s="22" t="s">
        <v>115</v>
      </c>
      <c r="E79" s="10"/>
      <c r="F79" s="10"/>
      <c r="G79" s="11"/>
      <c r="H79" s="12">
        <v>604</v>
      </c>
      <c r="I79" s="62" t="s">
        <v>2</v>
      </c>
      <c r="J79" s="3">
        <v>0</v>
      </c>
      <c r="K79" s="3">
        <v>3</v>
      </c>
      <c r="L79" s="3">
        <v>0</v>
      </c>
      <c r="M79" s="3">
        <v>0</v>
      </c>
      <c r="N79" s="3">
        <v>0</v>
      </c>
      <c r="O79" s="3">
        <v>0</v>
      </c>
      <c r="P79" s="64">
        <f t="shared" si="1"/>
        <v>601</v>
      </c>
      <c r="R79" s="64">
        <v>50</v>
      </c>
      <c r="S79" s="64">
        <v>100</v>
      </c>
      <c r="T79" s="4" t="s">
        <v>14</v>
      </c>
    </row>
    <row r="80" spans="1:20" x14ac:dyDescent="0.25">
      <c r="A80" s="73">
        <v>77</v>
      </c>
      <c r="B80" s="41"/>
      <c r="C80" s="41"/>
      <c r="D80" s="49" t="s">
        <v>134</v>
      </c>
      <c r="E80" s="35"/>
      <c r="F80" s="35"/>
      <c r="G80" s="60"/>
      <c r="H80" s="12">
        <v>320</v>
      </c>
      <c r="I80" s="8" t="s">
        <v>2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  <c r="P80" s="4">
        <f t="shared" si="1"/>
        <v>320</v>
      </c>
      <c r="Q80" s="4"/>
      <c r="R80" s="4">
        <v>20</v>
      </c>
      <c r="S80" s="4">
        <v>50</v>
      </c>
      <c r="T80" s="4"/>
    </row>
    <row r="81" spans="1:20" x14ac:dyDescent="0.25">
      <c r="A81" s="8">
        <v>78</v>
      </c>
      <c r="D81" s="22" t="s">
        <v>123</v>
      </c>
      <c r="E81" s="10"/>
      <c r="F81" s="10"/>
      <c r="G81" s="11"/>
      <c r="H81" s="12">
        <v>1300</v>
      </c>
      <c r="I81" s="8" t="s">
        <v>2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  <c r="P81" s="4">
        <f t="shared" si="1"/>
        <v>1300</v>
      </c>
      <c r="Q81" s="4"/>
      <c r="R81" s="4">
        <v>100</v>
      </c>
      <c r="S81" s="4">
        <v>500</v>
      </c>
      <c r="T81" s="4"/>
    </row>
    <row r="82" spans="1:20" x14ac:dyDescent="0.25">
      <c r="A82" s="48">
        <v>79</v>
      </c>
      <c r="B82" s="41"/>
      <c r="C82" s="41"/>
      <c r="D82" s="22" t="s">
        <v>154</v>
      </c>
      <c r="E82" s="10"/>
      <c r="F82" s="10"/>
      <c r="G82" s="11"/>
      <c r="H82" s="4">
        <v>15</v>
      </c>
      <c r="I82" s="8" t="s">
        <v>2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  <c r="P82" s="4">
        <f t="shared" si="1"/>
        <v>15</v>
      </c>
      <c r="Q82" s="4"/>
      <c r="R82" s="4">
        <v>10</v>
      </c>
      <c r="S82" s="4">
        <v>50</v>
      </c>
      <c r="T82" s="4"/>
    </row>
    <row r="83" spans="1:20" x14ac:dyDescent="0.25">
      <c r="A83" s="48">
        <v>80</v>
      </c>
      <c r="B83" s="41"/>
      <c r="C83" s="41"/>
      <c r="D83" s="37" t="s">
        <v>155</v>
      </c>
      <c r="E83" s="17"/>
      <c r="F83" s="17"/>
      <c r="G83" s="18"/>
      <c r="H83" s="64">
        <v>15</v>
      </c>
      <c r="I83" s="62" t="s">
        <v>2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64">
        <f t="shared" si="1"/>
        <v>15</v>
      </c>
      <c r="Q83" s="64"/>
      <c r="R83" s="64">
        <v>10</v>
      </c>
      <c r="S83" s="64">
        <v>50</v>
      </c>
      <c r="T83" s="4"/>
    </row>
    <row r="84" spans="1:20" x14ac:dyDescent="0.25">
      <c r="A84" s="48">
        <v>81</v>
      </c>
      <c r="B84" s="11"/>
      <c r="C84" s="23"/>
      <c r="D84" s="23" t="s">
        <v>149</v>
      </c>
      <c r="E84" s="23"/>
      <c r="F84" s="23"/>
      <c r="G84" s="23"/>
      <c r="H84" s="23">
        <v>10</v>
      </c>
      <c r="I84" s="8" t="s">
        <v>2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4">
        <f t="shared" si="1"/>
        <v>10</v>
      </c>
      <c r="Q84" s="4"/>
      <c r="R84" s="4">
        <v>10</v>
      </c>
      <c r="S84" s="4">
        <v>50</v>
      </c>
      <c r="T84" s="4"/>
    </row>
    <row r="85" spans="1:20" x14ac:dyDescent="0.25">
      <c r="A85" s="8">
        <v>82</v>
      </c>
      <c r="D85" s="68" t="s">
        <v>148</v>
      </c>
      <c r="E85" s="27"/>
      <c r="F85" s="27"/>
      <c r="G85" s="28"/>
      <c r="H85" s="4">
        <v>98</v>
      </c>
      <c r="I85" s="8" t="s">
        <v>2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4">
        <f t="shared" si="1"/>
        <v>98</v>
      </c>
      <c r="Q85" s="4"/>
      <c r="R85" s="4">
        <v>50</v>
      </c>
      <c r="S85" s="4">
        <v>200</v>
      </c>
      <c r="T85" s="4"/>
    </row>
    <row r="86" spans="1:20" ht="15.75" customHeight="1" x14ac:dyDescent="0.25">
      <c r="A86" s="8">
        <v>83</v>
      </c>
      <c r="D86" s="79" t="s">
        <v>150</v>
      </c>
      <c r="E86" s="80"/>
      <c r="F86" s="81"/>
      <c r="G86" s="82"/>
      <c r="H86" s="4">
        <v>224</v>
      </c>
      <c r="I86" s="8" t="s">
        <v>2</v>
      </c>
      <c r="J86" s="3">
        <v>200</v>
      </c>
      <c r="K86" s="3">
        <v>100</v>
      </c>
      <c r="L86" s="3">
        <v>50</v>
      </c>
      <c r="M86" s="3">
        <v>0</v>
      </c>
      <c r="N86" s="3">
        <v>6</v>
      </c>
      <c r="O86" s="3">
        <v>13</v>
      </c>
      <c r="P86" s="4">
        <f t="shared" si="1"/>
        <v>255</v>
      </c>
      <c r="Q86" s="4"/>
      <c r="R86" s="4">
        <v>50</v>
      </c>
      <c r="S86" s="4">
        <v>300</v>
      </c>
      <c r="T86" s="4"/>
    </row>
    <row r="87" spans="1:20" x14ac:dyDescent="0.25">
      <c r="A87" s="8">
        <v>84</v>
      </c>
      <c r="D87" s="22" t="s">
        <v>160</v>
      </c>
      <c r="E87" s="10"/>
      <c r="F87" s="10"/>
      <c r="G87" s="11"/>
      <c r="H87" s="23">
        <v>828</v>
      </c>
      <c r="I87" s="8" t="s">
        <v>2</v>
      </c>
      <c r="J87" s="3">
        <v>0</v>
      </c>
      <c r="K87" s="3">
        <v>1</v>
      </c>
      <c r="L87" s="3">
        <v>0</v>
      </c>
      <c r="M87" s="3">
        <v>0</v>
      </c>
      <c r="N87" s="3">
        <v>0</v>
      </c>
      <c r="O87" s="3">
        <v>0</v>
      </c>
      <c r="P87" s="4">
        <f t="shared" si="1"/>
        <v>827</v>
      </c>
      <c r="Q87" s="4"/>
      <c r="R87" s="4">
        <v>20</v>
      </c>
      <c r="S87" s="4">
        <v>300</v>
      </c>
      <c r="T87" s="4"/>
    </row>
    <row r="88" spans="1:20" x14ac:dyDescent="0.25">
      <c r="A88" s="8">
        <v>85</v>
      </c>
      <c r="D88" s="49" t="s">
        <v>153</v>
      </c>
      <c r="E88" s="20"/>
      <c r="F88" s="20"/>
      <c r="G88" s="21"/>
      <c r="H88" s="23">
        <v>88</v>
      </c>
      <c r="I88" s="8" t="s">
        <v>2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4">
        <f t="shared" si="1"/>
        <v>88</v>
      </c>
      <c r="Q88" s="4"/>
      <c r="R88" s="4">
        <v>10</v>
      </c>
      <c r="S88" s="4">
        <v>200</v>
      </c>
      <c r="T88" s="4"/>
    </row>
    <row r="89" spans="1:20" x14ac:dyDescent="0.25">
      <c r="A89" s="77">
        <v>86</v>
      </c>
      <c r="D89" s="68" t="s">
        <v>162</v>
      </c>
      <c r="E89" s="27"/>
      <c r="F89" s="27"/>
      <c r="G89" s="28"/>
      <c r="H89" s="74">
        <v>85</v>
      </c>
      <c r="I89" s="75" t="s">
        <v>2</v>
      </c>
      <c r="J89" s="3">
        <v>0</v>
      </c>
      <c r="K89" s="3">
        <v>0</v>
      </c>
      <c r="L89" s="3">
        <v>0</v>
      </c>
      <c r="M89" s="3">
        <v>0</v>
      </c>
      <c r="N89" s="3">
        <v>0</v>
      </c>
      <c r="O89" s="3">
        <v>0</v>
      </c>
      <c r="P89" s="4">
        <f t="shared" si="1"/>
        <v>85</v>
      </c>
      <c r="Q89" s="4"/>
      <c r="R89" s="4">
        <v>10</v>
      </c>
      <c r="S89" s="4">
        <v>50</v>
      </c>
      <c r="T89" s="4"/>
    </row>
  </sheetData>
  <pageMargins left="0.75" right="0.75" top="1" bottom="1" header="0.5" footer="0.5"/>
  <pageSetup paperSize="9"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T89"/>
  <sheetViews>
    <sheetView topLeftCell="A59" workbookViewId="0">
      <selection activeCell="A65" sqref="A65:XFD65"/>
    </sheetView>
  </sheetViews>
  <sheetFormatPr defaultRowHeight="15" x14ac:dyDescent="0.25"/>
  <cols>
    <col min="1" max="1" width="5.5703125" customWidth="1"/>
    <col min="2" max="3" width="9.140625" hidden="1" customWidth="1"/>
    <col min="6" max="6" width="12.7109375" customWidth="1"/>
    <col min="8" max="8" width="10.140625" customWidth="1"/>
    <col min="9" max="9" width="10" customWidth="1"/>
    <col min="10" max="10" width="7.7109375" customWidth="1"/>
    <col min="11" max="11" width="10.7109375" customWidth="1"/>
    <col min="12" max="12" width="10.140625" customWidth="1"/>
    <col min="13" max="13" width="11.85546875" customWidth="1"/>
    <col min="14" max="15" width="11.7109375" customWidth="1"/>
    <col min="16" max="16" width="10.140625" customWidth="1"/>
    <col min="17" max="17" width="4.7109375" customWidth="1"/>
    <col min="18" max="18" width="12.140625" customWidth="1"/>
    <col min="19" max="19" width="10.85546875" customWidth="1"/>
    <col min="20" max="20" width="13.85546875" customWidth="1"/>
  </cols>
  <sheetData>
    <row r="1" spans="1:20" x14ac:dyDescent="0.25">
      <c r="G1" s="1"/>
      <c r="P1">
        <f>+H1+J1-K1-L1-M1-N1-O1</f>
        <v>0</v>
      </c>
    </row>
    <row r="2" spans="1:20" x14ac:dyDescent="0.25">
      <c r="A2" t="s">
        <v>14</v>
      </c>
      <c r="D2" s="78">
        <v>45505</v>
      </c>
      <c r="O2" s="38" t="s">
        <v>14</v>
      </c>
      <c r="S2" s="50">
        <v>44837</v>
      </c>
    </row>
    <row r="3" spans="1:20" x14ac:dyDescent="0.25">
      <c r="A3" s="3" t="s">
        <v>15</v>
      </c>
      <c r="D3" s="9" t="s">
        <v>17</v>
      </c>
      <c r="E3" s="10"/>
      <c r="F3" s="10"/>
      <c r="G3" s="11"/>
      <c r="H3" s="12" t="s">
        <v>18</v>
      </c>
      <c r="I3" s="4" t="s">
        <v>19</v>
      </c>
      <c r="J3" s="3" t="s">
        <v>20</v>
      </c>
      <c r="K3" s="5">
        <v>45509</v>
      </c>
      <c r="L3" s="6">
        <v>45516</v>
      </c>
      <c r="M3" s="5">
        <v>45527</v>
      </c>
      <c r="N3" s="5">
        <v>45530</v>
      </c>
      <c r="O3" s="6">
        <v>45534</v>
      </c>
      <c r="P3" s="3" t="s">
        <v>21</v>
      </c>
      <c r="R3" s="42" t="s">
        <v>105</v>
      </c>
      <c r="S3" s="45" t="s">
        <v>104</v>
      </c>
      <c r="T3" s="4"/>
    </row>
    <row r="4" spans="1:20" x14ac:dyDescent="0.25">
      <c r="A4" s="7">
        <v>1</v>
      </c>
      <c r="D4" s="13" t="s">
        <v>16</v>
      </c>
      <c r="E4" s="14"/>
      <c r="F4" s="14"/>
      <c r="G4" s="15"/>
      <c r="H4" s="12">
        <v>370</v>
      </c>
      <c r="I4" s="7" t="s">
        <v>1</v>
      </c>
      <c r="J4" s="3">
        <v>0</v>
      </c>
      <c r="K4" s="3">
        <v>20</v>
      </c>
      <c r="L4" s="3">
        <v>20</v>
      </c>
      <c r="M4" s="3">
        <v>40</v>
      </c>
      <c r="N4" s="3">
        <v>0</v>
      </c>
      <c r="O4" s="3">
        <v>0</v>
      </c>
      <c r="P4" s="4">
        <f t="shared" ref="P4:P67" si="0">+H4+J4-K4-L4-M4-N4-O4</f>
        <v>290</v>
      </c>
      <c r="Q4" t="s">
        <v>172</v>
      </c>
      <c r="R4" s="43">
        <v>100</v>
      </c>
      <c r="S4" s="46">
        <v>500</v>
      </c>
      <c r="T4" s="4" t="s">
        <v>14</v>
      </c>
    </row>
    <row r="5" spans="1:20" x14ac:dyDescent="0.25">
      <c r="A5" s="7">
        <v>2</v>
      </c>
      <c r="D5" s="9" t="s">
        <v>22</v>
      </c>
      <c r="E5" s="10"/>
      <c r="F5" s="10"/>
      <c r="G5" s="11"/>
      <c r="H5" s="12">
        <v>0</v>
      </c>
      <c r="I5" s="7" t="s">
        <v>2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4">
        <f t="shared" si="0"/>
        <v>0</v>
      </c>
      <c r="Q5" s="1" t="s">
        <v>14</v>
      </c>
      <c r="R5" s="44">
        <v>6</v>
      </c>
      <c r="S5" s="47">
        <v>10</v>
      </c>
      <c r="T5" s="4"/>
    </row>
    <row r="6" spans="1:20" x14ac:dyDescent="0.25">
      <c r="A6" s="7">
        <v>3</v>
      </c>
      <c r="D6" s="16" t="s">
        <v>23</v>
      </c>
      <c r="E6" s="17"/>
      <c r="F6" s="17"/>
      <c r="G6" s="18"/>
      <c r="H6" s="12">
        <v>54</v>
      </c>
      <c r="I6" s="7" t="s">
        <v>2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4">
        <f t="shared" si="0"/>
        <v>54</v>
      </c>
      <c r="Q6" s="1" t="s">
        <v>14</v>
      </c>
      <c r="R6" s="44">
        <v>6</v>
      </c>
      <c r="S6" s="47">
        <v>10</v>
      </c>
      <c r="T6" s="4"/>
    </row>
    <row r="7" spans="1:20" x14ac:dyDescent="0.25">
      <c r="A7" s="7">
        <v>4</v>
      </c>
      <c r="D7" s="9" t="s">
        <v>3</v>
      </c>
      <c r="E7" s="10"/>
      <c r="F7" s="10"/>
      <c r="G7" s="11"/>
      <c r="H7" s="12">
        <v>30</v>
      </c>
      <c r="I7" s="7" t="s">
        <v>2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4">
        <f t="shared" si="0"/>
        <v>30</v>
      </c>
      <c r="Q7" s="1" t="s">
        <v>14</v>
      </c>
      <c r="R7" s="44">
        <v>6</v>
      </c>
      <c r="S7" s="47">
        <v>10</v>
      </c>
      <c r="T7" s="4"/>
    </row>
    <row r="8" spans="1:20" x14ac:dyDescent="0.25">
      <c r="A8" s="7">
        <v>5</v>
      </c>
      <c r="D8" s="16" t="s">
        <v>139</v>
      </c>
      <c r="E8" s="17"/>
      <c r="F8" s="17"/>
      <c r="G8" s="18"/>
      <c r="H8" s="12">
        <v>100</v>
      </c>
      <c r="I8" s="7" t="s">
        <v>2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4">
        <f t="shared" si="0"/>
        <v>100</v>
      </c>
      <c r="Q8" s="1" t="s">
        <v>14</v>
      </c>
      <c r="R8" s="44">
        <v>100</v>
      </c>
      <c r="S8" s="47">
        <v>400</v>
      </c>
      <c r="T8" s="4"/>
    </row>
    <row r="9" spans="1:20" x14ac:dyDescent="0.25">
      <c r="A9" s="7">
        <v>6</v>
      </c>
      <c r="D9" s="9" t="s">
        <v>24</v>
      </c>
      <c r="E9" s="10"/>
      <c r="F9" s="10"/>
      <c r="G9" s="11"/>
      <c r="H9" s="12">
        <v>90</v>
      </c>
      <c r="I9" s="7" t="s">
        <v>2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40</v>
      </c>
      <c r="P9" s="4">
        <f t="shared" si="0"/>
        <v>50</v>
      </c>
      <c r="Q9" s="1" t="s">
        <v>14</v>
      </c>
      <c r="R9" s="44">
        <v>60</v>
      </c>
      <c r="S9" s="47">
        <v>200</v>
      </c>
      <c r="T9" s="4"/>
    </row>
    <row r="10" spans="1:20" x14ac:dyDescent="0.25">
      <c r="A10" s="7">
        <v>7</v>
      </c>
      <c r="D10" s="16" t="s">
        <v>101</v>
      </c>
      <c r="E10" s="17"/>
      <c r="F10" s="17"/>
      <c r="G10" s="18"/>
      <c r="H10" s="12">
        <v>226</v>
      </c>
      <c r="I10" s="7" t="s">
        <v>2</v>
      </c>
      <c r="J10" s="3">
        <v>0</v>
      </c>
      <c r="K10" s="3">
        <v>20</v>
      </c>
      <c r="L10" s="3">
        <v>40</v>
      </c>
      <c r="M10" s="3">
        <v>0</v>
      </c>
      <c r="N10" s="3">
        <v>0</v>
      </c>
      <c r="O10" s="3">
        <v>0</v>
      </c>
      <c r="P10" s="4">
        <f t="shared" si="0"/>
        <v>166</v>
      </c>
      <c r="Q10" s="1" t="s">
        <v>14</v>
      </c>
      <c r="R10" s="44">
        <v>200</v>
      </c>
      <c r="S10" s="47">
        <v>500</v>
      </c>
      <c r="T10" s="4"/>
    </row>
    <row r="11" spans="1:20" x14ac:dyDescent="0.25">
      <c r="A11" s="7">
        <v>8</v>
      </c>
      <c r="D11" s="9" t="s">
        <v>25</v>
      </c>
      <c r="E11" s="10"/>
      <c r="F11" s="10"/>
      <c r="G11" s="11"/>
      <c r="H11" s="12">
        <v>293</v>
      </c>
      <c r="I11" s="7" t="s">
        <v>2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4">
        <f t="shared" si="0"/>
        <v>293</v>
      </c>
      <c r="Q11" s="1" t="s">
        <v>14</v>
      </c>
      <c r="R11" s="44">
        <v>50</v>
      </c>
      <c r="S11" s="47">
        <v>300</v>
      </c>
      <c r="T11" s="4"/>
    </row>
    <row r="12" spans="1:20" x14ac:dyDescent="0.25">
      <c r="A12" s="7">
        <v>9</v>
      </c>
      <c r="D12" s="16" t="s">
        <v>26</v>
      </c>
      <c r="E12" s="17"/>
      <c r="F12" s="17"/>
      <c r="G12" s="18"/>
      <c r="H12" s="12">
        <v>0</v>
      </c>
      <c r="I12" s="7" t="s">
        <v>2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4">
        <f t="shared" si="0"/>
        <v>0</v>
      </c>
      <c r="Q12" s="1" t="s">
        <v>14</v>
      </c>
      <c r="R12" s="44">
        <v>200</v>
      </c>
      <c r="S12" s="47">
        <v>400</v>
      </c>
      <c r="T12" s="4"/>
    </row>
    <row r="13" spans="1:20" x14ac:dyDescent="0.25">
      <c r="A13" s="7">
        <v>10</v>
      </c>
      <c r="D13" s="9" t="s">
        <v>6</v>
      </c>
      <c r="E13" s="10"/>
      <c r="F13" s="10"/>
      <c r="G13" s="11"/>
      <c r="H13" s="12">
        <v>60</v>
      </c>
      <c r="I13" s="7" t="s">
        <v>2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4">
        <f t="shared" si="0"/>
        <v>60</v>
      </c>
      <c r="Q13" s="1" t="s">
        <v>14</v>
      </c>
      <c r="R13" s="44">
        <v>10</v>
      </c>
      <c r="S13" s="46">
        <v>100</v>
      </c>
      <c r="T13" s="4"/>
    </row>
    <row r="14" spans="1:20" x14ac:dyDescent="0.25">
      <c r="A14" s="7">
        <v>11</v>
      </c>
      <c r="D14" s="16" t="s">
        <v>7</v>
      </c>
      <c r="E14" s="17"/>
      <c r="F14" s="17"/>
      <c r="G14" s="18"/>
      <c r="H14" s="12">
        <v>8</v>
      </c>
      <c r="I14" s="7" t="s">
        <v>171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4">
        <f t="shared" si="0"/>
        <v>8</v>
      </c>
      <c r="Q14" s="1" t="s">
        <v>14</v>
      </c>
      <c r="R14" s="44">
        <v>20</v>
      </c>
      <c r="S14" s="47">
        <v>50</v>
      </c>
      <c r="T14" s="4"/>
    </row>
    <row r="15" spans="1:20" x14ac:dyDescent="0.25">
      <c r="A15" s="7">
        <v>12</v>
      </c>
      <c r="D15" s="9" t="s">
        <v>69</v>
      </c>
      <c r="E15" s="10"/>
      <c r="F15" s="10"/>
      <c r="G15" s="11"/>
      <c r="H15" s="12">
        <v>14</v>
      </c>
      <c r="I15" s="7" t="s">
        <v>171</v>
      </c>
      <c r="J15" s="3">
        <v>0</v>
      </c>
      <c r="K15" s="3">
        <v>2</v>
      </c>
      <c r="L15" s="3">
        <v>0</v>
      </c>
      <c r="M15" s="3">
        <v>0</v>
      </c>
      <c r="N15" s="3">
        <v>0</v>
      </c>
      <c r="O15" s="3">
        <v>0</v>
      </c>
      <c r="P15" s="4">
        <f t="shared" si="0"/>
        <v>12</v>
      </c>
      <c r="Q15" s="1" t="s">
        <v>14</v>
      </c>
      <c r="R15" s="44">
        <v>100</v>
      </c>
      <c r="S15" s="47">
        <v>200</v>
      </c>
      <c r="T15" s="4"/>
    </row>
    <row r="16" spans="1:20" x14ac:dyDescent="0.25">
      <c r="A16" s="7">
        <v>13</v>
      </c>
      <c r="D16" s="16" t="s">
        <v>27</v>
      </c>
      <c r="E16" s="17"/>
      <c r="F16" s="17"/>
      <c r="G16" s="18"/>
      <c r="H16" s="12">
        <v>0</v>
      </c>
      <c r="I16" s="7" t="s">
        <v>2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4">
        <f t="shared" si="0"/>
        <v>0</v>
      </c>
      <c r="Q16" s="1" t="s">
        <v>14</v>
      </c>
      <c r="R16" s="44">
        <v>0</v>
      </c>
      <c r="S16" s="46"/>
      <c r="T16" s="4"/>
    </row>
    <row r="17" spans="1:20" x14ac:dyDescent="0.25">
      <c r="A17" s="7">
        <v>14</v>
      </c>
      <c r="D17" s="9" t="s">
        <v>73</v>
      </c>
      <c r="E17" s="10"/>
      <c r="F17" s="10"/>
      <c r="G17" s="11"/>
      <c r="H17" s="12">
        <v>781</v>
      </c>
      <c r="I17" s="7" t="s">
        <v>2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4">
        <f t="shared" si="0"/>
        <v>781</v>
      </c>
      <c r="Q17" s="1" t="s">
        <v>14</v>
      </c>
      <c r="R17" s="44">
        <v>0</v>
      </c>
      <c r="S17" s="46"/>
      <c r="T17" s="4"/>
    </row>
    <row r="18" spans="1:20" x14ac:dyDescent="0.25">
      <c r="A18" s="7">
        <v>15</v>
      </c>
      <c r="D18" s="16" t="s">
        <v>28</v>
      </c>
      <c r="E18" s="17"/>
      <c r="F18" s="17"/>
      <c r="G18" s="18"/>
      <c r="H18" s="12">
        <v>0</v>
      </c>
      <c r="I18" s="7" t="s">
        <v>2</v>
      </c>
      <c r="J18" s="3">
        <v>70</v>
      </c>
      <c r="K18" s="3">
        <v>0</v>
      </c>
      <c r="L18" s="3">
        <v>30</v>
      </c>
      <c r="M18" s="3">
        <v>21</v>
      </c>
      <c r="N18" s="3">
        <v>0</v>
      </c>
      <c r="O18" s="3">
        <v>0</v>
      </c>
      <c r="P18" s="4">
        <f t="shared" si="0"/>
        <v>19</v>
      </c>
      <c r="Q18" s="1" t="s">
        <v>14</v>
      </c>
      <c r="R18" s="44">
        <v>20</v>
      </c>
      <c r="S18" s="47">
        <v>50</v>
      </c>
      <c r="T18" s="4"/>
    </row>
    <row r="19" spans="1:20" x14ac:dyDescent="0.25">
      <c r="A19" s="7">
        <v>16</v>
      </c>
      <c r="D19" s="9" t="s">
        <v>29</v>
      </c>
      <c r="E19" s="10"/>
      <c r="F19" s="10"/>
      <c r="G19" s="11"/>
      <c r="H19" s="12">
        <v>0</v>
      </c>
      <c r="I19" s="7" t="s">
        <v>2</v>
      </c>
      <c r="J19" s="3">
        <v>70</v>
      </c>
      <c r="K19" s="3">
        <v>0</v>
      </c>
      <c r="L19" s="3">
        <v>30</v>
      </c>
      <c r="M19" s="3">
        <v>16</v>
      </c>
      <c r="N19" s="3">
        <v>0</v>
      </c>
      <c r="O19" s="3">
        <v>2</v>
      </c>
      <c r="P19" s="4">
        <f t="shared" si="0"/>
        <v>22</v>
      </c>
      <c r="Q19" s="1" t="s">
        <v>14</v>
      </c>
      <c r="R19" s="44">
        <v>20</v>
      </c>
      <c r="S19" s="47">
        <v>50</v>
      </c>
      <c r="T19" s="4"/>
    </row>
    <row r="20" spans="1:20" x14ac:dyDescent="0.25">
      <c r="A20" s="7">
        <v>17</v>
      </c>
      <c r="D20" s="16" t="s">
        <v>30</v>
      </c>
      <c r="E20" s="17"/>
      <c r="F20" s="17"/>
      <c r="G20" s="18"/>
      <c r="H20" s="12">
        <v>216</v>
      </c>
      <c r="I20" s="7" t="s">
        <v>2</v>
      </c>
      <c r="J20" s="3">
        <v>0</v>
      </c>
      <c r="K20" s="3">
        <v>0</v>
      </c>
      <c r="L20" s="3">
        <v>30</v>
      </c>
      <c r="M20" s="3">
        <v>26</v>
      </c>
      <c r="N20" s="3">
        <v>0</v>
      </c>
      <c r="O20" s="3">
        <v>0</v>
      </c>
      <c r="P20" s="4">
        <f t="shared" si="0"/>
        <v>160</v>
      </c>
      <c r="Q20" s="1" t="s">
        <v>14</v>
      </c>
      <c r="R20" s="44">
        <v>20</v>
      </c>
      <c r="S20" s="47">
        <v>50</v>
      </c>
      <c r="T20" s="4"/>
    </row>
    <row r="21" spans="1:20" x14ac:dyDescent="0.25">
      <c r="A21" s="7">
        <v>18</v>
      </c>
      <c r="D21" s="9" t="s">
        <v>129</v>
      </c>
      <c r="E21" s="10"/>
      <c r="F21" s="10"/>
      <c r="G21" s="11"/>
      <c r="H21" s="12">
        <v>11</v>
      </c>
      <c r="I21" s="7" t="s">
        <v>2</v>
      </c>
      <c r="J21" s="3">
        <v>0</v>
      </c>
      <c r="K21" s="3">
        <v>8</v>
      </c>
      <c r="L21" s="3">
        <v>0</v>
      </c>
      <c r="M21" s="3">
        <v>0</v>
      </c>
      <c r="N21" s="3">
        <v>0</v>
      </c>
      <c r="O21" s="3">
        <v>0</v>
      </c>
      <c r="P21" s="4">
        <f t="shared" si="0"/>
        <v>3</v>
      </c>
      <c r="Q21" s="1" t="s">
        <v>14</v>
      </c>
      <c r="R21" s="44">
        <v>10</v>
      </c>
      <c r="S21" s="46">
        <v>50</v>
      </c>
      <c r="T21" s="4"/>
    </row>
    <row r="22" spans="1:20" x14ac:dyDescent="0.25">
      <c r="A22" s="7">
        <v>19</v>
      </c>
      <c r="D22" s="55" t="s">
        <v>164</v>
      </c>
      <c r="E22" s="56"/>
      <c r="F22" s="56"/>
      <c r="G22" s="57"/>
      <c r="H22" s="12">
        <v>185</v>
      </c>
      <c r="I22" s="59" t="s">
        <v>1</v>
      </c>
      <c r="J22" s="3">
        <v>500</v>
      </c>
      <c r="K22" s="3">
        <v>155</v>
      </c>
      <c r="L22" s="3">
        <v>20</v>
      </c>
      <c r="M22" s="3">
        <v>10</v>
      </c>
      <c r="N22" s="3">
        <v>0</v>
      </c>
      <c r="O22" s="3">
        <v>20</v>
      </c>
      <c r="P22" s="46">
        <f t="shared" si="0"/>
        <v>480</v>
      </c>
      <c r="Q22" s="1" t="s">
        <v>14</v>
      </c>
      <c r="R22" s="44">
        <v>50</v>
      </c>
      <c r="S22" s="47">
        <v>200</v>
      </c>
      <c r="T22" s="4"/>
    </row>
    <row r="23" spans="1:20" x14ac:dyDescent="0.25">
      <c r="A23" s="7">
        <v>20</v>
      </c>
      <c r="D23" s="9" t="s">
        <v>32</v>
      </c>
      <c r="E23" s="10"/>
      <c r="F23" s="10"/>
      <c r="G23" s="11"/>
      <c r="H23" s="12">
        <v>850</v>
      </c>
      <c r="I23" s="7" t="s">
        <v>2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4">
        <f t="shared" si="0"/>
        <v>850</v>
      </c>
      <c r="Q23" s="1" t="s">
        <v>14</v>
      </c>
      <c r="R23" s="44">
        <v>50</v>
      </c>
      <c r="S23" s="46">
        <v>200</v>
      </c>
      <c r="T23" s="4"/>
    </row>
    <row r="24" spans="1:20" x14ac:dyDescent="0.25">
      <c r="A24" s="7">
        <v>21</v>
      </c>
      <c r="D24" s="16" t="s">
        <v>140</v>
      </c>
      <c r="E24" s="17"/>
      <c r="F24" s="17"/>
      <c r="G24" s="18"/>
      <c r="H24" s="12">
        <v>102</v>
      </c>
      <c r="I24" s="7" t="s">
        <v>2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4">
        <f t="shared" si="0"/>
        <v>102</v>
      </c>
      <c r="Q24" s="1" t="s">
        <v>14</v>
      </c>
      <c r="R24" s="44">
        <v>10</v>
      </c>
      <c r="S24" s="46">
        <v>100</v>
      </c>
      <c r="T24" s="4"/>
    </row>
    <row r="25" spans="1:20" x14ac:dyDescent="0.25">
      <c r="A25" s="7">
        <v>22</v>
      </c>
      <c r="D25" s="9" t="s">
        <v>34</v>
      </c>
      <c r="E25" s="10"/>
      <c r="F25" s="10"/>
      <c r="G25" s="11"/>
      <c r="H25" s="12">
        <v>8</v>
      </c>
      <c r="I25" s="7" t="s">
        <v>2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4">
        <f t="shared" si="0"/>
        <v>8</v>
      </c>
      <c r="Q25" s="1" t="s">
        <v>14</v>
      </c>
      <c r="R25" s="44">
        <v>10</v>
      </c>
      <c r="S25" s="46">
        <v>50</v>
      </c>
      <c r="T25" s="4"/>
    </row>
    <row r="26" spans="1:20" x14ac:dyDescent="0.25">
      <c r="A26" s="7">
        <v>23</v>
      </c>
      <c r="D26" s="16" t="s">
        <v>142</v>
      </c>
      <c r="E26" s="17"/>
      <c r="F26" s="17"/>
      <c r="G26" s="18"/>
      <c r="H26" s="12">
        <v>44</v>
      </c>
      <c r="I26" s="7" t="s">
        <v>2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4">
        <f t="shared" si="0"/>
        <v>44</v>
      </c>
      <c r="Q26" s="1" t="s">
        <v>14</v>
      </c>
      <c r="R26" s="44">
        <v>20</v>
      </c>
      <c r="S26" s="47">
        <v>50</v>
      </c>
      <c r="T26" s="4"/>
    </row>
    <row r="27" spans="1:20" x14ac:dyDescent="0.25">
      <c r="A27" s="7">
        <v>24</v>
      </c>
      <c r="D27" s="9" t="s">
        <v>141</v>
      </c>
      <c r="E27" s="10"/>
      <c r="F27" s="10"/>
      <c r="G27" s="11"/>
      <c r="H27" s="12">
        <v>0</v>
      </c>
      <c r="I27" s="7" t="s">
        <v>2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  <c r="P27" s="4">
        <f t="shared" si="0"/>
        <v>0</v>
      </c>
      <c r="Q27" s="1"/>
      <c r="R27" s="44">
        <v>20</v>
      </c>
      <c r="S27" s="47">
        <v>50</v>
      </c>
      <c r="T27" s="4"/>
    </row>
    <row r="28" spans="1:20" x14ac:dyDescent="0.25">
      <c r="A28" s="7">
        <v>25</v>
      </c>
      <c r="D28" s="9" t="s">
        <v>137</v>
      </c>
      <c r="E28" s="10"/>
      <c r="F28" s="10"/>
      <c r="G28" s="11"/>
      <c r="H28" s="12">
        <v>87</v>
      </c>
      <c r="I28" s="7" t="s">
        <v>2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4">
        <f t="shared" si="0"/>
        <v>87</v>
      </c>
      <c r="Q28" s="1" t="s">
        <v>14</v>
      </c>
      <c r="R28" s="44">
        <v>20</v>
      </c>
      <c r="S28" s="47">
        <v>50</v>
      </c>
      <c r="T28" s="4"/>
    </row>
    <row r="29" spans="1:20" x14ac:dyDescent="0.25">
      <c r="A29" s="7">
        <v>26</v>
      </c>
      <c r="D29" s="9" t="s">
        <v>138</v>
      </c>
      <c r="E29" s="10"/>
      <c r="F29" s="10"/>
      <c r="G29" s="11"/>
      <c r="H29" s="12">
        <v>127</v>
      </c>
      <c r="I29" s="7" t="s">
        <v>2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4">
        <f t="shared" si="0"/>
        <v>127</v>
      </c>
      <c r="Q29" s="1"/>
      <c r="R29" s="44">
        <v>10</v>
      </c>
      <c r="S29" s="47">
        <v>50</v>
      </c>
      <c r="T29" s="4"/>
    </row>
    <row r="30" spans="1:20" x14ac:dyDescent="0.25">
      <c r="A30" s="7">
        <v>27</v>
      </c>
      <c r="D30" s="16" t="s">
        <v>35</v>
      </c>
      <c r="E30" s="17"/>
      <c r="F30" s="17"/>
      <c r="G30" s="18"/>
      <c r="H30" s="12">
        <v>263</v>
      </c>
      <c r="I30" s="7" t="s">
        <v>2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4">
        <f t="shared" si="0"/>
        <v>263</v>
      </c>
      <c r="Q30" s="1" t="s">
        <v>14</v>
      </c>
      <c r="R30" s="44">
        <v>50</v>
      </c>
      <c r="S30" s="47">
        <v>100</v>
      </c>
      <c r="T30" s="4"/>
    </row>
    <row r="31" spans="1:20" x14ac:dyDescent="0.25">
      <c r="A31" s="7">
        <v>28</v>
      </c>
      <c r="D31" s="9" t="s">
        <v>36</v>
      </c>
      <c r="E31" s="10"/>
      <c r="F31" s="10"/>
      <c r="G31" s="11"/>
      <c r="H31" s="12">
        <v>18</v>
      </c>
      <c r="I31" s="7" t="s">
        <v>2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4">
        <f t="shared" si="0"/>
        <v>18</v>
      </c>
      <c r="Q31" s="1" t="s">
        <v>14</v>
      </c>
      <c r="R31" s="44">
        <v>50</v>
      </c>
      <c r="S31" s="47">
        <v>100</v>
      </c>
      <c r="T31" s="4"/>
    </row>
    <row r="32" spans="1:20" x14ac:dyDescent="0.25">
      <c r="A32" s="7">
        <v>29</v>
      </c>
      <c r="D32" s="16" t="s">
        <v>37</v>
      </c>
      <c r="E32" s="17"/>
      <c r="F32" s="17"/>
      <c r="G32" s="18"/>
      <c r="H32" s="12">
        <v>178</v>
      </c>
      <c r="I32" s="7" t="s">
        <v>2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4">
        <f t="shared" si="0"/>
        <v>178</v>
      </c>
      <c r="Q32" s="1" t="s">
        <v>14</v>
      </c>
      <c r="R32" s="44">
        <v>20</v>
      </c>
      <c r="S32" s="47">
        <v>50</v>
      </c>
      <c r="T32" s="4"/>
    </row>
    <row r="33" spans="1:20" x14ac:dyDescent="0.25">
      <c r="A33" s="7">
        <v>30</v>
      </c>
      <c r="D33" s="9" t="s">
        <v>38</v>
      </c>
      <c r="E33" s="10"/>
      <c r="F33" s="10"/>
      <c r="G33" s="11"/>
      <c r="H33" s="12">
        <v>174</v>
      </c>
      <c r="I33" s="7" t="s">
        <v>2</v>
      </c>
      <c r="J33" s="3">
        <v>0</v>
      </c>
      <c r="K33" s="3">
        <v>0</v>
      </c>
      <c r="L33" s="3">
        <v>6</v>
      </c>
      <c r="M33" s="3">
        <v>2</v>
      </c>
      <c r="N33" s="3">
        <v>0</v>
      </c>
      <c r="O33" s="3">
        <v>2</v>
      </c>
      <c r="P33" s="4">
        <f t="shared" si="0"/>
        <v>164</v>
      </c>
      <c r="Q33" s="1" t="s">
        <v>14</v>
      </c>
      <c r="R33" s="44">
        <v>50</v>
      </c>
      <c r="S33" s="47">
        <v>100</v>
      </c>
      <c r="T33" s="4"/>
    </row>
    <row r="34" spans="1:20" x14ac:dyDescent="0.25">
      <c r="A34" s="7">
        <v>31</v>
      </c>
      <c r="D34" s="16" t="s">
        <v>39</v>
      </c>
      <c r="E34" s="17"/>
      <c r="F34" s="17"/>
      <c r="G34" s="18"/>
      <c r="H34" s="12">
        <v>51</v>
      </c>
      <c r="I34" s="7" t="s">
        <v>2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4">
        <f t="shared" si="0"/>
        <v>51</v>
      </c>
      <c r="Q34" s="1" t="s">
        <v>14</v>
      </c>
      <c r="R34" s="44">
        <v>20</v>
      </c>
      <c r="S34" s="47">
        <v>50</v>
      </c>
      <c r="T34" s="4"/>
    </row>
    <row r="35" spans="1:20" x14ac:dyDescent="0.25">
      <c r="A35" s="7">
        <v>32</v>
      </c>
      <c r="D35" s="9" t="s">
        <v>40</v>
      </c>
      <c r="E35" s="10"/>
      <c r="F35" s="10"/>
      <c r="G35" s="11"/>
      <c r="H35" s="12">
        <f>'ARALIK 3 HAFTA '!P33</f>
        <v>1075</v>
      </c>
      <c r="I35" s="7" t="s">
        <v>2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4">
        <f t="shared" si="0"/>
        <v>1075</v>
      </c>
      <c r="Q35" s="1" t="s">
        <v>14</v>
      </c>
      <c r="R35" s="44">
        <v>100</v>
      </c>
      <c r="S35" s="46">
        <v>300</v>
      </c>
      <c r="T35" s="4"/>
    </row>
    <row r="36" spans="1:20" x14ac:dyDescent="0.25">
      <c r="A36" s="7">
        <v>33</v>
      </c>
      <c r="D36" s="9" t="s">
        <v>9</v>
      </c>
      <c r="E36" s="10"/>
      <c r="F36" s="10"/>
      <c r="G36" s="11"/>
      <c r="H36" s="83">
        <v>100</v>
      </c>
      <c r="I36" s="7" t="s">
        <v>132</v>
      </c>
      <c r="J36" s="3">
        <v>70</v>
      </c>
      <c r="K36" s="3">
        <v>0</v>
      </c>
      <c r="L36" s="3">
        <v>26</v>
      </c>
      <c r="M36" s="3">
        <v>0</v>
      </c>
      <c r="N36" s="3">
        <v>0</v>
      </c>
      <c r="O36" s="3">
        <v>0</v>
      </c>
      <c r="P36" s="4">
        <f t="shared" si="0"/>
        <v>144</v>
      </c>
      <c r="Q36" s="1" t="s">
        <v>14</v>
      </c>
      <c r="R36" s="44">
        <v>50</v>
      </c>
      <c r="S36" s="47">
        <v>100</v>
      </c>
      <c r="T36" s="4"/>
    </row>
    <row r="37" spans="1:20" x14ac:dyDescent="0.25">
      <c r="A37" s="7">
        <v>34</v>
      </c>
      <c r="D37" s="19" t="s">
        <v>166</v>
      </c>
      <c r="E37" s="20"/>
      <c r="F37" s="20"/>
      <c r="G37" s="21"/>
      <c r="H37" s="69">
        <v>18</v>
      </c>
      <c r="I37" s="7" t="s">
        <v>2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4">
        <f t="shared" si="0"/>
        <v>18</v>
      </c>
      <c r="Q37" s="1" t="s">
        <v>14</v>
      </c>
      <c r="R37" s="44">
        <v>50</v>
      </c>
      <c r="S37" s="46">
        <v>200</v>
      </c>
      <c r="T37" s="4"/>
    </row>
    <row r="38" spans="1:20" x14ac:dyDescent="0.25">
      <c r="A38" s="7">
        <v>35</v>
      </c>
      <c r="D38" s="16" t="s">
        <v>143</v>
      </c>
      <c r="E38" s="17"/>
      <c r="F38" s="17"/>
      <c r="G38" s="18"/>
      <c r="H38" s="12">
        <v>42</v>
      </c>
      <c r="I38" s="7" t="s">
        <v>2</v>
      </c>
      <c r="J38" s="3">
        <v>70</v>
      </c>
      <c r="K38" s="3">
        <v>4</v>
      </c>
      <c r="L38" s="3">
        <v>26</v>
      </c>
      <c r="M38" s="3">
        <v>0</v>
      </c>
      <c r="N38" s="3">
        <v>0</v>
      </c>
      <c r="O38" s="3">
        <v>0</v>
      </c>
      <c r="P38" s="4">
        <f t="shared" si="0"/>
        <v>82</v>
      </c>
      <c r="Q38" s="1" t="s">
        <v>14</v>
      </c>
      <c r="R38" s="44">
        <v>50</v>
      </c>
      <c r="S38" s="46">
        <v>100</v>
      </c>
      <c r="T38" s="4"/>
    </row>
    <row r="39" spans="1:20" x14ac:dyDescent="0.25">
      <c r="A39" s="7">
        <v>36</v>
      </c>
      <c r="D39" s="9" t="s">
        <v>144</v>
      </c>
      <c r="E39" s="10"/>
      <c r="F39" s="10"/>
      <c r="G39" s="11"/>
      <c r="H39" s="12">
        <v>69</v>
      </c>
      <c r="I39" s="7" t="s">
        <v>2</v>
      </c>
      <c r="J39" s="3">
        <v>70</v>
      </c>
      <c r="K39" s="3">
        <v>0</v>
      </c>
      <c r="L39" s="3">
        <v>26</v>
      </c>
      <c r="M39" s="3">
        <v>0</v>
      </c>
      <c r="N39" s="3">
        <v>0</v>
      </c>
      <c r="O39" s="3">
        <v>0</v>
      </c>
      <c r="P39" s="4">
        <f t="shared" si="0"/>
        <v>113</v>
      </c>
      <c r="Q39" s="1" t="s">
        <v>14</v>
      </c>
      <c r="R39" s="44">
        <v>50</v>
      </c>
      <c r="S39" s="47">
        <v>100</v>
      </c>
      <c r="T39" s="4"/>
    </row>
    <row r="40" spans="1:20" x14ac:dyDescent="0.25">
      <c r="A40" s="7">
        <v>37</v>
      </c>
      <c r="D40" s="16" t="s">
        <v>42</v>
      </c>
      <c r="E40" s="17"/>
      <c r="F40" s="17"/>
      <c r="G40" s="18"/>
      <c r="H40" s="12">
        <v>52</v>
      </c>
      <c r="I40" s="7" t="s">
        <v>2</v>
      </c>
      <c r="J40" s="3">
        <v>70</v>
      </c>
      <c r="K40" s="3">
        <v>0</v>
      </c>
      <c r="L40" s="3">
        <v>26</v>
      </c>
      <c r="M40" s="3">
        <v>0</v>
      </c>
      <c r="N40" s="3">
        <v>0</v>
      </c>
      <c r="O40" s="3">
        <v>0</v>
      </c>
      <c r="P40" s="4">
        <f t="shared" si="0"/>
        <v>96</v>
      </c>
      <c r="Q40" s="1" t="s">
        <v>14</v>
      </c>
      <c r="R40" s="44">
        <v>50</v>
      </c>
      <c r="S40" s="47">
        <v>100</v>
      </c>
      <c r="T40" s="4"/>
    </row>
    <row r="41" spans="1:20" x14ac:dyDescent="0.25">
      <c r="A41" s="7">
        <v>38</v>
      </c>
      <c r="D41" s="9" t="s">
        <v>133</v>
      </c>
      <c r="E41" s="10"/>
      <c r="F41" s="10"/>
      <c r="G41" s="11"/>
      <c r="H41" s="12">
        <v>139</v>
      </c>
      <c r="I41" s="7" t="s">
        <v>2</v>
      </c>
      <c r="J41" s="3">
        <v>0</v>
      </c>
      <c r="K41" s="3">
        <v>8</v>
      </c>
      <c r="L41" s="3">
        <v>0</v>
      </c>
      <c r="M41" s="3">
        <v>0</v>
      </c>
      <c r="N41" s="3">
        <v>0</v>
      </c>
      <c r="O41" s="3">
        <v>0</v>
      </c>
      <c r="P41" s="4">
        <f t="shared" si="0"/>
        <v>131</v>
      </c>
      <c r="Q41" s="1" t="s">
        <v>14</v>
      </c>
      <c r="R41" s="44">
        <v>20</v>
      </c>
      <c r="S41" s="47">
        <v>50</v>
      </c>
      <c r="T41" s="4"/>
    </row>
    <row r="42" spans="1:20" x14ac:dyDescent="0.25">
      <c r="A42" s="7">
        <v>39</v>
      </c>
      <c r="D42" s="16" t="s">
        <v>145</v>
      </c>
      <c r="E42" s="17"/>
      <c r="F42" s="17"/>
      <c r="G42" s="18"/>
      <c r="H42" s="12">
        <v>139</v>
      </c>
      <c r="I42" s="7" t="s">
        <v>2</v>
      </c>
      <c r="J42" s="3">
        <v>0</v>
      </c>
      <c r="K42" s="3">
        <v>8</v>
      </c>
      <c r="L42" s="3">
        <v>0</v>
      </c>
      <c r="M42" s="3">
        <v>0</v>
      </c>
      <c r="N42" s="3">
        <v>0</v>
      </c>
      <c r="O42" s="3">
        <v>0</v>
      </c>
      <c r="P42" s="4">
        <f t="shared" si="0"/>
        <v>131</v>
      </c>
      <c r="Q42" s="1" t="s">
        <v>14</v>
      </c>
      <c r="R42" s="44">
        <v>20</v>
      </c>
      <c r="S42" s="46">
        <v>50</v>
      </c>
      <c r="T42" s="4"/>
    </row>
    <row r="43" spans="1:20" x14ac:dyDescent="0.25">
      <c r="A43" s="7">
        <v>40</v>
      </c>
      <c r="D43" s="9" t="s">
        <v>71</v>
      </c>
      <c r="E43" s="10"/>
      <c r="F43" s="10"/>
      <c r="G43" s="11"/>
      <c r="H43" s="12">
        <v>0</v>
      </c>
      <c r="I43" s="7" t="s">
        <v>2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4">
        <f t="shared" si="0"/>
        <v>0</v>
      </c>
      <c r="Q43" s="1" t="s">
        <v>14</v>
      </c>
      <c r="R43" s="44">
        <v>5</v>
      </c>
      <c r="S43" s="47">
        <v>10</v>
      </c>
      <c r="T43" s="4"/>
    </row>
    <row r="44" spans="1:20" x14ac:dyDescent="0.25">
      <c r="A44" s="7">
        <v>41</v>
      </c>
      <c r="D44" s="16" t="s">
        <v>10</v>
      </c>
      <c r="E44" s="17"/>
      <c r="F44" s="17"/>
      <c r="G44" s="18"/>
      <c r="H44" s="12">
        <v>101</v>
      </c>
      <c r="I44" s="7" t="s">
        <v>2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4">
        <f t="shared" si="0"/>
        <v>101</v>
      </c>
      <c r="Q44" s="1" t="s">
        <v>14</v>
      </c>
      <c r="R44" s="44">
        <v>40</v>
      </c>
      <c r="S44" s="47">
        <v>100</v>
      </c>
      <c r="T44" s="4"/>
    </row>
    <row r="45" spans="1:20" x14ac:dyDescent="0.25">
      <c r="A45" s="7">
        <v>42</v>
      </c>
      <c r="D45" s="9" t="s">
        <v>45</v>
      </c>
      <c r="E45" s="10"/>
      <c r="F45" s="10"/>
      <c r="G45" s="11"/>
      <c r="H45" s="12">
        <v>36</v>
      </c>
      <c r="I45" s="7" t="s">
        <v>2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4">
        <f t="shared" si="0"/>
        <v>36</v>
      </c>
      <c r="Q45" s="1" t="s">
        <v>14</v>
      </c>
      <c r="R45" s="44">
        <v>20</v>
      </c>
      <c r="S45" s="47">
        <v>50</v>
      </c>
      <c r="T45" s="4"/>
    </row>
    <row r="46" spans="1:20" x14ac:dyDescent="0.25">
      <c r="A46" s="7">
        <v>43</v>
      </c>
      <c r="D46" s="16" t="s">
        <v>46</v>
      </c>
      <c r="E46" s="17"/>
      <c r="F46" s="17"/>
      <c r="G46" s="18"/>
      <c r="H46" s="12">
        <v>27</v>
      </c>
      <c r="I46" s="7" t="s">
        <v>2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4">
        <f t="shared" si="0"/>
        <v>27</v>
      </c>
      <c r="Q46" s="1" t="s">
        <v>14</v>
      </c>
      <c r="R46" s="44">
        <v>20</v>
      </c>
      <c r="S46" s="47">
        <v>50</v>
      </c>
      <c r="T46" s="4"/>
    </row>
    <row r="47" spans="1:20" x14ac:dyDescent="0.25">
      <c r="A47" s="7">
        <v>44</v>
      </c>
      <c r="D47" s="9" t="s">
        <v>47</v>
      </c>
      <c r="E47" s="10"/>
      <c r="F47" s="10"/>
      <c r="G47" s="11"/>
      <c r="H47" s="12">
        <v>25</v>
      </c>
      <c r="I47" s="7" t="s">
        <v>2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4">
        <f t="shared" si="0"/>
        <v>25</v>
      </c>
      <c r="Q47" s="1" t="s">
        <v>14</v>
      </c>
      <c r="R47" s="44">
        <v>20</v>
      </c>
      <c r="S47" s="47">
        <v>50</v>
      </c>
      <c r="T47" s="4"/>
    </row>
    <row r="48" spans="1:20" x14ac:dyDescent="0.25">
      <c r="A48" s="7">
        <v>45</v>
      </c>
      <c r="D48" s="16" t="s">
        <v>79</v>
      </c>
      <c r="E48" s="17"/>
      <c r="F48" s="17"/>
      <c r="G48" s="18"/>
      <c r="H48" s="12">
        <v>0</v>
      </c>
      <c r="I48" s="7" t="s">
        <v>2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4">
        <f t="shared" si="0"/>
        <v>0</v>
      </c>
      <c r="Q48" s="1" t="s">
        <v>14</v>
      </c>
      <c r="R48" s="44">
        <v>10</v>
      </c>
      <c r="S48" s="47">
        <v>20</v>
      </c>
      <c r="T48" s="4"/>
    </row>
    <row r="49" spans="1:20" x14ac:dyDescent="0.25">
      <c r="A49" s="7">
        <v>46</v>
      </c>
      <c r="D49" s="9" t="s">
        <v>48</v>
      </c>
      <c r="E49" s="10"/>
      <c r="F49" s="10"/>
      <c r="G49" s="11"/>
      <c r="H49" s="12">
        <v>57</v>
      </c>
      <c r="I49" s="7" t="s">
        <v>2</v>
      </c>
      <c r="J49" s="3">
        <v>0</v>
      </c>
      <c r="K49" s="3">
        <v>8</v>
      </c>
      <c r="L49" s="3">
        <v>0</v>
      </c>
      <c r="M49" s="3">
        <v>0</v>
      </c>
      <c r="N49" s="3">
        <v>0</v>
      </c>
      <c r="O49" s="3">
        <v>0</v>
      </c>
      <c r="P49" s="4">
        <f t="shared" si="0"/>
        <v>49</v>
      </c>
      <c r="Q49" s="1" t="s">
        <v>14</v>
      </c>
      <c r="R49" s="44">
        <v>10</v>
      </c>
      <c r="S49" s="47">
        <v>20</v>
      </c>
      <c r="T49" s="4" t="s">
        <v>14</v>
      </c>
    </row>
    <row r="50" spans="1:20" x14ac:dyDescent="0.25">
      <c r="A50" s="7">
        <v>47</v>
      </c>
      <c r="D50" s="16" t="s">
        <v>49</v>
      </c>
      <c r="E50" s="17"/>
      <c r="F50" s="17"/>
      <c r="G50" s="18"/>
      <c r="H50" s="12">
        <v>104</v>
      </c>
      <c r="I50" s="7" t="s">
        <v>2</v>
      </c>
      <c r="J50" s="3">
        <v>0</v>
      </c>
      <c r="K50" s="3">
        <v>8</v>
      </c>
      <c r="L50" s="3">
        <v>0</v>
      </c>
      <c r="M50" s="3">
        <v>0</v>
      </c>
      <c r="N50" s="3">
        <v>0</v>
      </c>
      <c r="O50" s="3">
        <v>0</v>
      </c>
      <c r="P50" s="4">
        <f t="shared" si="0"/>
        <v>96</v>
      </c>
      <c r="Q50" s="1" t="s">
        <v>14</v>
      </c>
      <c r="R50" s="44">
        <v>10</v>
      </c>
      <c r="S50" s="47">
        <v>20</v>
      </c>
      <c r="T50" s="4"/>
    </row>
    <row r="51" spans="1:20" x14ac:dyDescent="0.25">
      <c r="A51" s="7">
        <v>48</v>
      </c>
      <c r="D51" s="9" t="s">
        <v>169</v>
      </c>
      <c r="E51" s="10"/>
      <c r="F51" s="10"/>
      <c r="G51" s="11"/>
      <c r="H51" s="12">
        <v>30</v>
      </c>
      <c r="I51" s="7" t="s">
        <v>1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4">
        <f t="shared" si="0"/>
        <v>30</v>
      </c>
      <c r="Q51" s="1" t="s">
        <v>14</v>
      </c>
      <c r="R51" s="44">
        <v>20</v>
      </c>
      <c r="S51" s="47">
        <v>100</v>
      </c>
      <c r="T51" s="4"/>
    </row>
    <row r="52" spans="1:20" x14ac:dyDescent="0.25">
      <c r="A52" s="7">
        <v>49</v>
      </c>
      <c r="D52" s="88"/>
      <c r="E52" s="89"/>
      <c r="F52" s="90" t="s">
        <v>111</v>
      </c>
      <c r="G52" s="87"/>
      <c r="H52" s="12">
        <v>256</v>
      </c>
      <c r="I52" s="7" t="s">
        <v>2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4">
        <f t="shared" si="0"/>
        <v>256</v>
      </c>
      <c r="Q52" s="1" t="s">
        <v>14</v>
      </c>
      <c r="R52" s="44">
        <v>30</v>
      </c>
      <c r="S52" s="47">
        <v>100</v>
      </c>
      <c r="T52" s="4"/>
    </row>
    <row r="53" spans="1:20" x14ac:dyDescent="0.25">
      <c r="A53" s="7">
        <v>50</v>
      </c>
      <c r="D53" s="9" t="s">
        <v>51</v>
      </c>
      <c r="E53" s="10"/>
      <c r="F53" s="10"/>
      <c r="G53" s="11"/>
      <c r="H53" s="12">
        <v>47</v>
      </c>
      <c r="I53" s="7" t="s">
        <v>2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4">
        <f t="shared" si="0"/>
        <v>47</v>
      </c>
      <c r="Q53" s="1" t="s">
        <v>14</v>
      </c>
      <c r="R53" s="44">
        <v>20</v>
      </c>
      <c r="S53" s="47">
        <v>50</v>
      </c>
      <c r="T53" s="4"/>
    </row>
    <row r="54" spans="1:20" x14ac:dyDescent="0.25">
      <c r="A54" s="7">
        <v>51</v>
      </c>
      <c r="D54" s="16" t="s">
        <v>52</v>
      </c>
      <c r="E54" s="17"/>
      <c r="F54" s="17"/>
      <c r="G54" s="18"/>
      <c r="H54" s="12">
        <v>47</v>
      </c>
      <c r="I54" s="7" t="s">
        <v>2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  <c r="P54" s="4">
        <f t="shared" si="0"/>
        <v>47</v>
      </c>
      <c r="Q54" s="1" t="s">
        <v>14</v>
      </c>
      <c r="R54" s="44">
        <v>20</v>
      </c>
      <c r="S54" s="47">
        <v>50</v>
      </c>
      <c r="T54" s="4" t="s">
        <v>14</v>
      </c>
    </row>
    <row r="55" spans="1:20" x14ac:dyDescent="0.25">
      <c r="A55" s="7">
        <v>52</v>
      </c>
      <c r="D55" s="9" t="s">
        <v>53</v>
      </c>
      <c r="E55" s="10"/>
      <c r="F55" s="10"/>
      <c r="G55" s="11"/>
      <c r="H55" s="12">
        <v>47</v>
      </c>
      <c r="I55" s="7" t="s">
        <v>2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  <c r="P55" s="4">
        <f t="shared" si="0"/>
        <v>47</v>
      </c>
      <c r="Q55" s="1" t="s">
        <v>14</v>
      </c>
      <c r="R55" s="44">
        <v>20</v>
      </c>
      <c r="S55" s="47">
        <v>50</v>
      </c>
      <c r="T55" s="4"/>
    </row>
    <row r="56" spans="1:20" x14ac:dyDescent="0.25">
      <c r="A56" s="7">
        <v>53</v>
      </c>
      <c r="D56" s="70" t="s">
        <v>54</v>
      </c>
      <c r="E56" s="71"/>
      <c r="F56" s="71"/>
      <c r="G56" s="72"/>
      <c r="H56" s="12">
        <v>1875</v>
      </c>
      <c r="I56" s="7" t="s">
        <v>1</v>
      </c>
      <c r="J56" s="3">
        <v>0</v>
      </c>
      <c r="K56" s="3">
        <v>150</v>
      </c>
      <c r="L56" s="3">
        <v>90</v>
      </c>
      <c r="M56" s="3">
        <v>150</v>
      </c>
      <c r="N56" s="3">
        <v>0</v>
      </c>
      <c r="O56" s="3">
        <v>120</v>
      </c>
      <c r="P56" s="4">
        <f t="shared" si="0"/>
        <v>1365</v>
      </c>
      <c r="Q56" s="1" t="s">
        <v>120</v>
      </c>
      <c r="R56" s="44">
        <v>250</v>
      </c>
      <c r="S56" s="47">
        <v>750</v>
      </c>
      <c r="T56" s="4"/>
    </row>
    <row r="57" spans="1:20" x14ac:dyDescent="0.25">
      <c r="A57" s="7">
        <v>54</v>
      </c>
      <c r="D57" s="16" t="s">
        <v>61</v>
      </c>
      <c r="E57" s="17"/>
      <c r="F57" s="17"/>
      <c r="G57" s="18"/>
      <c r="H57" s="12">
        <v>246</v>
      </c>
      <c r="I57" s="7" t="s">
        <v>2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  <c r="P57" s="4">
        <f t="shared" si="0"/>
        <v>246</v>
      </c>
      <c r="Q57" s="1" t="s">
        <v>14</v>
      </c>
      <c r="R57" s="44">
        <v>10</v>
      </c>
      <c r="S57" s="46">
        <v>200</v>
      </c>
      <c r="T57" s="4"/>
    </row>
    <row r="58" spans="1:20" x14ac:dyDescent="0.25">
      <c r="A58" s="7">
        <v>55</v>
      </c>
      <c r="D58" s="9" t="s">
        <v>62</v>
      </c>
      <c r="E58" s="10"/>
      <c r="F58" s="10"/>
      <c r="G58" s="11"/>
      <c r="H58" s="12">
        <v>3126</v>
      </c>
      <c r="I58" s="7" t="s">
        <v>2</v>
      </c>
      <c r="J58" s="3">
        <v>0</v>
      </c>
      <c r="K58" s="3">
        <v>0</v>
      </c>
      <c r="L58" s="3">
        <v>128</v>
      </c>
      <c r="M58" s="3">
        <v>17</v>
      </c>
      <c r="N58" s="3">
        <v>0</v>
      </c>
      <c r="O58" s="3">
        <v>4</v>
      </c>
      <c r="P58" s="4">
        <f t="shared" si="0"/>
        <v>2977</v>
      </c>
      <c r="Q58" s="1" t="s">
        <v>14</v>
      </c>
      <c r="R58" s="44">
        <v>200</v>
      </c>
      <c r="S58" s="47">
        <v>1000</v>
      </c>
      <c r="T58" s="4"/>
    </row>
    <row r="59" spans="1:20" x14ac:dyDescent="0.25">
      <c r="A59" s="7">
        <v>56</v>
      </c>
      <c r="D59" s="16" t="s">
        <v>13</v>
      </c>
      <c r="E59" s="17"/>
      <c r="F59" s="17"/>
      <c r="G59" s="18"/>
      <c r="H59" s="12">
        <v>1028</v>
      </c>
      <c r="I59" s="7" t="s">
        <v>2</v>
      </c>
      <c r="J59" s="3">
        <v>0</v>
      </c>
      <c r="K59" s="3">
        <v>0</v>
      </c>
      <c r="L59" s="3">
        <v>140</v>
      </c>
      <c r="M59" s="3">
        <v>44</v>
      </c>
      <c r="N59" s="3">
        <v>0</v>
      </c>
      <c r="O59" s="3">
        <v>21</v>
      </c>
      <c r="P59" s="4">
        <f t="shared" si="0"/>
        <v>823</v>
      </c>
      <c r="Q59" s="1" t="s">
        <v>14</v>
      </c>
      <c r="R59" s="44">
        <v>100</v>
      </c>
      <c r="S59" s="47">
        <v>300</v>
      </c>
      <c r="T59" s="4"/>
    </row>
    <row r="60" spans="1:20" x14ac:dyDescent="0.25">
      <c r="A60" s="7">
        <v>57</v>
      </c>
      <c r="D60" s="9" t="s">
        <v>72</v>
      </c>
      <c r="E60" s="10"/>
      <c r="F60" s="10"/>
      <c r="G60" s="11"/>
      <c r="H60" s="12">
        <v>130</v>
      </c>
      <c r="I60" s="7" t="s">
        <v>2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4">
        <f t="shared" si="0"/>
        <v>130</v>
      </c>
      <c r="Q60" s="1" t="s">
        <v>14</v>
      </c>
      <c r="R60" s="44">
        <v>100</v>
      </c>
      <c r="S60" s="47">
        <v>300</v>
      </c>
      <c r="T60" s="4"/>
    </row>
    <row r="61" spans="1:20" x14ac:dyDescent="0.25">
      <c r="A61" s="7">
        <v>58</v>
      </c>
      <c r="D61" s="16" t="s">
        <v>63</v>
      </c>
      <c r="E61" s="17"/>
      <c r="F61" s="17"/>
      <c r="G61" s="18"/>
      <c r="H61" s="12">
        <v>14</v>
      </c>
      <c r="I61" s="7" t="s">
        <v>2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4">
        <f t="shared" si="0"/>
        <v>14</v>
      </c>
      <c r="Q61" s="1" t="s">
        <v>14</v>
      </c>
      <c r="R61" s="44">
        <v>100</v>
      </c>
      <c r="S61" s="47">
        <v>300</v>
      </c>
      <c r="T61" s="4"/>
    </row>
    <row r="62" spans="1:20" x14ac:dyDescent="0.25">
      <c r="A62" s="7">
        <v>59</v>
      </c>
      <c r="D62" s="9" t="s">
        <v>77</v>
      </c>
      <c r="E62" s="10"/>
      <c r="F62" s="10"/>
      <c r="G62" s="11"/>
      <c r="H62" s="12">
        <v>504</v>
      </c>
      <c r="I62" s="7" t="s">
        <v>2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4">
        <f t="shared" si="0"/>
        <v>504</v>
      </c>
      <c r="Q62" s="1" t="s">
        <v>14</v>
      </c>
      <c r="R62" s="44">
        <v>100</v>
      </c>
      <c r="S62" s="47">
        <v>300</v>
      </c>
      <c r="T62" s="4"/>
    </row>
    <row r="63" spans="1:20" x14ac:dyDescent="0.25">
      <c r="A63" s="7">
        <v>60</v>
      </c>
      <c r="D63" s="16" t="s">
        <v>130</v>
      </c>
      <c r="E63" s="17"/>
      <c r="F63" s="17"/>
      <c r="G63" s="18"/>
      <c r="H63" s="12">
        <v>194</v>
      </c>
      <c r="I63" s="7" t="s">
        <v>2</v>
      </c>
      <c r="J63" s="3">
        <v>0</v>
      </c>
      <c r="K63" s="3">
        <v>1</v>
      </c>
      <c r="L63" s="3">
        <v>6</v>
      </c>
      <c r="M63" s="3">
        <v>0</v>
      </c>
      <c r="N63" s="3">
        <v>0</v>
      </c>
      <c r="O63" s="3">
        <v>0</v>
      </c>
      <c r="P63" s="4">
        <f t="shared" si="0"/>
        <v>187</v>
      </c>
      <c r="Q63" s="1" t="s">
        <v>14</v>
      </c>
      <c r="R63" s="44">
        <v>20</v>
      </c>
      <c r="S63" s="46">
        <v>200</v>
      </c>
      <c r="T63" s="4"/>
    </row>
    <row r="64" spans="1:20" x14ac:dyDescent="0.25">
      <c r="A64" s="7">
        <v>61</v>
      </c>
      <c r="D64" s="26" t="s">
        <v>146</v>
      </c>
      <c r="E64" s="27"/>
      <c r="F64" s="27"/>
      <c r="G64" s="28"/>
      <c r="H64" s="12">
        <v>1</v>
      </c>
      <c r="I64" s="30" t="s">
        <v>2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4">
        <f t="shared" si="0"/>
        <v>1</v>
      </c>
      <c r="Q64" s="1" t="s">
        <v>14</v>
      </c>
      <c r="R64" s="44">
        <v>50</v>
      </c>
      <c r="S64" s="47">
        <v>100</v>
      </c>
      <c r="T64" s="4"/>
    </row>
    <row r="65" spans="1:20" x14ac:dyDescent="0.25">
      <c r="A65" s="7">
        <v>62</v>
      </c>
      <c r="D65" s="16" t="s">
        <v>65</v>
      </c>
      <c r="E65" s="17"/>
      <c r="F65" s="17"/>
      <c r="G65" s="18"/>
      <c r="H65" s="12">
        <v>54</v>
      </c>
      <c r="I65" s="7" t="s">
        <v>2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4">
        <f t="shared" si="0"/>
        <v>54</v>
      </c>
      <c r="Q65" s="1" t="s">
        <v>14</v>
      </c>
      <c r="R65" s="44">
        <v>10</v>
      </c>
      <c r="S65" s="46">
        <v>50</v>
      </c>
      <c r="T65" s="4"/>
    </row>
    <row r="66" spans="1:20" x14ac:dyDescent="0.25">
      <c r="A66" s="7">
        <v>63</v>
      </c>
      <c r="D66" s="9" t="s">
        <v>66</v>
      </c>
      <c r="E66" s="10"/>
      <c r="F66" s="10"/>
      <c r="G66" s="11"/>
      <c r="H66" s="12">
        <v>50</v>
      </c>
      <c r="I66" s="7" t="s">
        <v>2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  <c r="P66" s="4">
        <f t="shared" si="0"/>
        <v>50</v>
      </c>
      <c r="Q66" s="1" t="s">
        <v>14</v>
      </c>
      <c r="R66" s="44">
        <v>300</v>
      </c>
      <c r="S66" s="47">
        <v>1000</v>
      </c>
      <c r="T66" s="4"/>
    </row>
    <row r="67" spans="1:20" x14ac:dyDescent="0.25">
      <c r="A67" s="7">
        <v>64</v>
      </c>
      <c r="D67" s="19" t="s">
        <v>165</v>
      </c>
      <c r="E67" s="20"/>
      <c r="F67" s="20"/>
      <c r="G67" s="21"/>
      <c r="H67" s="12">
        <v>74</v>
      </c>
      <c r="I67" s="7" t="s">
        <v>2</v>
      </c>
      <c r="J67" s="3">
        <v>0</v>
      </c>
      <c r="K67" s="3">
        <v>1</v>
      </c>
      <c r="L67" s="3">
        <v>6</v>
      </c>
      <c r="M67" s="3">
        <v>0</v>
      </c>
      <c r="N67" s="3">
        <v>0</v>
      </c>
      <c r="O67" s="3">
        <v>0</v>
      </c>
      <c r="P67" s="4">
        <f t="shared" si="0"/>
        <v>67</v>
      </c>
      <c r="Q67" s="1" t="s">
        <v>14</v>
      </c>
      <c r="R67" s="44">
        <v>50</v>
      </c>
      <c r="S67" s="47">
        <v>150</v>
      </c>
      <c r="T67" s="4"/>
    </row>
    <row r="68" spans="1:20" x14ac:dyDescent="0.25">
      <c r="A68" s="7">
        <v>65</v>
      </c>
      <c r="D68" s="22" t="s">
        <v>74</v>
      </c>
      <c r="E68" s="10"/>
      <c r="F68" s="10"/>
      <c r="G68" s="11"/>
      <c r="H68" s="12">
        <v>375</v>
      </c>
      <c r="I68" s="8" t="s">
        <v>75</v>
      </c>
      <c r="J68" s="3">
        <v>0</v>
      </c>
      <c r="K68" s="3">
        <v>195</v>
      </c>
      <c r="L68" s="3">
        <v>0</v>
      </c>
      <c r="M68" s="3">
        <v>0</v>
      </c>
      <c r="N68" s="3">
        <v>0</v>
      </c>
      <c r="O68" s="3">
        <v>0</v>
      </c>
      <c r="P68" s="4">
        <f t="shared" ref="P68:P89" si="1">+H68+J68-K68-L68-M68-N68-O68</f>
        <v>180</v>
      </c>
      <c r="Q68" s="1" t="s">
        <v>91</v>
      </c>
      <c r="R68" s="44">
        <v>65</v>
      </c>
      <c r="S68" s="47">
        <v>150</v>
      </c>
      <c r="T68" s="4"/>
    </row>
    <row r="69" spans="1:20" x14ac:dyDescent="0.25">
      <c r="A69" s="7">
        <v>66</v>
      </c>
      <c r="C69" s="1" t="s">
        <v>14</v>
      </c>
      <c r="D69" s="22" t="s">
        <v>76</v>
      </c>
      <c r="E69" s="10"/>
      <c r="F69" s="10"/>
      <c r="G69" s="11"/>
      <c r="H69" s="12">
        <v>232</v>
      </c>
      <c r="I69" s="8" t="s">
        <v>2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4">
        <f t="shared" si="1"/>
        <v>232</v>
      </c>
      <c r="Q69" s="1" t="s">
        <v>14</v>
      </c>
      <c r="R69" s="44">
        <v>50</v>
      </c>
      <c r="S69" s="47">
        <v>100</v>
      </c>
      <c r="T69" s="4"/>
    </row>
    <row r="70" spans="1:20" x14ac:dyDescent="0.25">
      <c r="A70" s="7">
        <v>67</v>
      </c>
      <c r="D70" s="25" t="s">
        <v>147</v>
      </c>
      <c r="H70" s="12">
        <v>565</v>
      </c>
      <c r="I70" s="30" t="s">
        <v>2</v>
      </c>
      <c r="J70" s="3">
        <v>0</v>
      </c>
      <c r="K70" s="3">
        <v>1</v>
      </c>
      <c r="L70" s="3">
        <v>6</v>
      </c>
      <c r="M70" s="3">
        <v>2</v>
      </c>
      <c r="N70" s="3">
        <v>0</v>
      </c>
      <c r="O70" s="3">
        <v>2</v>
      </c>
      <c r="P70" s="4">
        <f t="shared" si="1"/>
        <v>554</v>
      </c>
      <c r="Q70" s="1" t="s">
        <v>14</v>
      </c>
      <c r="R70" s="44">
        <v>50</v>
      </c>
      <c r="S70" s="47">
        <v>100</v>
      </c>
      <c r="T70" s="4"/>
    </row>
    <row r="71" spans="1:20" x14ac:dyDescent="0.25">
      <c r="A71" s="7">
        <v>68</v>
      </c>
      <c r="D71" s="26" t="s">
        <v>80</v>
      </c>
      <c r="E71" s="27"/>
      <c r="F71" s="27"/>
      <c r="G71" s="28"/>
      <c r="H71" s="12">
        <v>81</v>
      </c>
      <c r="I71" s="8" t="s">
        <v>2</v>
      </c>
      <c r="J71" s="3">
        <v>0</v>
      </c>
      <c r="K71" s="3">
        <v>6</v>
      </c>
      <c r="L71" s="3">
        <v>13</v>
      </c>
      <c r="M71" s="3">
        <v>0</v>
      </c>
      <c r="N71" s="3">
        <v>0</v>
      </c>
      <c r="O71" s="3">
        <v>0</v>
      </c>
      <c r="P71" s="4">
        <f t="shared" si="1"/>
        <v>62</v>
      </c>
      <c r="Q71" s="1" t="s">
        <v>14</v>
      </c>
      <c r="R71" s="44">
        <v>20</v>
      </c>
      <c r="S71" s="46">
        <v>200</v>
      </c>
      <c r="T71" s="4"/>
    </row>
    <row r="72" spans="1:20" x14ac:dyDescent="0.25">
      <c r="A72" s="7">
        <v>69</v>
      </c>
      <c r="D72" s="26" t="s">
        <v>84</v>
      </c>
      <c r="E72" s="27"/>
      <c r="F72" s="27"/>
      <c r="G72" s="28"/>
      <c r="H72" s="12">
        <v>0</v>
      </c>
      <c r="I72" s="8" t="s">
        <v>2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  <c r="P72" s="4">
        <f t="shared" si="1"/>
        <v>0</v>
      </c>
      <c r="Q72" s="1" t="s">
        <v>14</v>
      </c>
      <c r="R72" s="44">
        <v>100</v>
      </c>
      <c r="S72" s="47">
        <v>200</v>
      </c>
      <c r="T72" s="4"/>
    </row>
    <row r="73" spans="1:20" x14ac:dyDescent="0.25">
      <c r="A73" s="7">
        <v>70</v>
      </c>
      <c r="D73" s="26" t="s">
        <v>167</v>
      </c>
      <c r="E73" s="27"/>
      <c r="F73" s="27"/>
      <c r="G73" s="28"/>
      <c r="H73" s="12">
        <v>83</v>
      </c>
      <c r="I73" s="8" t="s">
        <v>2</v>
      </c>
      <c r="J73" s="3">
        <v>0</v>
      </c>
      <c r="K73" s="3">
        <v>6</v>
      </c>
      <c r="L73" s="3">
        <v>13</v>
      </c>
      <c r="M73" s="3">
        <v>0</v>
      </c>
      <c r="N73" s="3">
        <v>0</v>
      </c>
      <c r="O73" s="3">
        <v>0</v>
      </c>
      <c r="P73" s="4">
        <f t="shared" si="1"/>
        <v>64</v>
      </c>
      <c r="R73" s="44">
        <v>20</v>
      </c>
      <c r="S73" s="46">
        <v>200</v>
      </c>
      <c r="T73" s="4"/>
    </row>
    <row r="74" spans="1:20" x14ac:dyDescent="0.25">
      <c r="A74" s="7">
        <v>71</v>
      </c>
      <c r="D74" s="37" t="s">
        <v>14</v>
      </c>
      <c r="E74" s="17"/>
      <c r="F74" s="33"/>
      <c r="G74" s="33"/>
      <c r="H74" s="12">
        <v>0</v>
      </c>
      <c r="I74" s="8" t="s">
        <v>14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4">
        <f t="shared" si="1"/>
        <v>0</v>
      </c>
      <c r="Q74" s="1" t="s">
        <v>14</v>
      </c>
      <c r="R74" s="44">
        <v>100</v>
      </c>
      <c r="S74" s="47">
        <v>500</v>
      </c>
      <c r="T74" s="4"/>
    </row>
    <row r="75" spans="1:20" x14ac:dyDescent="0.25">
      <c r="A75" s="7">
        <v>72</v>
      </c>
      <c r="D75" s="22" t="s">
        <v>100</v>
      </c>
      <c r="E75" s="10"/>
      <c r="F75" s="10"/>
      <c r="G75" s="28"/>
      <c r="H75" s="12">
        <v>0</v>
      </c>
      <c r="I75" s="8" t="s">
        <v>2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4">
        <f t="shared" si="1"/>
        <v>0</v>
      </c>
      <c r="R75" s="44">
        <v>0</v>
      </c>
      <c r="S75" s="46"/>
      <c r="T75" s="4"/>
    </row>
    <row r="76" spans="1:20" x14ac:dyDescent="0.25">
      <c r="A76" s="7">
        <v>73</v>
      </c>
      <c r="D76" s="37" t="s">
        <v>113</v>
      </c>
      <c r="E76" s="17"/>
      <c r="F76" s="17"/>
      <c r="G76" s="33"/>
      <c r="H76" s="12">
        <v>366</v>
      </c>
      <c r="I76" s="8" t="s">
        <v>97</v>
      </c>
      <c r="J76" s="3">
        <v>840</v>
      </c>
      <c r="K76" s="3">
        <v>190</v>
      </c>
      <c r="L76" s="3">
        <v>97</v>
      </c>
      <c r="M76" s="3">
        <v>97</v>
      </c>
      <c r="N76" s="3">
        <v>0</v>
      </c>
      <c r="O76" s="3">
        <v>87</v>
      </c>
      <c r="P76" s="4">
        <f t="shared" si="1"/>
        <v>735</v>
      </c>
      <c r="Q76" s="65" t="s">
        <v>121</v>
      </c>
      <c r="R76" s="44">
        <v>30</v>
      </c>
      <c r="S76" s="47">
        <v>100</v>
      </c>
      <c r="T76" s="4"/>
    </row>
    <row r="77" spans="1:20" x14ac:dyDescent="0.25">
      <c r="A77" s="7">
        <v>74</v>
      </c>
      <c r="D77" s="22" t="s">
        <v>103</v>
      </c>
      <c r="E77" s="10"/>
      <c r="F77" s="10"/>
      <c r="G77" s="28"/>
      <c r="H77" s="12">
        <v>120</v>
      </c>
      <c r="I77" s="8" t="s">
        <v>2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4">
        <f t="shared" si="1"/>
        <v>120</v>
      </c>
      <c r="R77" s="44">
        <v>60</v>
      </c>
      <c r="S77" s="47">
        <v>100</v>
      </c>
      <c r="T77" s="4"/>
    </row>
    <row r="78" spans="1:20" x14ac:dyDescent="0.25">
      <c r="A78" s="8">
        <v>75</v>
      </c>
      <c r="D78" s="49" t="s">
        <v>108</v>
      </c>
      <c r="E78" s="20"/>
      <c r="F78" s="20"/>
      <c r="G78" s="20"/>
      <c r="H78" s="12">
        <v>37000</v>
      </c>
      <c r="I78" s="8" t="s">
        <v>110</v>
      </c>
      <c r="J78" s="3">
        <v>0</v>
      </c>
      <c r="K78" s="3">
        <v>1500</v>
      </c>
      <c r="L78" s="3">
        <v>1000</v>
      </c>
      <c r="M78" s="3">
        <v>1500</v>
      </c>
      <c r="N78" s="3">
        <v>0</v>
      </c>
      <c r="O78" s="3">
        <v>1200</v>
      </c>
      <c r="P78" s="4">
        <f t="shared" si="1"/>
        <v>31800</v>
      </c>
      <c r="R78" s="43">
        <v>1000</v>
      </c>
      <c r="S78" s="46">
        <v>10000</v>
      </c>
      <c r="T78" s="4"/>
    </row>
    <row r="79" spans="1:20" x14ac:dyDescent="0.25">
      <c r="A79" s="48">
        <v>76</v>
      </c>
      <c r="B79" s="41"/>
      <c r="C79" s="41"/>
      <c r="D79" s="22" t="s">
        <v>115</v>
      </c>
      <c r="E79" s="10"/>
      <c r="F79" s="10"/>
      <c r="G79" s="11"/>
      <c r="H79" s="12">
        <v>601</v>
      </c>
      <c r="I79" s="62" t="s">
        <v>2</v>
      </c>
      <c r="J79" s="3">
        <v>0</v>
      </c>
      <c r="K79" s="3">
        <v>1</v>
      </c>
      <c r="L79" s="3">
        <v>6</v>
      </c>
      <c r="M79" s="3">
        <v>2</v>
      </c>
      <c r="N79" s="3">
        <v>0</v>
      </c>
      <c r="O79" s="3">
        <v>2</v>
      </c>
      <c r="P79" s="64">
        <f t="shared" si="1"/>
        <v>590</v>
      </c>
      <c r="R79" s="64">
        <v>50</v>
      </c>
      <c r="S79" s="64">
        <v>100</v>
      </c>
      <c r="T79" s="4" t="s">
        <v>14</v>
      </c>
    </row>
    <row r="80" spans="1:20" x14ac:dyDescent="0.25">
      <c r="A80" s="73">
        <v>77</v>
      </c>
      <c r="B80" s="41"/>
      <c r="C80" s="41"/>
      <c r="D80" s="49" t="s">
        <v>134</v>
      </c>
      <c r="E80" s="35"/>
      <c r="F80" s="35"/>
      <c r="G80" s="60"/>
      <c r="H80" s="12">
        <v>320</v>
      </c>
      <c r="I80" s="8" t="s">
        <v>2</v>
      </c>
      <c r="J80" s="3">
        <v>0</v>
      </c>
      <c r="K80" s="3">
        <v>8</v>
      </c>
      <c r="L80" s="3">
        <v>0</v>
      </c>
      <c r="M80" s="3">
        <v>0</v>
      </c>
      <c r="N80" s="3">
        <v>0</v>
      </c>
      <c r="O80" s="3">
        <v>0</v>
      </c>
      <c r="P80" s="4">
        <f t="shared" si="1"/>
        <v>312</v>
      </c>
      <c r="Q80" s="4"/>
      <c r="R80" s="4">
        <v>20</v>
      </c>
      <c r="S80" s="4">
        <v>50</v>
      </c>
      <c r="T80" s="4"/>
    </row>
    <row r="81" spans="1:20" x14ac:dyDescent="0.25">
      <c r="A81" s="8">
        <v>78</v>
      </c>
      <c r="D81" s="22" t="s">
        <v>123</v>
      </c>
      <c r="E81" s="10"/>
      <c r="F81" s="10"/>
      <c r="G81" s="11"/>
      <c r="H81" s="12">
        <v>1300</v>
      </c>
      <c r="I81" s="8" t="s">
        <v>2</v>
      </c>
      <c r="J81" s="3">
        <v>0</v>
      </c>
      <c r="K81" s="3">
        <v>0</v>
      </c>
      <c r="L81" s="3">
        <v>300</v>
      </c>
      <c r="M81" s="3">
        <v>0</v>
      </c>
      <c r="N81" s="3">
        <v>0</v>
      </c>
      <c r="O81" s="3">
        <v>0</v>
      </c>
      <c r="P81" s="4">
        <f t="shared" si="1"/>
        <v>1000</v>
      </c>
      <c r="Q81" s="4"/>
      <c r="R81" s="4">
        <v>100</v>
      </c>
      <c r="S81" s="4">
        <v>500</v>
      </c>
      <c r="T81" s="4"/>
    </row>
    <row r="82" spans="1:20" x14ac:dyDescent="0.25">
      <c r="A82" s="48">
        <v>79</v>
      </c>
      <c r="B82" s="41"/>
      <c r="C82" s="41"/>
      <c r="D82" s="22" t="s">
        <v>154</v>
      </c>
      <c r="E82" s="10"/>
      <c r="F82" s="10"/>
      <c r="G82" s="11"/>
      <c r="H82" s="4">
        <v>15</v>
      </c>
      <c r="I82" s="8" t="s">
        <v>2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  <c r="P82" s="4">
        <f t="shared" si="1"/>
        <v>15</v>
      </c>
      <c r="Q82" s="4"/>
      <c r="R82" s="4">
        <v>10</v>
      </c>
      <c r="S82" s="4">
        <v>50</v>
      </c>
      <c r="T82" s="4"/>
    </row>
    <row r="83" spans="1:20" x14ac:dyDescent="0.25">
      <c r="A83" s="48">
        <v>80</v>
      </c>
      <c r="B83" s="41"/>
      <c r="C83" s="41"/>
      <c r="D83" s="37" t="s">
        <v>155</v>
      </c>
      <c r="E83" s="17"/>
      <c r="F83" s="17"/>
      <c r="G83" s="18"/>
      <c r="H83" s="64">
        <v>15</v>
      </c>
      <c r="I83" s="62" t="s">
        <v>2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64">
        <f t="shared" si="1"/>
        <v>15</v>
      </c>
      <c r="Q83" s="64"/>
      <c r="R83" s="64">
        <v>10</v>
      </c>
      <c r="S83" s="64">
        <v>50</v>
      </c>
      <c r="T83" s="4"/>
    </row>
    <row r="84" spans="1:20" x14ac:dyDescent="0.25">
      <c r="A84" s="48">
        <v>81</v>
      </c>
      <c r="B84" s="11"/>
      <c r="C84" s="23"/>
      <c r="D84" s="23" t="s">
        <v>149</v>
      </c>
      <c r="E84" s="23"/>
      <c r="F84" s="23"/>
      <c r="G84" s="23"/>
      <c r="H84" s="23">
        <v>10</v>
      </c>
      <c r="I84" s="8" t="s">
        <v>2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4">
        <f t="shared" si="1"/>
        <v>10</v>
      </c>
      <c r="Q84" s="4"/>
      <c r="R84" s="4">
        <v>10</v>
      </c>
      <c r="S84" s="4">
        <v>50</v>
      </c>
      <c r="T84" s="4"/>
    </row>
    <row r="85" spans="1:20" x14ac:dyDescent="0.25">
      <c r="A85" s="8">
        <v>82</v>
      </c>
      <c r="D85" s="68" t="s">
        <v>148</v>
      </c>
      <c r="E85" s="27"/>
      <c r="F85" s="27"/>
      <c r="G85" s="28"/>
      <c r="H85" s="4">
        <v>98</v>
      </c>
      <c r="I85" s="8" t="s">
        <v>2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4">
        <f t="shared" si="1"/>
        <v>98</v>
      </c>
      <c r="Q85" s="4"/>
      <c r="R85" s="4">
        <v>50</v>
      </c>
      <c r="S85" s="4">
        <v>200</v>
      </c>
      <c r="T85" s="4"/>
    </row>
    <row r="86" spans="1:20" ht="15.75" customHeight="1" x14ac:dyDescent="0.25">
      <c r="A86" s="8">
        <v>83</v>
      </c>
      <c r="D86" s="79" t="s">
        <v>150</v>
      </c>
      <c r="E86" s="80"/>
      <c r="F86" s="81"/>
      <c r="G86" s="82"/>
      <c r="H86" s="4">
        <v>255</v>
      </c>
      <c r="I86" s="8" t="s">
        <v>2</v>
      </c>
      <c r="J86" s="3">
        <v>0</v>
      </c>
      <c r="K86" s="3">
        <v>0</v>
      </c>
      <c r="L86" s="3">
        <v>23</v>
      </c>
      <c r="M86" s="3">
        <v>6</v>
      </c>
      <c r="N86" s="3">
        <v>0</v>
      </c>
      <c r="O86" s="3">
        <v>50</v>
      </c>
      <c r="P86" s="4">
        <f t="shared" si="1"/>
        <v>176</v>
      </c>
      <c r="Q86" s="4"/>
      <c r="R86" s="4">
        <v>50</v>
      </c>
      <c r="S86" s="4">
        <v>300</v>
      </c>
      <c r="T86" s="4"/>
    </row>
    <row r="87" spans="1:20" x14ac:dyDescent="0.25">
      <c r="A87" s="8">
        <v>84</v>
      </c>
      <c r="D87" s="22" t="s">
        <v>160</v>
      </c>
      <c r="E87" s="10"/>
      <c r="F87" s="10"/>
      <c r="G87" s="11"/>
      <c r="H87" s="23">
        <v>827</v>
      </c>
      <c r="I87" s="8" t="s">
        <v>2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4">
        <f t="shared" si="1"/>
        <v>827</v>
      </c>
      <c r="Q87" s="4"/>
      <c r="R87" s="4">
        <v>20</v>
      </c>
      <c r="S87" s="4">
        <v>300</v>
      </c>
      <c r="T87" s="4"/>
    </row>
    <row r="88" spans="1:20" x14ac:dyDescent="0.25">
      <c r="A88" s="8">
        <v>85</v>
      </c>
      <c r="D88" s="49" t="s">
        <v>153</v>
      </c>
      <c r="E88" s="20"/>
      <c r="F88" s="20"/>
      <c r="G88" s="21"/>
      <c r="H88" s="23">
        <v>88</v>
      </c>
      <c r="I88" s="8" t="s">
        <v>2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4">
        <f t="shared" si="1"/>
        <v>88</v>
      </c>
      <c r="Q88" s="4"/>
      <c r="R88" s="4">
        <v>10</v>
      </c>
      <c r="S88" s="4">
        <v>200</v>
      </c>
      <c r="T88" s="4"/>
    </row>
    <row r="89" spans="1:20" x14ac:dyDescent="0.25">
      <c r="A89" s="77">
        <v>86</v>
      </c>
      <c r="D89" s="68" t="s">
        <v>162</v>
      </c>
      <c r="E89" s="27"/>
      <c r="F89" s="27"/>
      <c r="G89" s="28"/>
      <c r="H89" s="74">
        <v>85</v>
      </c>
      <c r="I89" s="75" t="s">
        <v>2</v>
      </c>
      <c r="J89" s="3">
        <v>0</v>
      </c>
      <c r="K89" s="3">
        <v>0</v>
      </c>
      <c r="L89" s="3">
        <v>0</v>
      </c>
      <c r="M89" s="3">
        <v>0</v>
      </c>
      <c r="N89" s="3">
        <v>0</v>
      </c>
      <c r="O89" s="3">
        <v>0</v>
      </c>
      <c r="P89" s="4">
        <f t="shared" si="1"/>
        <v>85</v>
      </c>
      <c r="Q89" s="4"/>
      <c r="R89" s="4">
        <v>10</v>
      </c>
      <c r="S89" s="4">
        <v>50</v>
      </c>
      <c r="T89" s="4"/>
    </row>
  </sheetData>
  <pageMargins left="0.75" right="0.75" top="1" bottom="1" header="0.5" footer="0.5"/>
  <pageSetup paperSize="9"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T89"/>
  <sheetViews>
    <sheetView topLeftCell="A49" workbookViewId="0">
      <selection activeCell="A65" sqref="A65:XFD65"/>
    </sheetView>
  </sheetViews>
  <sheetFormatPr defaultRowHeight="15" x14ac:dyDescent="0.25"/>
  <cols>
    <col min="1" max="1" width="5.5703125" customWidth="1"/>
    <col min="2" max="3" width="9.140625" hidden="1" customWidth="1"/>
    <col min="6" max="6" width="12.7109375" customWidth="1"/>
    <col min="8" max="8" width="10.140625" customWidth="1"/>
    <col min="9" max="9" width="10" customWidth="1"/>
    <col min="10" max="10" width="7.7109375" customWidth="1"/>
    <col min="11" max="11" width="10.7109375" customWidth="1"/>
    <col min="12" max="12" width="10.140625" customWidth="1"/>
    <col min="13" max="13" width="11.85546875" customWidth="1"/>
    <col min="14" max="15" width="11.7109375" customWidth="1"/>
    <col min="16" max="16" width="10.140625" customWidth="1"/>
    <col min="17" max="17" width="4.7109375" customWidth="1"/>
    <col min="18" max="18" width="12.140625" customWidth="1"/>
    <col min="19" max="19" width="10.85546875" customWidth="1"/>
    <col min="20" max="20" width="13.85546875" customWidth="1"/>
  </cols>
  <sheetData>
    <row r="1" spans="1:20" x14ac:dyDescent="0.25">
      <c r="G1" s="1"/>
      <c r="P1">
        <f>+H1+J1-K1-L1-M1-N1-O1</f>
        <v>0</v>
      </c>
    </row>
    <row r="2" spans="1:20" x14ac:dyDescent="0.25">
      <c r="A2" t="s">
        <v>14</v>
      </c>
      <c r="D2" s="78">
        <v>45536</v>
      </c>
      <c r="O2" s="38" t="s">
        <v>14</v>
      </c>
      <c r="S2" s="50">
        <v>44837</v>
      </c>
    </row>
    <row r="3" spans="1:20" x14ac:dyDescent="0.25">
      <c r="A3" s="3" t="s">
        <v>15</v>
      </c>
      <c r="D3" s="9" t="s">
        <v>17</v>
      </c>
      <c r="E3" s="10"/>
      <c r="F3" s="10"/>
      <c r="G3" s="11"/>
      <c r="H3" s="12" t="s">
        <v>18</v>
      </c>
      <c r="I3" s="4" t="s">
        <v>19</v>
      </c>
      <c r="J3" s="3" t="s">
        <v>20</v>
      </c>
      <c r="K3" s="5">
        <v>45541</v>
      </c>
      <c r="L3" s="6">
        <v>45548</v>
      </c>
      <c r="M3" s="5">
        <v>45555</v>
      </c>
      <c r="N3" s="5">
        <v>45562</v>
      </c>
      <c r="O3" s="6">
        <v>45565</v>
      </c>
      <c r="P3" s="3" t="s">
        <v>21</v>
      </c>
      <c r="R3" s="42" t="s">
        <v>105</v>
      </c>
      <c r="S3" s="45" t="s">
        <v>104</v>
      </c>
      <c r="T3" s="4"/>
    </row>
    <row r="4" spans="1:20" x14ac:dyDescent="0.25">
      <c r="A4" s="7">
        <v>1</v>
      </c>
      <c r="D4" s="13" t="s">
        <v>16</v>
      </c>
      <c r="E4" s="14"/>
      <c r="F4" s="14"/>
      <c r="G4" s="15"/>
      <c r="H4" s="12">
        <v>190</v>
      </c>
      <c r="I4" s="7" t="s">
        <v>1</v>
      </c>
      <c r="J4" s="3">
        <v>250</v>
      </c>
      <c r="K4" s="3">
        <v>75</v>
      </c>
      <c r="L4" s="3">
        <v>23</v>
      </c>
      <c r="M4" s="3">
        <v>0</v>
      </c>
      <c r="N4" s="3">
        <v>23</v>
      </c>
      <c r="O4" s="3">
        <v>0</v>
      </c>
      <c r="P4" s="4">
        <f t="shared" ref="P4:P67" si="0">+H4+J4-K4-L4-M4-N4-O4</f>
        <v>319</v>
      </c>
      <c r="Q4" t="s">
        <v>173</v>
      </c>
      <c r="R4" s="43">
        <v>100</v>
      </c>
      <c r="S4" s="46">
        <v>500</v>
      </c>
      <c r="T4" s="4" t="s">
        <v>14</v>
      </c>
    </row>
    <row r="5" spans="1:20" x14ac:dyDescent="0.25">
      <c r="A5" s="7">
        <v>2</v>
      </c>
      <c r="D5" s="9" t="s">
        <v>22</v>
      </c>
      <c r="E5" s="10"/>
      <c r="F5" s="10"/>
      <c r="G5" s="11"/>
      <c r="H5" s="12">
        <v>0</v>
      </c>
      <c r="I5" s="7" t="s">
        <v>2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4">
        <f t="shared" si="0"/>
        <v>0</v>
      </c>
      <c r="Q5" s="1" t="s">
        <v>14</v>
      </c>
      <c r="R5" s="44">
        <v>6</v>
      </c>
      <c r="S5" s="47">
        <v>10</v>
      </c>
      <c r="T5" s="4"/>
    </row>
    <row r="6" spans="1:20" x14ac:dyDescent="0.25">
      <c r="A6" s="7">
        <v>3</v>
      </c>
      <c r="D6" s="16" t="s">
        <v>23</v>
      </c>
      <c r="E6" s="17"/>
      <c r="F6" s="17"/>
      <c r="G6" s="18"/>
      <c r="H6" s="12">
        <v>54</v>
      </c>
      <c r="I6" s="7" t="s">
        <v>2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4">
        <f t="shared" si="0"/>
        <v>54</v>
      </c>
      <c r="Q6" s="1" t="s">
        <v>14</v>
      </c>
      <c r="R6" s="44">
        <v>6</v>
      </c>
      <c r="S6" s="47">
        <v>10</v>
      </c>
      <c r="T6" s="4"/>
    </row>
    <row r="7" spans="1:20" x14ac:dyDescent="0.25">
      <c r="A7" s="7">
        <v>4</v>
      </c>
      <c r="D7" s="9" t="s">
        <v>3</v>
      </c>
      <c r="E7" s="10"/>
      <c r="F7" s="10"/>
      <c r="G7" s="11"/>
      <c r="H7" s="12">
        <v>30</v>
      </c>
      <c r="I7" s="7" t="s">
        <v>2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4">
        <f t="shared" si="0"/>
        <v>30</v>
      </c>
      <c r="Q7" s="1" t="s">
        <v>14</v>
      </c>
      <c r="R7" s="44">
        <v>6</v>
      </c>
      <c r="S7" s="47">
        <v>10</v>
      </c>
      <c r="T7" s="4"/>
    </row>
    <row r="8" spans="1:20" x14ac:dyDescent="0.25">
      <c r="A8" s="7">
        <v>5</v>
      </c>
      <c r="D8" s="16" t="s">
        <v>139</v>
      </c>
      <c r="E8" s="17"/>
      <c r="F8" s="17"/>
      <c r="G8" s="18"/>
      <c r="H8" s="12">
        <v>100</v>
      </c>
      <c r="I8" s="7" t="s">
        <v>2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4">
        <f t="shared" si="0"/>
        <v>100</v>
      </c>
      <c r="Q8" s="1" t="s">
        <v>14</v>
      </c>
      <c r="R8" s="44">
        <v>100</v>
      </c>
      <c r="S8" s="47">
        <v>400</v>
      </c>
      <c r="T8" s="4"/>
    </row>
    <row r="9" spans="1:20" x14ac:dyDescent="0.25">
      <c r="A9" s="7">
        <v>6</v>
      </c>
      <c r="D9" s="9" t="s">
        <v>24</v>
      </c>
      <c r="E9" s="10"/>
      <c r="F9" s="10"/>
      <c r="G9" s="11"/>
      <c r="H9" s="12">
        <v>50</v>
      </c>
      <c r="I9" s="7" t="s">
        <v>2</v>
      </c>
      <c r="J9" s="3">
        <v>100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4">
        <f t="shared" si="0"/>
        <v>150</v>
      </c>
      <c r="Q9" s="1" t="s">
        <v>14</v>
      </c>
      <c r="R9" s="44">
        <v>60</v>
      </c>
      <c r="S9" s="47">
        <v>200</v>
      </c>
      <c r="T9" s="4"/>
    </row>
    <row r="10" spans="1:20" x14ac:dyDescent="0.25">
      <c r="A10" s="7">
        <v>7</v>
      </c>
      <c r="D10" s="16" t="s">
        <v>101</v>
      </c>
      <c r="E10" s="17"/>
      <c r="F10" s="17"/>
      <c r="G10" s="18"/>
      <c r="H10" s="12">
        <v>166</v>
      </c>
      <c r="I10" s="7" t="s">
        <v>2</v>
      </c>
      <c r="J10" s="3">
        <v>0</v>
      </c>
      <c r="K10" s="3">
        <v>60</v>
      </c>
      <c r="L10" s="3">
        <v>0</v>
      </c>
      <c r="M10" s="3">
        <v>0</v>
      </c>
      <c r="N10" s="3">
        <v>0</v>
      </c>
      <c r="O10" s="3">
        <v>0</v>
      </c>
      <c r="P10" s="4">
        <f t="shared" si="0"/>
        <v>106</v>
      </c>
      <c r="Q10" s="1" t="s">
        <v>14</v>
      </c>
      <c r="R10" s="44">
        <v>200</v>
      </c>
      <c r="S10" s="47">
        <v>500</v>
      </c>
      <c r="T10" s="4"/>
    </row>
    <row r="11" spans="1:20" x14ac:dyDescent="0.25">
      <c r="A11" s="7">
        <v>8</v>
      </c>
      <c r="D11" s="9" t="s">
        <v>25</v>
      </c>
      <c r="E11" s="10"/>
      <c r="F11" s="10"/>
      <c r="G11" s="11"/>
      <c r="H11" s="12">
        <v>293</v>
      </c>
      <c r="I11" s="7" t="s">
        <v>2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4">
        <f t="shared" si="0"/>
        <v>293</v>
      </c>
      <c r="Q11" s="1" t="s">
        <v>14</v>
      </c>
      <c r="R11" s="44">
        <v>50</v>
      </c>
      <c r="S11" s="47">
        <v>300</v>
      </c>
      <c r="T11" s="4"/>
    </row>
    <row r="12" spans="1:20" x14ac:dyDescent="0.25">
      <c r="A12" s="7">
        <v>9</v>
      </c>
      <c r="D12" s="16" t="s">
        <v>26</v>
      </c>
      <c r="E12" s="17"/>
      <c r="F12" s="17"/>
      <c r="G12" s="18"/>
      <c r="H12" s="12">
        <v>0</v>
      </c>
      <c r="I12" s="7" t="s">
        <v>2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4">
        <f t="shared" si="0"/>
        <v>0</v>
      </c>
      <c r="Q12" s="1" t="s">
        <v>14</v>
      </c>
      <c r="R12" s="44">
        <v>200</v>
      </c>
      <c r="S12" s="47">
        <v>400</v>
      </c>
      <c r="T12" s="4"/>
    </row>
    <row r="13" spans="1:20" x14ac:dyDescent="0.25">
      <c r="A13" s="7">
        <v>10</v>
      </c>
      <c r="D13" s="9" t="s">
        <v>6</v>
      </c>
      <c r="E13" s="10"/>
      <c r="F13" s="10"/>
      <c r="G13" s="11"/>
      <c r="H13" s="12">
        <v>60</v>
      </c>
      <c r="I13" s="7" t="s">
        <v>2</v>
      </c>
      <c r="J13" s="3">
        <v>0</v>
      </c>
      <c r="K13" s="3">
        <v>0</v>
      </c>
      <c r="L13" s="3">
        <v>0</v>
      </c>
      <c r="M13" s="3">
        <v>0</v>
      </c>
      <c r="N13" s="3">
        <v>14</v>
      </c>
      <c r="O13" s="3">
        <v>0</v>
      </c>
      <c r="P13" s="4">
        <f t="shared" si="0"/>
        <v>46</v>
      </c>
      <c r="Q13" s="1" t="s">
        <v>14</v>
      </c>
      <c r="R13" s="44">
        <v>10</v>
      </c>
      <c r="S13" s="46">
        <v>100</v>
      </c>
      <c r="T13" s="4"/>
    </row>
    <row r="14" spans="1:20" x14ac:dyDescent="0.25">
      <c r="A14" s="7">
        <v>11</v>
      </c>
      <c r="D14" s="16" t="s">
        <v>7</v>
      </c>
      <c r="E14" s="17"/>
      <c r="F14" s="17"/>
      <c r="G14" s="18"/>
      <c r="H14" s="12">
        <v>8</v>
      </c>
      <c r="I14" s="7" t="s">
        <v>171</v>
      </c>
      <c r="J14" s="3">
        <v>0</v>
      </c>
      <c r="K14" s="3">
        <v>0</v>
      </c>
      <c r="L14" s="3">
        <v>0</v>
      </c>
      <c r="M14" s="3">
        <v>1</v>
      </c>
      <c r="N14" s="3">
        <v>0</v>
      </c>
      <c r="O14" s="3">
        <v>0</v>
      </c>
      <c r="P14" s="4">
        <f t="shared" si="0"/>
        <v>7</v>
      </c>
      <c r="Q14" s="1" t="s">
        <v>14</v>
      </c>
      <c r="R14" s="44">
        <v>20</v>
      </c>
      <c r="S14" s="47">
        <v>50</v>
      </c>
      <c r="T14" s="4"/>
    </row>
    <row r="15" spans="1:20" x14ac:dyDescent="0.25">
      <c r="A15" s="7">
        <v>12</v>
      </c>
      <c r="D15" s="9" t="s">
        <v>69</v>
      </c>
      <c r="E15" s="10"/>
      <c r="F15" s="10"/>
      <c r="G15" s="11"/>
      <c r="H15" s="12">
        <v>12</v>
      </c>
      <c r="I15" s="7" t="s">
        <v>171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4">
        <f t="shared" si="0"/>
        <v>12</v>
      </c>
      <c r="Q15" s="1" t="s">
        <v>14</v>
      </c>
      <c r="R15" s="44">
        <v>100</v>
      </c>
      <c r="S15" s="47">
        <v>200</v>
      </c>
      <c r="T15" s="4"/>
    </row>
    <row r="16" spans="1:20" x14ac:dyDescent="0.25">
      <c r="A16" s="7">
        <v>13</v>
      </c>
      <c r="D16" s="16" t="s">
        <v>27</v>
      </c>
      <c r="E16" s="17"/>
      <c r="F16" s="17"/>
      <c r="G16" s="18"/>
      <c r="H16" s="12">
        <v>0</v>
      </c>
      <c r="I16" s="7" t="s">
        <v>2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4">
        <f t="shared" si="0"/>
        <v>0</v>
      </c>
      <c r="Q16" s="1" t="s">
        <v>14</v>
      </c>
      <c r="R16" s="44">
        <v>0</v>
      </c>
      <c r="S16" s="46"/>
      <c r="T16" s="4"/>
    </row>
    <row r="17" spans="1:20" x14ac:dyDescent="0.25">
      <c r="A17" s="7">
        <v>14</v>
      </c>
      <c r="D17" s="9" t="s">
        <v>73</v>
      </c>
      <c r="E17" s="10"/>
      <c r="F17" s="10"/>
      <c r="G17" s="11"/>
      <c r="H17" s="12">
        <v>781</v>
      </c>
      <c r="I17" s="7" t="s">
        <v>2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4">
        <f t="shared" si="0"/>
        <v>781</v>
      </c>
      <c r="Q17" s="1" t="s">
        <v>14</v>
      </c>
      <c r="R17" s="44">
        <v>0</v>
      </c>
      <c r="S17" s="46"/>
      <c r="T17" s="4"/>
    </row>
    <row r="18" spans="1:20" x14ac:dyDescent="0.25">
      <c r="A18" s="7">
        <v>15</v>
      </c>
      <c r="D18" s="16" t="s">
        <v>28</v>
      </c>
      <c r="E18" s="17"/>
      <c r="F18" s="17"/>
      <c r="G18" s="18"/>
      <c r="H18" s="12">
        <v>19</v>
      </c>
      <c r="I18" s="7" t="s">
        <v>2</v>
      </c>
      <c r="J18" s="3">
        <v>50</v>
      </c>
      <c r="K18" s="3">
        <v>0</v>
      </c>
      <c r="L18" s="3">
        <v>0</v>
      </c>
      <c r="M18" s="3">
        <v>0</v>
      </c>
      <c r="N18" s="3">
        <v>12</v>
      </c>
      <c r="O18" s="3">
        <v>0</v>
      </c>
      <c r="P18" s="4">
        <f t="shared" si="0"/>
        <v>57</v>
      </c>
      <c r="Q18" s="1" t="s">
        <v>14</v>
      </c>
      <c r="R18" s="44">
        <v>20</v>
      </c>
      <c r="S18" s="47">
        <v>50</v>
      </c>
      <c r="T18" s="4"/>
    </row>
    <row r="19" spans="1:20" x14ac:dyDescent="0.25">
      <c r="A19" s="7">
        <v>16</v>
      </c>
      <c r="D19" s="9" t="s">
        <v>29</v>
      </c>
      <c r="E19" s="10"/>
      <c r="F19" s="10"/>
      <c r="G19" s="11"/>
      <c r="H19" s="12">
        <v>22</v>
      </c>
      <c r="I19" s="7" t="s">
        <v>2</v>
      </c>
      <c r="J19" s="3">
        <v>50</v>
      </c>
      <c r="K19" s="3">
        <v>0</v>
      </c>
      <c r="L19" s="3">
        <v>0</v>
      </c>
      <c r="M19" s="3">
        <v>0</v>
      </c>
      <c r="N19" s="3">
        <v>12</v>
      </c>
      <c r="O19" s="3">
        <v>0</v>
      </c>
      <c r="P19" s="4">
        <f t="shared" si="0"/>
        <v>60</v>
      </c>
      <c r="Q19" s="1" t="s">
        <v>14</v>
      </c>
      <c r="R19" s="44">
        <v>20</v>
      </c>
      <c r="S19" s="47">
        <v>50</v>
      </c>
      <c r="T19" s="4"/>
    </row>
    <row r="20" spans="1:20" x14ac:dyDescent="0.25">
      <c r="A20" s="7">
        <v>17</v>
      </c>
      <c r="D20" s="16" t="s">
        <v>30</v>
      </c>
      <c r="E20" s="17"/>
      <c r="F20" s="17"/>
      <c r="G20" s="18"/>
      <c r="H20" s="12">
        <v>160</v>
      </c>
      <c r="I20" s="7" t="s">
        <v>2</v>
      </c>
      <c r="J20" s="3">
        <v>0</v>
      </c>
      <c r="K20" s="3">
        <v>0</v>
      </c>
      <c r="L20" s="3">
        <v>0</v>
      </c>
      <c r="M20" s="3">
        <v>0</v>
      </c>
      <c r="N20" s="3">
        <v>12</v>
      </c>
      <c r="O20" s="3">
        <v>0</v>
      </c>
      <c r="P20" s="4">
        <f t="shared" si="0"/>
        <v>148</v>
      </c>
      <c r="Q20" s="1" t="s">
        <v>14</v>
      </c>
      <c r="R20" s="44">
        <v>20</v>
      </c>
      <c r="S20" s="47">
        <v>50</v>
      </c>
      <c r="T20" s="4"/>
    </row>
    <row r="21" spans="1:20" x14ac:dyDescent="0.25">
      <c r="A21" s="7">
        <v>18</v>
      </c>
      <c r="D21" s="9" t="s">
        <v>129</v>
      </c>
      <c r="E21" s="10"/>
      <c r="F21" s="10"/>
      <c r="G21" s="11"/>
      <c r="H21" s="12">
        <v>3</v>
      </c>
      <c r="I21" s="7" t="s">
        <v>2</v>
      </c>
      <c r="J21" s="3">
        <v>20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4">
        <f t="shared" si="0"/>
        <v>23</v>
      </c>
      <c r="Q21" s="1" t="s">
        <v>14</v>
      </c>
      <c r="R21" s="44">
        <v>10</v>
      </c>
      <c r="S21" s="46">
        <v>50</v>
      </c>
      <c r="T21" s="4"/>
    </row>
    <row r="22" spans="1:20" x14ac:dyDescent="0.25">
      <c r="A22" s="7">
        <v>19</v>
      </c>
      <c r="D22" s="55" t="s">
        <v>164</v>
      </c>
      <c r="E22" s="56"/>
      <c r="F22" s="56"/>
      <c r="G22" s="57"/>
      <c r="H22" s="12">
        <v>480</v>
      </c>
      <c r="I22" s="59" t="s">
        <v>1</v>
      </c>
      <c r="J22" s="3">
        <v>0</v>
      </c>
      <c r="K22" s="3">
        <v>10</v>
      </c>
      <c r="L22" s="3">
        <v>10</v>
      </c>
      <c r="M22" s="3">
        <v>20</v>
      </c>
      <c r="N22" s="3">
        <v>20</v>
      </c>
      <c r="O22" s="3">
        <v>0</v>
      </c>
      <c r="P22" s="46">
        <f t="shared" si="0"/>
        <v>420</v>
      </c>
      <c r="Q22" s="1" t="s">
        <v>14</v>
      </c>
      <c r="R22" s="44">
        <v>50</v>
      </c>
      <c r="S22" s="47">
        <v>200</v>
      </c>
      <c r="T22" s="4"/>
    </row>
    <row r="23" spans="1:20" x14ac:dyDescent="0.25">
      <c r="A23" s="7">
        <v>20</v>
      </c>
      <c r="D23" s="9" t="s">
        <v>32</v>
      </c>
      <c r="E23" s="10"/>
      <c r="F23" s="10"/>
      <c r="G23" s="11"/>
      <c r="H23" s="12">
        <v>850</v>
      </c>
      <c r="I23" s="7" t="s">
        <v>2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4">
        <f t="shared" si="0"/>
        <v>850</v>
      </c>
      <c r="Q23" s="1" t="s">
        <v>14</v>
      </c>
      <c r="R23" s="44">
        <v>50</v>
      </c>
      <c r="S23" s="46">
        <v>200</v>
      </c>
      <c r="T23" s="4"/>
    </row>
    <row r="24" spans="1:20" x14ac:dyDescent="0.25">
      <c r="A24" s="7">
        <v>21</v>
      </c>
      <c r="D24" s="16" t="s">
        <v>140</v>
      </c>
      <c r="E24" s="17"/>
      <c r="F24" s="17"/>
      <c r="G24" s="18"/>
      <c r="H24" s="12">
        <v>102</v>
      </c>
      <c r="I24" s="7" t="s">
        <v>2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4">
        <f t="shared" si="0"/>
        <v>102</v>
      </c>
      <c r="Q24" s="1" t="s">
        <v>14</v>
      </c>
      <c r="R24" s="44">
        <v>10</v>
      </c>
      <c r="S24" s="46">
        <v>100</v>
      </c>
      <c r="T24" s="4"/>
    </row>
    <row r="25" spans="1:20" x14ac:dyDescent="0.25">
      <c r="A25" s="7">
        <v>22</v>
      </c>
      <c r="D25" s="9" t="s">
        <v>34</v>
      </c>
      <c r="E25" s="10"/>
      <c r="F25" s="10"/>
      <c r="G25" s="11"/>
      <c r="H25" s="12">
        <v>8</v>
      </c>
      <c r="I25" s="7" t="s">
        <v>2</v>
      </c>
      <c r="J25" s="3">
        <v>0</v>
      </c>
      <c r="K25" s="3">
        <v>0</v>
      </c>
      <c r="L25" s="3">
        <v>4</v>
      </c>
      <c r="M25" s="3">
        <v>0</v>
      </c>
      <c r="N25" s="3">
        <v>0</v>
      </c>
      <c r="O25" s="3">
        <v>0</v>
      </c>
      <c r="P25" s="4">
        <f t="shared" si="0"/>
        <v>4</v>
      </c>
      <c r="Q25" s="1" t="s">
        <v>14</v>
      </c>
      <c r="R25" s="44">
        <v>10</v>
      </c>
      <c r="S25" s="46">
        <v>50</v>
      </c>
      <c r="T25" s="4"/>
    </row>
    <row r="26" spans="1:20" x14ac:dyDescent="0.25">
      <c r="A26" s="7">
        <v>23</v>
      </c>
      <c r="D26" s="16" t="s">
        <v>142</v>
      </c>
      <c r="E26" s="17"/>
      <c r="F26" s="17"/>
      <c r="G26" s="18"/>
      <c r="H26" s="12">
        <v>44</v>
      </c>
      <c r="I26" s="7" t="s">
        <v>2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4">
        <f t="shared" si="0"/>
        <v>44</v>
      </c>
      <c r="Q26" s="1" t="s">
        <v>14</v>
      </c>
      <c r="R26" s="44">
        <v>20</v>
      </c>
      <c r="S26" s="47">
        <v>50</v>
      </c>
      <c r="T26" s="4"/>
    </row>
    <row r="27" spans="1:20" x14ac:dyDescent="0.25">
      <c r="A27" s="7">
        <v>24</v>
      </c>
      <c r="D27" s="9" t="s">
        <v>141</v>
      </c>
      <c r="E27" s="10"/>
      <c r="F27" s="10"/>
      <c r="G27" s="11"/>
      <c r="H27" s="12">
        <v>0</v>
      </c>
      <c r="I27" s="7" t="s">
        <v>2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  <c r="P27" s="4">
        <f t="shared" si="0"/>
        <v>0</v>
      </c>
      <c r="Q27" s="1"/>
      <c r="R27" s="44">
        <v>20</v>
      </c>
      <c r="S27" s="47">
        <v>50</v>
      </c>
      <c r="T27" s="4"/>
    </row>
    <row r="28" spans="1:20" x14ac:dyDescent="0.25">
      <c r="A28" s="7">
        <v>25</v>
      </c>
      <c r="D28" s="9" t="s">
        <v>137</v>
      </c>
      <c r="E28" s="10"/>
      <c r="F28" s="10"/>
      <c r="G28" s="11"/>
      <c r="H28" s="12">
        <v>87</v>
      </c>
      <c r="I28" s="7" t="s">
        <v>2</v>
      </c>
      <c r="J28" s="3">
        <v>0</v>
      </c>
      <c r="K28" s="3">
        <v>0</v>
      </c>
      <c r="L28" s="3">
        <v>4</v>
      </c>
      <c r="M28" s="3">
        <v>0</v>
      </c>
      <c r="N28" s="3">
        <v>0</v>
      </c>
      <c r="O28" s="3">
        <v>0</v>
      </c>
      <c r="P28" s="4">
        <f t="shared" si="0"/>
        <v>83</v>
      </c>
      <c r="Q28" s="1" t="s">
        <v>14</v>
      </c>
      <c r="R28" s="44">
        <v>20</v>
      </c>
      <c r="S28" s="47">
        <v>50</v>
      </c>
      <c r="T28" s="4"/>
    </row>
    <row r="29" spans="1:20" x14ac:dyDescent="0.25">
      <c r="A29" s="7">
        <v>26</v>
      </c>
      <c r="D29" s="9" t="s">
        <v>138</v>
      </c>
      <c r="E29" s="10"/>
      <c r="F29" s="10"/>
      <c r="G29" s="11"/>
      <c r="H29" s="12">
        <v>127</v>
      </c>
      <c r="I29" s="7" t="s">
        <v>2</v>
      </c>
      <c r="J29" s="3">
        <v>0</v>
      </c>
      <c r="K29" s="3">
        <v>0</v>
      </c>
      <c r="L29" s="3">
        <v>4</v>
      </c>
      <c r="M29" s="3">
        <v>0</v>
      </c>
      <c r="N29" s="3">
        <v>0</v>
      </c>
      <c r="O29" s="3">
        <v>0</v>
      </c>
      <c r="P29" s="4">
        <f t="shared" si="0"/>
        <v>123</v>
      </c>
      <c r="Q29" s="1"/>
      <c r="R29" s="44">
        <v>10</v>
      </c>
      <c r="S29" s="47">
        <v>50</v>
      </c>
      <c r="T29" s="4"/>
    </row>
    <row r="30" spans="1:20" x14ac:dyDescent="0.25">
      <c r="A30" s="7">
        <v>27</v>
      </c>
      <c r="D30" s="16" t="s">
        <v>35</v>
      </c>
      <c r="E30" s="17"/>
      <c r="F30" s="17"/>
      <c r="G30" s="18"/>
      <c r="H30" s="12">
        <v>263</v>
      </c>
      <c r="I30" s="7" t="s">
        <v>2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4">
        <f t="shared" si="0"/>
        <v>263</v>
      </c>
      <c r="Q30" s="1" t="s">
        <v>14</v>
      </c>
      <c r="R30" s="44">
        <v>50</v>
      </c>
      <c r="S30" s="47">
        <v>100</v>
      </c>
      <c r="T30" s="4"/>
    </row>
    <row r="31" spans="1:20" x14ac:dyDescent="0.25">
      <c r="A31" s="7">
        <v>28</v>
      </c>
      <c r="D31" s="9" t="s">
        <v>36</v>
      </c>
      <c r="E31" s="10"/>
      <c r="F31" s="10"/>
      <c r="G31" s="11"/>
      <c r="H31" s="12">
        <v>18</v>
      </c>
      <c r="I31" s="7" t="s">
        <v>2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4">
        <f t="shared" si="0"/>
        <v>18</v>
      </c>
      <c r="Q31" s="1" t="s">
        <v>14</v>
      </c>
      <c r="R31" s="44">
        <v>50</v>
      </c>
      <c r="S31" s="47">
        <v>100</v>
      </c>
      <c r="T31" s="4"/>
    </row>
    <row r="32" spans="1:20" x14ac:dyDescent="0.25">
      <c r="A32" s="7">
        <v>29</v>
      </c>
      <c r="D32" s="16" t="s">
        <v>37</v>
      </c>
      <c r="E32" s="17"/>
      <c r="F32" s="17"/>
      <c r="G32" s="18"/>
      <c r="H32" s="12">
        <v>178</v>
      </c>
      <c r="I32" s="7" t="s">
        <v>2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4">
        <f t="shared" si="0"/>
        <v>178</v>
      </c>
      <c r="Q32" s="1" t="s">
        <v>14</v>
      </c>
      <c r="R32" s="44">
        <v>20</v>
      </c>
      <c r="S32" s="47">
        <v>50</v>
      </c>
      <c r="T32" s="4"/>
    </row>
    <row r="33" spans="1:20" x14ac:dyDescent="0.25">
      <c r="A33" s="7">
        <v>30</v>
      </c>
      <c r="D33" s="9" t="s">
        <v>38</v>
      </c>
      <c r="E33" s="10"/>
      <c r="F33" s="10"/>
      <c r="G33" s="11"/>
      <c r="H33" s="12">
        <v>164</v>
      </c>
      <c r="I33" s="7" t="s">
        <v>2</v>
      </c>
      <c r="J33" s="3">
        <v>0</v>
      </c>
      <c r="K33" s="3">
        <v>0</v>
      </c>
      <c r="L33" s="3">
        <v>0</v>
      </c>
      <c r="M33" s="3">
        <v>10</v>
      </c>
      <c r="N33" s="3">
        <v>5</v>
      </c>
      <c r="O33" s="3">
        <v>0</v>
      </c>
      <c r="P33" s="4">
        <f t="shared" si="0"/>
        <v>149</v>
      </c>
      <c r="Q33" s="1" t="s">
        <v>14</v>
      </c>
      <c r="R33" s="44">
        <v>50</v>
      </c>
      <c r="S33" s="47">
        <v>100</v>
      </c>
      <c r="T33" s="4"/>
    </row>
    <row r="34" spans="1:20" x14ac:dyDescent="0.25">
      <c r="A34" s="7">
        <v>31</v>
      </c>
      <c r="D34" s="16" t="s">
        <v>39</v>
      </c>
      <c r="E34" s="17"/>
      <c r="F34" s="17"/>
      <c r="G34" s="18"/>
      <c r="H34" s="12">
        <v>51</v>
      </c>
      <c r="I34" s="7" t="s">
        <v>2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4">
        <f t="shared" si="0"/>
        <v>51</v>
      </c>
      <c r="Q34" s="1" t="s">
        <v>14</v>
      </c>
      <c r="R34" s="44">
        <v>20</v>
      </c>
      <c r="S34" s="47">
        <v>50</v>
      </c>
      <c r="T34" s="4"/>
    </row>
    <row r="35" spans="1:20" x14ac:dyDescent="0.25">
      <c r="A35" s="7">
        <v>32</v>
      </c>
      <c r="D35" s="9" t="s">
        <v>40</v>
      </c>
      <c r="E35" s="10"/>
      <c r="F35" s="10"/>
      <c r="G35" s="11"/>
      <c r="H35" s="12">
        <f>'ARALIK 3 HAFTA '!P33</f>
        <v>1075</v>
      </c>
      <c r="I35" s="7" t="s">
        <v>2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4">
        <f t="shared" si="0"/>
        <v>1075</v>
      </c>
      <c r="Q35" s="1" t="s">
        <v>14</v>
      </c>
      <c r="R35" s="44">
        <v>100</v>
      </c>
      <c r="S35" s="46">
        <v>300</v>
      </c>
      <c r="T35" s="4"/>
    </row>
    <row r="36" spans="1:20" x14ac:dyDescent="0.25">
      <c r="A36" s="7">
        <v>33</v>
      </c>
      <c r="D36" s="9" t="s">
        <v>9</v>
      </c>
      <c r="E36" s="10"/>
      <c r="F36" s="10"/>
      <c r="G36" s="11"/>
      <c r="H36" s="83">
        <v>144</v>
      </c>
      <c r="I36" s="7" t="s">
        <v>132</v>
      </c>
      <c r="J36" s="3">
        <v>0</v>
      </c>
      <c r="K36" s="3">
        <v>0</v>
      </c>
      <c r="L36" s="3">
        <v>0</v>
      </c>
      <c r="M36" s="3">
        <v>2</v>
      </c>
      <c r="N36" s="3">
        <v>0</v>
      </c>
      <c r="O36" s="3">
        <v>0</v>
      </c>
      <c r="P36" s="4">
        <f t="shared" si="0"/>
        <v>142</v>
      </c>
      <c r="Q36" s="1" t="s">
        <v>14</v>
      </c>
      <c r="R36" s="44">
        <v>50</v>
      </c>
      <c r="S36" s="47">
        <v>100</v>
      </c>
      <c r="T36" s="4"/>
    </row>
    <row r="37" spans="1:20" x14ac:dyDescent="0.25">
      <c r="A37" s="7">
        <v>34</v>
      </c>
      <c r="D37" s="19" t="s">
        <v>166</v>
      </c>
      <c r="E37" s="20"/>
      <c r="F37" s="20"/>
      <c r="G37" s="21"/>
      <c r="H37" s="69">
        <v>18</v>
      </c>
      <c r="I37" s="7" t="s">
        <v>2</v>
      </c>
      <c r="J37" s="3">
        <v>0</v>
      </c>
      <c r="K37" s="3">
        <v>0</v>
      </c>
      <c r="L37" s="3">
        <v>0</v>
      </c>
      <c r="M37" s="3">
        <v>2</v>
      </c>
      <c r="N37" s="3">
        <v>0</v>
      </c>
      <c r="O37" s="3">
        <v>0</v>
      </c>
      <c r="P37" s="4">
        <f t="shared" si="0"/>
        <v>16</v>
      </c>
      <c r="Q37" s="1" t="s">
        <v>14</v>
      </c>
      <c r="R37" s="44">
        <v>50</v>
      </c>
      <c r="S37" s="46">
        <v>200</v>
      </c>
      <c r="T37" s="4"/>
    </row>
    <row r="38" spans="1:20" x14ac:dyDescent="0.25">
      <c r="A38" s="7">
        <v>35</v>
      </c>
      <c r="D38" s="16" t="s">
        <v>143</v>
      </c>
      <c r="E38" s="17"/>
      <c r="F38" s="17"/>
      <c r="G38" s="18"/>
      <c r="H38" s="12">
        <v>82</v>
      </c>
      <c r="I38" s="7" t="s">
        <v>2</v>
      </c>
      <c r="J38" s="3">
        <v>0</v>
      </c>
      <c r="K38" s="3">
        <v>0</v>
      </c>
      <c r="L38" s="3">
        <v>0</v>
      </c>
      <c r="M38" s="3">
        <v>2</v>
      </c>
      <c r="N38" s="3">
        <v>0</v>
      </c>
      <c r="O38" s="3">
        <v>0</v>
      </c>
      <c r="P38" s="4">
        <f t="shared" si="0"/>
        <v>80</v>
      </c>
      <c r="Q38" s="1" t="s">
        <v>14</v>
      </c>
      <c r="R38" s="44">
        <v>50</v>
      </c>
      <c r="S38" s="46">
        <v>100</v>
      </c>
      <c r="T38" s="4"/>
    </row>
    <row r="39" spans="1:20" x14ac:dyDescent="0.25">
      <c r="A39" s="7">
        <v>36</v>
      </c>
      <c r="D39" s="9" t="s">
        <v>144</v>
      </c>
      <c r="E39" s="10"/>
      <c r="F39" s="10"/>
      <c r="G39" s="11"/>
      <c r="H39" s="12">
        <v>113</v>
      </c>
      <c r="I39" s="7" t="s">
        <v>2</v>
      </c>
      <c r="J39" s="3">
        <v>0</v>
      </c>
      <c r="K39" s="3">
        <v>0</v>
      </c>
      <c r="L39" s="3">
        <v>0</v>
      </c>
      <c r="M39" s="3">
        <v>2</v>
      </c>
      <c r="N39" s="3">
        <v>0</v>
      </c>
      <c r="O39" s="3">
        <v>0</v>
      </c>
      <c r="P39" s="4">
        <f t="shared" si="0"/>
        <v>111</v>
      </c>
      <c r="Q39" s="1" t="s">
        <v>14</v>
      </c>
      <c r="R39" s="44">
        <v>50</v>
      </c>
      <c r="S39" s="47">
        <v>100</v>
      </c>
      <c r="T39" s="4"/>
    </row>
    <row r="40" spans="1:20" x14ac:dyDescent="0.25">
      <c r="A40" s="7">
        <v>37</v>
      </c>
      <c r="D40" s="16" t="s">
        <v>42</v>
      </c>
      <c r="E40" s="17"/>
      <c r="F40" s="17"/>
      <c r="G40" s="18"/>
      <c r="H40" s="12">
        <v>157</v>
      </c>
      <c r="I40" s="7" t="s">
        <v>2</v>
      </c>
      <c r="J40" s="3">
        <v>0</v>
      </c>
      <c r="K40" s="3">
        <v>0</v>
      </c>
      <c r="L40" s="3">
        <v>0</v>
      </c>
      <c r="M40" s="3">
        <v>2</v>
      </c>
      <c r="N40" s="3">
        <v>0</v>
      </c>
      <c r="O40" s="3">
        <v>0</v>
      </c>
      <c r="P40" s="4">
        <f t="shared" si="0"/>
        <v>155</v>
      </c>
      <c r="Q40" s="1" t="s">
        <v>14</v>
      </c>
      <c r="R40" s="44">
        <v>50</v>
      </c>
      <c r="S40" s="47">
        <v>100</v>
      </c>
      <c r="T40" s="4"/>
    </row>
    <row r="41" spans="1:20" x14ac:dyDescent="0.25">
      <c r="A41" s="7">
        <v>38</v>
      </c>
      <c r="D41" s="9" t="s">
        <v>133</v>
      </c>
      <c r="E41" s="10"/>
      <c r="F41" s="10"/>
      <c r="G41" s="11"/>
      <c r="H41" s="12">
        <v>50</v>
      </c>
      <c r="I41" s="7" t="s">
        <v>2</v>
      </c>
      <c r="J41" s="3">
        <v>20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4">
        <f t="shared" si="0"/>
        <v>70</v>
      </c>
      <c r="Q41" s="1" t="s">
        <v>14</v>
      </c>
      <c r="R41" s="44">
        <v>20</v>
      </c>
      <c r="S41" s="47">
        <v>50</v>
      </c>
      <c r="T41" s="4"/>
    </row>
    <row r="42" spans="1:20" x14ac:dyDescent="0.25">
      <c r="A42" s="7">
        <v>39</v>
      </c>
      <c r="D42" s="16" t="s">
        <v>145</v>
      </c>
      <c r="E42" s="17"/>
      <c r="F42" s="17"/>
      <c r="G42" s="18"/>
      <c r="H42" s="12">
        <v>50</v>
      </c>
      <c r="I42" s="7" t="s">
        <v>2</v>
      </c>
      <c r="J42" s="3">
        <v>20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4">
        <f t="shared" si="0"/>
        <v>70</v>
      </c>
      <c r="Q42" s="1" t="s">
        <v>14</v>
      </c>
      <c r="R42" s="44">
        <v>20</v>
      </c>
      <c r="S42" s="46">
        <v>50</v>
      </c>
      <c r="T42" s="4"/>
    </row>
    <row r="43" spans="1:20" x14ac:dyDescent="0.25">
      <c r="A43" s="7">
        <v>40</v>
      </c>
      <c r="D43" s="9" t="s">
        <v>71</v>
      </c>
      <c r="E43" s="10"/>
      <c r="F43" s="10"/>
      <c r="G43" s="11"/>
      <c r="H43" s="12">
        <v>0</v>
      </c>
      <c r="I43" s="7" t="s">
        <v>2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4">
        <f t="shared" si="0"/>
        <v>0</v>
      </c>
      <c r="Q43" s="1" t="s">
        <v>14</v>
      </c>
      <c r="R43" s="44">
        <v>5</v>
      </c>
      <c r="S43" s="47">
        <v>10</v>
      </c>
      <c r="T43" s="4"/>
    </row>
    <row r="44" spans="1:20" x14ac:dyDescent="0.25">
      <c r="A44" s="7">
        <v>41</v>
      </c>
      <c r="D44" s="16" t="s">
        <v>10</v>
      </c>
      <c r="E44" s="17"/>
      <c r="F44" s="17"/>
      <c r="G44" s="18"/>
      <c r="H44" s="12">
        <v>101</v>
      </c>
      <c r="I44" s="7" t="s">
        <v>2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4">
        <f t="shared" si="0"/>
        <v>101</v>
      </c>
      <c r="Q44" s="1" t="s">
        <v>14</v>
      </c>
      <c r="R44" s="44">
        <v>40</v>
      </c>
      <c r="S44" s="47">
        <v>100</v>
      </c>
      <c r="T44" s="4"/>
    </row>
    <row r="45" spans="1:20" x14ac:dyDescent="0.25">
      <c r="A45" s="7">
        <v>42</v>
      </c>
      <c r="D45" s="9" t="s">
        <v>45</v>
      </c>
      <c r="E45" s="10"/>
      <c r="F45" s="10"/>
      <c r="G45" s="11"/>
      <c r="H45" s="12">
        <v>36</v>
      </c>
      <c r="I45" s="7" t="s">
        <v>2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4">
        <f t="shared" si="0"/>
        <v>36</v>
      </c>
      <c r="Q45" s="1" t="s">
        <v>14</v>
      </c>
      <c r="R45" s="44">
        <v>20</v>
      </c>
      <c r="S45" s="47">
        <v>50</v>
      </c>
      <c r="T45" s="4"/>
    </row>
    <row r="46" spans="1:20" x14ac:dyDescent="0.25">
      <c r="A46" s="7">
        <v>43</v>
      </c>
      <c r="D46" s="16" t="s">
        <v>46</v>
      </c>
      <c r="E46" s="17"/>
      <c r="F46" s="17"/>
      <c r="G46" s="18"/>
      <c r="H46" s="12">
        <v>27</v>
      </c>
      <c r="I46" s="7" t="s">
        <v>2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4">
        <f t="shared" si="0"/>
        <v>27</v>
      </c>
      <c r="Q46" s="1" t="s">
        <v>14</v>
      </c>
      <c r="R46" s="44">
        <v>20</v>
      </c>
      <c r="S46" s="47">
        <v>50</v>
      </c>
      <c r="T46" s="4"/>
    </row>
    <row r="47" spans="1:20" x14ac:dyDescent="0.25">
      <c r="A47" s="7">
        <v>44</v>
      </c>
      <c r="D47" s="9" t="s">
        <v>47</v>
      </c>
      <c r="E47" s="10"/>
      <c r="F47" s="10"/>
      <c r="G47" s="11"/>
      <c r="H47" s="12">
        <v>25</v>
      </c>
      <c r="I47" s="7" t="s">
        <v>2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4">
        <f t="shared" si="0"/>
        <v>25</v>
      </c>
      <c r="Q47" s="1" t="s">
        <v>14</v>
      </c>
      <c r="R47" s="44">
        <v>20</v>
      </c>
      <c r="S47" s="47">
        <v>50</v>
      </c>
      <c r="T47" s="4"/>
    </row>
    <row r="48" spans="1:20" x14ac:dyDescent="0.25">
      <c r="A48" s="7">
        <v>45</v>
      </c>
      <c r="D48" s="16" t="s">
        <v>79</v>
      </c>
      <c r="E48" s="17"/>
      <c r="F48" s="17"/>
      <c r="G48" s="18"/>
      <c r="H48" s="12">
        <v>0</v>
      </c>
      <c r="I48" s="7" t="s">
        <v>2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4">
        <f t="shared" si="0"/>
        <v>0</v>
      </c>
      <c r="Q48" s="1" t="s">
        <v>14</v>
      </c>
      <c r="R48" s="44">
        <v>10</v>
      </c>
      <c r="S48" s="47">
        <v>20</v>
      </c>
      <c r="T48" s="4"/>
    </row>
    <row r="49" spans="1:20" x14ac:dyDescent="0.25">
      <c r="A49" s="7">
        <v>46</v>
      </c>
      <c r="D49" s="9" t="s">
        <v>48</v>
      </c>
      <c r="E49" s="10"/>
      <c r="F49" s="10"/>
      <c r="G49" s="11"/>
      <c r="H49" s="12">
        <v>49</v>
      </c>
      <c r="I49" s="7" t="s">
        <v>2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4">
        <f t="shared" si="0"/>
        <v>49</v>
      </c>
      <c r="Q49" s="1" t="s">
        <v>14</v>
      </c>
      <c r="R49" s="44">
        <v>10</v>
      </c>
      <c r="S49" s="47">
        <v>20</v>
      </c>
      <c r="T49" s="4" t="s">
        <v>14</v>
      </c>
    </row>
    <row r="50" spans="1:20" x14ac:dyDescent="0.25">
      <c r="A50" s="7">
        <v>47</v>
      </c>
      <c r="D50" s="16" t="s">
        <v>49</v>
      </c>
      <c r="E50" s="17"/>
      <c r="F50" s="17"/>
      <c r="G50" s="18"/>
      <c r="H50" s="12">
        <v>96</v>
      </c>
      <c r="I50" s="7" t="s">
        <v>2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4">
        <f t="shared" si="0"/>
        <v>96</v>
      </c>
      <c r="Q50" s="1" t="s">
        <v>14</v>
      </c>
      <c r="R50" s="44">
        <v>10</v>
      </c>
      <c r="S50" s="47">
        <v>20</v>
      </c>
      <c r="T50" s="4"/>
    </row>
    <row r="51" spans="1:20" x14ac:dyDescent="0.25">
      <c r="A51" s="7">
        <v>48</v>
      </c>
      <c r="D51" s="9" t="s">
        <v>169</v>
      </c>
      <c r="E51" s="10"/>
      <c r="F51" s="10"/>
      <c r="G51" s="11"/>
      <c r="H51" s="12">
        <v>30</v>
      </c>
      <c r="I51" s="7" t="s">
        <v>1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4">
        <f t="shared" si="0"/>
        <v>30</v>
      </c>
      <c r="Q51" s="1" t="s">
        <v>14</v>
      </c>
      <c r="R51" s="44">
        <v>20</v>
      </c>
      <c r="S51" s="47">
        <v>100</v>
      </c>
      <c r="T51" s="4"/>
    </row>
    <row r="52" spans="1:20" x14ac:dyDescent="0.25">
      <c r="A52" s="7">
        <v>49</v>
      </c>
      <c r="D52" s="88"/>
      <c r="E52" s="89"/>
      <c r="F52" s="90" t="s">
        <v>111</v>
      </c>
      <c r="G52" s="87"/>
      <c r="H52" s="12">
        <v>256</v>
      </c>
      <c r="I52" s="7" t="s">
        <v>2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4">
        <f t="shared" si="0"/>
        <v>256</v>
      </c>
      <c r="Q52" s="1" t="s">
        <v>14</v>
      </c>
      <c r="R52" s="44">
        <v>30</v>
      </c>
      <c r="S52" s="47">
        <v>100</v>
      </c>
      <c r="T52" s="4"/>
    </row>
    <row r="53" spans="1:20" x14ac:dyDescent="0.25">
      <c r="A53" s="7">
        <v>50</v>
      </c>
      <c r="D53" s="9" t="s">
        <v>51</v>
      </c>
      <c r="E53" s="10"/>
      <c r="F53" s="10"/>
      <c r="G53" s="11"/>
      <c r="H53" s="12">
        <v>47</v>
      </c>
      <c r="I53" s="7" t="s">
        <v>2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4">
        <f t="shared" si="0"/>
        <v>47</v>
      </c>
      <c r="Q53" s="1" t="s">
        <v>14</v>
      </c>
      <c r="R53" s="44">
        <v>20</v>
      </c>
      <c r="S53" s="47">
        <v>50</v>
      </c>
      <c r="T53" s="4"/>
    </row>
    <row r="54" spans="1:20" x14ac:dyDescent="0.25">
      <c r="A54" s="7">
        <v>51</v>
      </c>
      <c r="D54" s="16" t="s">
        <v>52</v>
      </c>
      <c r="E54" s="17"/>
      <c r="F54" s="17"/>
      <c r="G54" s="18"/>
      <c r="H54" s="12">
        <v>47</v>
      </c>
      <c r="I54" s="7" t="s">
        <v>2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  <c r="P54" s="4">
        <f t="shared" si="0"/>
        <v>47</v>
      </c>
      <c r="Q54" s="1" t="s">
        <v>14</v>
      </c>
      <c r="R54" s="44">
        <v>20</v>
      </c>
      <c r="S54" s="47">
        <v>50</v>
      </c>
      <c r="T54" s="4" t="s">
        <v>14</v>
      </c>
    </row>
    <row r="55" spans="1:20" x14ac:dyDescent="0.25">
      <c r="A55" s="7">
        <v>52</v>
      </c>
      <c r="D55" s="9" t="s">
        <v>53</v>
      </c>
      <c r="E55" s="10"/>
      <c r="F55" s="10"/>
      <c r="G55" s="11"/>
      <c r="H55" s="12">
        <v>47</v>
      </c>
      <c r="I55" s="7" t="s">
        <v>2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  <c r="P55" s="4">
        <f t="shared" si="0"/>
        <v>47</v>
      </c>
      <c r="Q55" s="1" t="s">
        <v>14</v>
      </c>
      <c r="R55" s="44">
        <v>20</v>
      </c>
      <c r="S55" s="47">
        <v>50</v>
      </c>
      <c r="T55" s="4"/>
    </row>
    <row r="56" spans="1:20" x14ac:dyDescent="0.25">
      <c r="A56" s="7">
        <v>53</v>
      </c>
      <c r="D56" s="70" t="s">
        <v>54</v>
      </c>
      <c r="E56" s="71"/>
      <c r="F56" s="71"/>
      <c r="G56" s="72"/>
      <c r="H56" s="12">
        <v>1365</v>
      </c>
      <c r="I56" s="7" t="s">
        <v>1</v>
      </c>
      <c r="J56" s="3">
        <v>1440</v>
      </c>
      <c r="K56" s="3">
        <v>330</v>
      </c>
      <c r="L56" s="3">
        <v>645</v>
      </c>
      <c r="M56" s="3">
        <v>165</v>
      </c>
      <c r="N56" s="3">
        <v>135</v>
      </c>
      <c r="O56" s="3">
        <v>0</v>
      </c>
      <c r="P56" s="4">
        <f t="shared" si="0"/>
        <v>1530</v>
      </c>
      <c r="Q56" s="1" t="s">
        <v>120</v>
      </c>
      <c r="R56" s="44">
        <v>250</v>
      </c>
      <c r="S56" s="47">
        <v>750</v>
      </c>
      <c r="T56" s="4"/>
    </row>
    <row r="57" spans="1:20" x14ac:dyDescent="0.25">
      <c r="A57" s="7">
        <v>54</v>
      </c>
      <c r="D57" s="16" t="s">
        <v>61</v>
      </c>
      <c r="E57" s="17"/>
      <c r="F57" s="17"/>
      <c r="G57" s="18"/>
      <c r="H57" s="12">
        <v>246</v>
      </c>
      <c r="I57" s="7" t="s">
        <v>2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  <c r="P57" s="4">
        <f t="shared" si="0"/>
        <v>246</v>
      </c>
      <c r="Q57" s="1" t="s">
        <v>14</v>
      </c>
      <c r="R57" s="44">
        <v>10</v>
      </c>
      <c r="S57" s="46">
        <v>200</v>
      </c>
      <c r="T57" s="4"/>
    </row>
    <row r="58" spans="1:20" x14ac:dyDescent="0.25">
      <c r="A58" s="7">
        <v>55</v>
      </c>
      <c r="D58" s="9" t="s">
        <v>62</v>
      </c>
      <c r="E58" s="10"/>
      <c r="F58" s="10"/>
      <c r="G58" s="11"/>
      <c r="H58" s="12">
        <v>2977</v>
      </c>
      <c r="I58" s="7" t="s">
        <v>2</v>
      </c>
      <c r="J58" s="3">
        <v>0</v>
      </c>
      <c r="K58" s="3">
        <v>200</v>
      </c>
      <c r="L58" s="3">
        <v>360</v>
      </c>
      <c r="M58" s="3">
        <v>200</v>
      </c>
      <c r="N58" s="3">
        <v>0</v>
      </c>
      <c r="O58" s="3">
        <v>0</v>
      </c>
      <c r="P58" s="4">
        <f t="shared" si="0"/>
        <v>2217</v>
      </c>
      <c r="Q58" s="1" t="s">
        <v>14</v>
      </c>
      <c r="R58" s="44">
        <v>200</v>
      </c>
      <c r="S58" s="47">
        <v>1000</v>
      </c>
      <c r="T58" s="4"/>
    </row>
    <row r="59" spans="1:20" x14ac:dyDescent="0.25">
      <c r="A59" s="7">
        <v>56</v>
      </c>
      <c r="D59" s="16" t="s">
        <v>13</v>
      </c>
      <c r="E59" s="17"/>
      <c r="F59" s="17"/>
      <c r="G59" s="18"/>
      <c r="H59" s="12">
        <v>823</v>
      </c>
      <c r="I59" s="7" t="s">
        <v>2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  <c r="P59" s="4">
        <f t="shared" si="0"/>
        <v>823</v>
      </c>
      <c r="Q59" s="1" t="s">
        <v>14</v>
      </c>
      <c r="R59" s="44">
        <v>100</v>
      </c>
      <c r="S59" s="47">
        <v>300</v>
      </c>
      <c r="T59" s="4"/>
    </row>
    <row r="60" spans="1:20" x14ac:dyDescent="0.25">
      <c r="A60" s="7">
        <v>57</v>
      </c>
      <c r="D60" s="9" t="s">
        <v>72</v>
      </c>
      <c r="E60" s="10"/>
      <c r="F60" s="10"/>
      <c r="G60" s="11"/>
      <c r="H60" s="12">
        <v>130</v>
      </c>
      <c r="I60" s="7" t="s">
        <v>2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4">
        <f t="shared" si="0"/>
        <v>130</v>
      </c>
      <c r="Q60" s="1" t="s">
        <v>14</v>
      </c>
      <c r="R60" s="44">
        <v>100</v>
      </c>
      <c r="S60" s="47">
        <v>300</v>
      </c>
      <c r="T60" s="4"/>
    </row>
    <row r="61" spans="1:20" x14ac:dyDescent="0.25">
      <c r="A61" s="7">
        <v>58</v>
      </c>
      <c r="D61" s="16" t="s">
        <v>63</v>
      </c>
      <c r="E61" s="17"/>
      <c r="F61" s="17"/>
      <c r="G61" s="18"/>
      <c r="H61" s="12">
        <v>14</v>
      </c>
      <c r="I61" s="7" t="s">
        <v>2</v>
      </c>
      <c r="J61" s="3">
        <v>0</v>
      </c>
      <c r="K61" s="3">
        <v>0</v>
      </c>
      <c r="L61" s="3">
        <v>0</v>
      </c>
      <c r="M61" s="3">
        <v>14</v>
      </c>
      <c r="N61" s="3">
        <v>0</v>
      </c>
      <c r="O61" s="3">
        <v>0</v>
      </c>
      <c r="P61" s="4">
        <f t="shared" si="0"/>
        <v>0</v>
      </c>
      <c r="Q61" s="1" t="s">
        <v>14</v>
      </c>
      <c r="R61" s="44">
        <v>100</v>
      </c>
      <c r="S61" s="47">
        <v>300</v>
      </c>
      <c r="T61" s="4"/>
    </row>
    <row r="62" spans="1:20" x14ac:dyDescent="0.25">
      <c r="A62" s="7">
        <v>59</v>
      </c>
      <c r="D62" s="9" t="s">
        <v>77</v>
      </c>
      <c r="E62" s="10"/>
      <c r="F62" s="10"/>
      <c r="G62" s="11"/>
      <c r="H62" s="12">
        <v>504</v>
      </c>
      <c r="I62" s="7" t="s">
        <v>2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4">
        <f t="shared" si="0"/>
        <v>504</v>
      </c>
      <c r="Q62" s="1" t="s">
        <v>14</v>
      </c>
      <c r="R62" s="44">
        <v>100</v>
      </c>
      <c r="S62" s="47">
        <v>300</v>
      </c>
      <c r="T62" s="4"/>
    </row>
    <row r="63" spans="1:20" x14ac:dyDescent="0.25">
      <c r="A63" s="7">
        <v>60</v>
      </c>
      <c r="D63" s="16" t="s">
        <v>130</v>
      </c>
      <c r="E63" s="17"/>
      <c r="F63" s="17"/>
      <c r="G63" s="18"/>
      <c r="H63" s="12">
        <v>187</v>
      </c>
      <c r="I63" s="7" t="s">
        <v>2</v>
      </c>
      <c r="J63" s="3">
        <v>0</v>
      </c>
      <c r="K63" s="3">
        <v>0</v>
      </c>
      <c r="L63" s="3">
        <v>0</v>
      </c>
      <c r="M63" s="3">
        <v>2</v>
      </c>
      <c r="N63" s="3">
        <v>0</v>
      </c>
      <c r="O63" s="3">
        <v>0</v>
      </c>
      <c r="P63" s="4">
        <f t="shared" si="0"/>
        <v>185</v>
      </c>
      <c r="Q63" s="1" t="s">
        <v>14</v>
      </c>
      <c r="R63" s="44">
        <v>20</v>
      </c>
      <c r="S63" s="46">
        <v>200</v>
      </c>
      <c r="T63" s="4"/>
    </row>
    <row r="64" spans="1:20" x14ac:dyDescent="0.25">
      <c r="A64" s="7">
        <v>61</v>
      </c>
      <c r="D64" s="26" t="s">
        <v>146</v>
      </c>
      <c r="E64" s="27"/>
      <c r="F64" s="27"/>
      <c r="G64" s="28"/>
      <c r="H64" s="12">
        <v>1</v>
      </c>
      <c r="I64" s="30" t="s">
        <v>2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4">
        <f t="shared" si="0"/>
        <v>1</v>
      </c>
      <c r="Q64" s="1" t="s">
        <v>14</v>
      </c>
      <c r="R64" s="44">
        <v>50</v>
      </c>
      <c r="S64" s="47">
        <v>100</v>
      </c>
      <c r="T64" s="4"/>
    </row>
    <row r="65" spans="1:20" x14ac:dyDescent="0.25">
      <c r="A65" s="7">
        <v>62</v>
      </c>
      <c r="D65" s="16" t="s">
        <v>65</v>
      </c>
      <c r="E65" s="17"/>
      <c r="F65" s="17"/>
      <c r="G65" s="18"/>
      <c r="H65" s="12">
        <v>54</v>
      </c>
      <c r="I65" s="7" t="s">
        <v>2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4">
        <f t="shared" si="0"/>
        <v>54</v>
      </c>
      <c r="Q65" s="1" t="s">
        <v>14</v>
      </c>
      <c r="R65" s="44">
        <v>10</v>
      </c>
      <c r="S65" s="46">
        <v>50</v>
      </c>
      <c r="T65" s="4"/>
    </row>
    <row r="66" spans="1:20" x14ac:dyDescent="0.25">
      <c r="A66" s="7">
        <v>63</v>
      </c>
      <c r="D66" s="9" t="s">
        <v>66</v>
      </c>
      <c r="E66" s="10"/>
      <c r="F66" s="10"/>
      <c r="G66" s="11"/>
      <c r="H66" s="12">
        <v>50</v>
      </c>
      <c r="I66" s="7" t="s">
        <v>2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  <c r="P66" s="4">
        <f t="shared" si="0"/>
        <v>50</v>
      </c>
      <c r="Q66" s="1" t="s">
        <v>14</v>
      </c>
      <c r="R66" s="44">
        <v>300</v>
      </c>
      <c r="S66" s="47">
        <v>1000</v>
      </c>
      <c r="T66" s="4"/>
    </row>
    <row r="67" spans="1:20" x14ac:dyDescent="0.25">
      <c r="A67" s="7">
        <v>64</v>
      </c>
      <c r="D67" s="19" t="s">
        <v>165</v>
      </c>
      <c r="E67" s="20"/>
      <c r="F67" s="20"/>
      <c r="G67" s="21"/>
      <c r="H67" s="12">
        <v>67</v>
      </c>
      <c r="I67" s="7" t="s">
        <v>2</v>
      </c>
      <c r="J67" s="3">
        <v>0</v>
      </c>
      <c r="K67" s="3">
        <v>0</v>
      </c>
      <c r="L67" s="3">
        <v>0</v>
      </c>
      <c r="M67" s="3">
        <v>2</v>
      </c>
      <c r="N67" s="3">
        <v>0</v>
      </c>
      <c r="O67" s="3">
        <v>0</v>
      </c>
      <c r="P67" s="4">
        <f t="shared" si="0"/>
        <v>65</v>
      </c>
      <c r="Q67" s="1" t="s">
        <v>14</v>
      </c>
      <c r="R67" s="44">
        <v>50</v>
      </c>
      <c r="S67" s="47">
        <v>150</v>
      </c>
      <c r="T67" s="4"/>
    </row>
    <row r="68" spans="1:20" x14ac:dyDescent="0.25">
      <c r="A68" s="7">
        <v>65</v>
      </c>
      <c r="D68" s="22" t="s">
        <v>74</v>
      </c>
      <c r="E68" s="10"/>
      <c r="F68" s="10"/>
      <c r="G68" s="11"/>
      <c r="H68" s="12">
        <v>180</v>
      </c>
      <c r="I68" s="8" t="s">
        <v>75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4">
        <f t="shared" ref="P68:P89" si="1">+H68+J68-K68-L68-M68-N68-O68</f>
        <v>180</v>
      </c>
      <c r="Q68" s="1" t="s">
        <v>91</v>
      </c>
      <c r="R68" s="44">
        <v>65</v>
      </c>
      <c r="S68" s="47">
        <v>150</v>
      </c>
      <c r="T68" s="4"/>
    </row>
    <row r="69" spans="1:20" x14ac:dyDescent="0.25">
      <c r="A69" s="7">
        <v>66</v>
      </c>
      <c r="C69" s="1" t="s">
        <v>14</v>
      </c>
      <c r="D69" s="22" t="s">
        <v>76</v>
      </c>
      <c r="E69" s="10"/>
      <c r="F69" s="10"/>
      <c r="G69" s="11"/>
      <c r="H69" s="12">
        <v>232</v>
      </c>
      <c r="I69" s="8" t="s">
        <v>2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4">
        <f t="shared" si="1"/>
        <v>232</v>
      </c>
      <c r="Q69" s="1" t="s">
        <v>14</v>
      </c>
      <c r="R69" s="44">
        <v>50</v>
      </c>
      <c r="S69" s="47">
        <v>100</v>
      </c>
      <c r="T69" s="4"/>
    </row>
    <row r="70" spans="1:20" x14ac:dyDescent="0.25">
      <c r="A70" s="7">
        <v>67</v>
      </c>
      <c r="D70" s="25" t="s">
        <v>147</v>
      </c>
      <c r="H70" s="12">
        <v>554</v>
      </c>
      <c r="I70" s="30" t="s">
        <v>2</v>
      </c>
      <c r="J70" s="3">
        <v>0</v>
      </c>
      <c r="K70" s="3">
        <v>0</v>
      </c>
      <c r="L70" s="3">
        <v>0</v>
      </c>
      <c r="M70" s="3">
        <v>10</v>
      </c>
      <c r="N70" s="3">
        <v>2</v>
      </c>
      <c r="O70" s="3">
        <v>0</v>
      </c>
      <c r="P70" s="4">
        <f t="shared" si="1"/>
        <v>542</v>
      </c>
      <c r="Q70" s="1" t="s">
        <v>14</v>
      </c>
      <c r="R70" s="44">
        <v>50</v>
      </c>
      <c r="S70" s="47">
        <v>100</v>
      </c>
      <c r="T70" s="4"/>
    </row>
    <row r="71" spans="1:20" x14ac:dyDescent="0.25">
      <c r="A71" s="7">
        <v>68</v>
      </c>
      <c r="D71" s="26" t="s">
        <v>80</v>
      </c>
      <c r="E71" s="27"/>
      <c r="F71" s="27"/>
      <c r="G71" s="28"/>
      <c r="H71" s="12">
        <v>62</v>
      </c>
      <c r="I71" s="8" t="s">
        <v>2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4">
        <f t="shared" si="1"/>
        <v>62</v>
      </c>
      <c r="Q71" s="1" t="s">
        <v>14</v>
      </c>
      <c r="R71" s="44">
        <v>20</v>
      </c>
      <c r="S71" s="46">
        <v>200</v>
      </c>
      <c r="T71" s="4"/>
    </row>
    <row r="72" spans="1:20" x14ac:dyDescent="0.25">
      <c r="A72" s="7">
        <v>69</v>
      </c>
      <c r="D72" s="26" t="s">
        <v>84</v>
      </c>
      <c r="E72" s="27"/>
      <c r="F72" s="27"/>
      <c r="G72" s="28"/>
      <c r="H72" s="12">
        <v>0</v>
      </c>
      <c r="I72" s="8" t="s">
        <v>2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  <c r="P72" s="4">
        <f t="shared" si="1"/>
        <v>0</v>
      </c>
      <c r="Q72" s="1" t="s">
        <v>14</v>
      </c>
      <c r="R72" s="44">
        <v>100</v>
      </c>
      <c r="S72" s="47">
        <v>200</v>
      </c>
      <c r="T72" s="4"/>
    </row>
    <row r="73" spans="1:20" x14ac:dyDescent="0.25">
      <c r="A73" s="7">
        <v>70</v>
      </c>
      <c r="D73" s="26" t="s">
        <v>167</v>
      </c>
      <c r="E73" s="27"/>
      <c r="F73" s="27"/>
      <c r="G73" s="28"/>
      <c r="H73" s="12">
        <v>64</v>
      </c>
      <c r="I73" s="8" t="s">
        <v>2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4">
        <f t="shared" si="1"/>
        <v>64</v>
      </c>
      <c r="R73" s="44">
        <v>20</v>
      </c>
      <c r="S73" s="46">
        <v>200</v>
      </c>
      <c r="T73" s="4"/>
    </row>
    <row r="74" spans="1:20" x14ac:dyDescent="0.25">
      <c r="A74" s="7">
        <v>71</v>
      </c>
      <c r="D74" s="37" t="s">
        <v>14</v>
      </c>
      <c r="E74" s="17"/>
      <c r="F74" s="33"/>
      <c r="G74" s="33"/>
      <c r="H74" s="12">
        <v>0</v>
      </c>
      <c r="I74" s="8" t="s">
        <v>14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4">
        <f t="shared" si="1"/>
        <v>0</v>
      </c>
      <c r="Q74" s="1" t="s">
        <v>14</v>
      </c>
      <c r="R74" s="44">
        <v>100</v>
      </c>
      <c r="S74" s="47">
        <v>500</v>
      </c>
      <c r="T74" s="4"/>
    </row>
    <row r="75" spans="1:20" x14ac:dyDescent="0.25">
      <c r="A75" s="7">
        <v>72</v>
      </c>
      <c r="D75" s="22" t="s">
        <v>100</v>
      </c>
      <c r="E75" s="10"/>
      <c r="F75" s="10"/>
      <c r="G75" s="28"/>
      <c r="H75" s="12">
        <v>0</v>
      </c>
      <c r="I75" s="8" t="s">
        <v>2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4">
        <f t="shared" si="1"/>
        <v>0</v>
      </c>
      <c r="R75" s="44">
        <v>0</v>
      </c>
      <c r="S75" s="46"/>
      <c r="T75" s="4"/>
    </row>
    <row r="76" spans="1:20" x14ac:dyDescent="0.25">
      <c r="A76" s="7">
        <v>73</v>
      </c>
      <c r="D76" s="37" t="s">
        <v>113</v>
      </c>
      <c r="E76" s="17"/>
      <c r="F76" s="17"/>
      <c r="G76" s="33"/>
      <c r="H76" s="12">
        <v>735</v>
      </c>
      <c r="I76" s="8" t="s">
        <v>97</v>
      </c>
      <c r="J76" s="3">
        <v>0</v>
      </c>
      <c r="K76" s="3">
        <v>87</v>
      </c>
      <c r="L76" s="3">
        <v>87</v>
      </c>
      <c r="M76" s="3">
        <v>85</v>
      </c>
      <c r="N76" s="3">
        <v>90</v>
      </c>
      <c r="O76" s="3">
        <v>0</v>
      </c>
      <c r="P76" s="4">
        <f t="shared" si="1"/>
        <v>386</v>
      </c>
      <c r="Q76" s="65" t="s">
        <v>121</v>
      </c>
      <c r="R76" s="44">
        <v>30</v>
      </c>
      <c r="S76" s="47">
        <v>100</v>
      </c>
      <c r="T76" s="4"/>
    </row>
    <row r="77" spans="1:20" x14ac:dyDescent="0.25">
      <c r="A77" s="7">
        <v>74</v>
      </c>
      <c r="D77" s="22" t="s">
        <v>103</v>
      </c>
      <c r="E77" s="10"/>
      <c r="F77" s="10"/>
      <c r="G77" s="28"/>
      <c r="H77" s="12">
        <v>120</v>
      </c>
      <c r="I77" s="8" t="s">
        <v>2</v>
      </c>
      <c r="J77" s="3">
        <v>0</v>
      </c>
      <c r="K77" s="3">
        <v>0</v>
      </c>
      <c r="L77" s="3">
        <v>0</v>
      </c>
      <c r="M77" s="3">
        <v>0</v>
      </c>
      <c r="N77" s="3">
        <v>4</v>
      </c>
      <c r="O77" s="3">
        <v>0</v>
      </c>
      <c r="P77" s="4">
        <f t="shared" si="1"/>
        <v>116</v>
      </c>
      <c r="R77" s="44">
        <v>60</v>
      </c>
      <c r="S77" s="47">
        <v>100</v>
      </c>
      <c r="T77" s="4"/>
    </row>
    <row r="78" spans="1:20" x14ac:dyDescent="0.25">
      <c r="A78" s="8">
        <v>75</v>
      </c>
      <c r="D78" s="49" t="s">
        <v>108</v>
      </c>
      <c r="E78" s="20"/>
      <c r="F78" s="20"/>
      <c r="G78" s="20"/>
      <c r="H78" s="12">
        <v>31800</v>
      </c>
      <c r="I78" s="8" t="s">
        <v>110</v>
      </c>
      <c r="J78" s="3">
        <v>5000</v>
      </c>
      <c r="K78" s="3">
        <v>3000</v>
      </c>
      <c r="L78" s="3">
        <v>1000</v>
      </c>
      <c r="M78" s="3">
        <v>3500</v>
      </c>
      <c r="N78" s="3">
        <v>5000</v>
      </c>
      <c r="O78" s="3">
        <v>0</v>
      </c>
      <c r="P78" s="4">
        <f t="shared" si="1"/>
        <v>24300</v>
      </c>
      <c r="R78" s="43">
        <v>1000</v>
      </c>
      <c r="S78" s="46">
        <v>10000</v>
      </c>
      <c r="T78" s="4"/>
    </row>
    <row r="79" spans="1:20" x14ac:dyDescent="0.25">
      <c r="A79" s="48">
        <v>76</v>
      </c>
      <c r="B79" s="41"/>
      <c r="C79" s="41"/>
      <c r="D79" s="22" t="s">
        <v>115</v>
      </c>
      <c r="E79" s="10"/>
      <c r="F79" s="10"/>
      <c r="G79" s="11"/>
      <c r="H79" s="12">
        <v>590</v>
      </c>
      <c r="I79" s="62" t="s">
        <v>2</v>
      </c>
      <c r="J79" s="3">
        <v>0</v>
      </c>
      <c r="K79" s="3">
        <v>0</v>
      </c>
      <c r="L79" s="3">
        <v>0</v>
      </c>
      <c r="M79" s="3">
        <v>10</v>
      </c>
      <c r="N79" s="3">
        <v>2</v>
      </c>
      <c r="O79" s="3">
        <v>0</v>
      </c>
      <c r="P79" s="64">
        <f t="shared" si="1"/>
        <v>578</v>
      </c>
      <c r="R79" s="64">
        <v>50</v>
      </c>
      <c r="S79" s="64">
        <v>100</v>
      </c>
      <c r="T79" s="4" t="s">
        <v>14</v>
      </c>
    </row>
    <row r="80" spans="1:20" x14ac:dyDescent="0.25">
      <c r="A80" s="73">
        <v>77</v>
      </c>
      <c r="B80" s="41"/>
      <c r="C80" s="41"/>
      <c r="D80" s="49" t="s">
        <v>134</v>
      </c>
      <c r="E80" s="35"/>
      <c r="F80" s="35"/>
      <c r="G80" s="60"/>
      <c r="H80" s="12">
        <v>312</v>
      </c>
      <c r="I80" s="8" t="s">
        <v>2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  <c r="P80" s="4">
        <f t="shared" si="1"/>
        <v>312</v>
      </c>
      <c r="Q80" s="4"/>
      <c r="R80" s="4">
        <v>20</v>
      </c>
      <c r="S80" s="4">
        <v>50</v>
      </c>
      <c r="T80" s="4"/>
    </row>
    <row r="81" spans="1:20" x14ac:dyDescent="0.25">
      <c r="A81" s="8">
        <v>78</v>
      </c>
      <c r="D81" s="22" t="s">
        <v>123</v>
      </c>
      <c r="E81" s="10"/>
      <c r="F81" s="10"/>
      <c r="G81" s="11"/>
      <c r="H81" s="12">
        <v>1000</v>
      </c>
      <c r="I81" s="8" t="s">
        <v>2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  <c r="P81" s="4">
        <f t="shared" si="1"/>
        <v>1000</v>
      </c>
      <c r="Q81" s="4"/>
      <c r="R81" s="4">
        <v>100</v>
      </c>
      <c r="S81" s="4">
        <v>500</v>
      </c>
      <c r="T81" s="4"/>
    </row>
    <row r="82" spans="1:20" x14ac:dyDescent="0.25">
      <c r="A82" s="48">
        <v>79</v>
      </c>
      <c r="B82" s="41"/>
      <c r="C82" s="41"/>
      <c r="D82" s="22" t="s">
        <v>154</v>
      </c>
      <c r="E82" s="10"/>
      <c r="F82" s="10"/>
      <c r="G82" s="11"/>
      <c r="H82" s="4">
        <v>15</v>
      </c>
      <c r="I82" s="8" t="s">
        <v>2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  <c r="P82" s="4">
        <f t="shared" si="1"/>
        <v>15</v>
      </c>
      <c r="Q82" s="4"/>
      <c r="R82" s="4">
        <v>10</v>
      </c>
      <c r="S82" s="4">
        <v>50</v>
      </c>
      <c r="T82" s="4"/>
    </row>
    <row r="83" spans="1:20" x14ac:dyDescent="0.25">
      <c r="A83" s="48">
        <v>80</v>
      </c>
      <c r="B83" s="41"/>
      <c r="C83" s="41"/>
      <c r="D83" s="37" t="s">
        <v>155</v>
      </c>
      <c r="E83" s="17"/>
      <c r="F83" s="17"/>
      <c r="G83" s="18"/>
      <c r="H83" s="64">
        <v>15</v>
      </c>
      <c r="I83" s="62" t="s">
        <v>2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64">
        <f t="shared" si="1"/>
        <v>15</v>
      </c>
      <c r="Q83" s="64"/>
      <c r="R83" s="64">
        <v>10</v>
      </c>
      <c r="S83" s="64">
        <v>50</v>
      </c>
      <c r="T83" s="4"/>
    </row>
    <row r="84" spans="1:20" x14ac:dyDescent="0.25">
      <c r="A84" s="48">
        <v>81</v>
      </c>
      <c r="B84" s="11"/>
      <c r="C84" s="23"/>
      <c r="D84" s="23" t="s">
        <v>149</v>
      </c>
      <c r="E84" s="23"/>
      <c r="F84" s="23"/>
      <c r="G84" s="23"/>
      <c r="H84" s="23">
        <v>10</v>
      </c>
      <c r="I84" s="8" t="s">
        <v>2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4">
        <f t="shared" si="1"/>
        <v>10</v>
      </c>
      <c r="Q84" s="4"/>
      <c r="R84" s="4">
        <v>10</v>
      </c>
      <c r="S84" s="4">
        <v>50</v>
      </c>
      <c r="T84" s="4"/>
    </row>
    <row r="85" spans="1:20" x14ac:dyDescent="0.25">
      <c r="A85" s="8">
        <v>82</v>
      </c>
      <c r="D85" s="68" t="s">
        <v>148</v>
      </c>
      <c r="E85" s="27"/>
      <c r="F85" s="27"/>
      <c r="G85" s="28"/>
      <c r="H85" s="4">
        <v>98</v>
      </c>
      <c r="I85" s="8" t="s">
        <v>2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4">
        <f t="shared" si="1"/>
        <v>98</v>
      </c>
      <c r="Q85" s="4"/>
      <c r="R85" s="4">
        <v>50</v>
      </c>
      <c r="S85" s="4">
        <v>200</v>
      </c>
      <c r="T85" s="4"/>
    </row>
    <row r="86" spans="1:20" ht="15.75" customHeight="1" x14ac:dyDescent="0.25">
      <c r="A86" s="8">
        <v>83</v>
      </c>
      <c r="D86" s="79" t="s">
        <v>150</v>
      </c>
      <c r="E86" s="80"/>
      <c r="F86" s="81"/>
      <c r="G86" s="82"/>
      <c r="H86" s="4">
        <v>176</v>
      </c>
      <c r="I86" s="8" t="s">
        <v>2</v>
      </c>
      <c r="J86" s="3">
        <v>200</v>
      </c>
      <c r="K86" s="3">
        <v>75</v>
      </c>
      <c r="L86" s="3">
        <v>0</v>
      </c>
      <c r="M86" s="3">
        <v>25</v>
      </c>
      <c r="N86" s="3">
        <v>17</v>
      </c>
      <c r="O86" s="3">
        <v>0</v>
      </c>
      <c r="P86" s="4">
        <f t="shared" si="1"/>
        <v>259</v>
      </c>
      <c r="Q86" s="4"/>
      <c r="R86" s="4">
        <v>50</v>
      </c>
      <c r="S86" s="4">
        <v>300</v>
      </c>
      <c r="T86" s="4"/>
    </row>
    <row r="87" spans="1:20" x14ac:dyDescent="0.25">
      <c r="A87" s="8">
        <v>84</v>
      </c>
      <c r="D87" s="22" t="s">
        <v>160</v>
      </c>
      <c r="E87" s="10"/>
      <c r="F87" s="10"/>
      <c r="G87" s="11"/>
      <c r="H87" s="23">
        <v>827</v>
      </c>
      <c r="I87" s="8" t="s">
        <v>2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4">
        <f t="shared" si="1"/>
        <v>827</v>
      </c>
      <c r="Q87" s="4"/>
      <c r="R87" s="4">
        <v>20</v>
      </c>
      <c r="S87" s="4">
        <v>300</v>
      </c>
      <c r="T87" s="4"/>
    </row>
    <row r="88" spans="1:20" x14ac:dyDescent="0.25">
      <c r="A88" s="8">
        <v>85</v>
      </c>
      <c r="D88" s="49" t="s">
        <v>153</v>
      </c>
      <c r="E88" s="20"/>
      <c r="F88" s="20"/>
      <c r="G88" s="21"/>
      <c r="H88" s="23">
        <v>88</v>
      </c>
      <c r="I88" s="8" t="s">
        <v>2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4">
        <f t="shared" si="1"/>
        <v>88</v>
      </c>
      <c r="Q88" s="4"/>
      <c r="R88" s="4">
        <v>10</v>
      </c>
      <c r="S88" s="4">
        <v>200</v>
      </c>
      <c r="T88" s="4"/>
    </row>
    <row r="89" spans="1:20" x14ac:dyDescent="0.25">
      <c r="A89" s="77">
        <v>86</v>
      </c>
      <c r="D89" s="68" t="s">
        <v>162</v>
      </c>
      <c r="E89" s="27"/>
      <c r="F89" s="27"/>
      <c r="G89" s="28"/>
      <c r="H89" s="74">
        <v>85</v>
      </c>
      <c r="I89" s="75" t="s">
        <v>2</v>
      </c>
      <c r="J89" s="3">
        <v>0</v>
      </c>
      <c r="K89" s="3">
        <v>0</v>
      </c>
      <c r="L89" s="3">
        <v>0</v>
      </c>
      <c r="M89" s="3">
        <v>0</v>
      </c>
      <c r="N89" s="3">
        <v>0</v>
      </c>
      <c r="O89" s="3">
        <v>0</v>
      </c>
      <c r="P89" s="4">
        <f t="shared" si="1"/>
        <v>85</v>
      </c>
      <c r="Q89" s="4"/>
      <c r="R89" s="4">
        <v>10</v>
      </c>
      <c r="S89" s="4">
        <v>50</v>
      </c>
      <c r="T89" s="4"/>
    </row>
  </sheetData>
  <pageMargins left="0.75" right="0.75" top="1" bottom="1" header="0.5" footer="0.5"/>
  <pageSetup paperSize="9" orientation="portrait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T89"/>
  <sheetViews>
    <sheetView topLeftCell="A72" workbookViewId="0">
      <selection activeCell="A65" sqref="A65:XFD65"/>
    </sheetView>
  </sheetViews>
  <sheetFormatPr defaultRowHeight="15" x14ac:dyDescent="0.25"/>
  <cols>
    <col min="1" max="1" width="5.5703125" customWidth="1"/>
    <col min="2" max="3" width="9.140625" hidden="1" customWidth="1"/>
    <col min="6" max="6" width="12.7109375" customWidth="1"/>
    <col min="8" max="8" width="10.140625" customWidth="1"/>
    <col min="9" max="9" width="10" customWidth="1"/>
    <col min="10" max="10" width="7.7109375" customWidth="1"/>
    <col min="11" max="11" width="10.7109375" customWidth="1"/>
    <col min="12" max="12" width="10.140625" customWidth="1"/>
    <col min="13" max="13" width="11.85546875" customWidth="1"/>
    <col min="14" max="15" width="11.7109375" customWidth="1"/>
    <col min="16" max="16" width="10.140625" customWidth="1"/>
    <col min="17" max="17" width="4.7109375" customWidth="1"/>
    <col min="18" max="18" width="12.140625" customWidth="1"/>
    <col min="19" max="19" width="10.85546875" customWidth="1"/>
    <col min="20" max="20" width="13.85546875" customWidth="1"/>
  </cols>
  <sheetData>
    <row r="1" spans="1:20" x14ac:dyDescent="0.25">
      <c r="G1" s="1"/>
      <c r="P1">
        <f>+H1+J1-K1-L1-M1-N1-O1</f>
        <v>0</v>
      </c>
    </row>
    <row r="2" spans="1:20" x14ac:dyDescent="0.25">
      <c r="A2" t="s">
        <v>14</v>
      </c>
      <c r="D2" s="78">
        <v>45566</v>
      </c>
      <c r="O2" s="38" t="s">
        <v>14</v>
      </c>
      <c r="S2" s="50">
        <v>44837</v>
      </c>
    </row>
    <row r="3" spans="1:20" x14ac:dyDescent="0.25">
      <c r="A3" s="3" t="s">
        <v>15</v>
      </c>
      <c r="D3" s="9" t="s">
        <v>17</v>
      </c>
      <c r="E3" s="10"/>
      <c r="F3" s="10"/>
      <c r="G3" s="11"/>
      <c r="H3" s="12" t="s">
        <v>18</v>
      </c>
      <c r="I3" s="4" t="s">
        <v>19</v>
      </c>
      <c r="J3" s="3" t="s">
        <v>20</v>
      </c>
      <c r="K3" s="5">
        <v>45569</v>
      </c>
      <c r="L3" s="6">
        <v>45576</v>
      </c>
      <c r="M3" s="5">
        <v>45583</v>
      </c>
      <c r="N3" s="5">
        <v>45590</v>
      </c>
      <c r="O3" s="6">
        <v>45596</v>
      </c>
      <c r="P3" s="3" t="s">
        <v>21</v>
      </c>
      <c r="R3" s="42" t="s">
        <v>105</v>
      </c>
      <c r="S3" s="45" t="s">
        <v>104</v>
      </c>
      <c r="T3" s="4"/>
    </row>
    <row r="4" spans="1:20" x14ac:dyDescent="0.25">
      <c r="A4" s="7">
        <v>1</v>
      </c>
      <c r="D4" s="13" t="s">
        <v>16</v>
      </c>
      <c r="E4" s="14"/>
      <c r="F4" s="14"/>
      <c r="G4" s="15"/>
      <c r="H4" s="12">
        <v>319</v>
      </c>
      <c r="I4" s="7" t="s">
        <v>1</v>
      </c>
      <c r="J4" s="3">
        <v>0</v>
      </c>
      <c r="K4" s="3">
        <v>0</v>
      </c>
      <c r="L4" s="3">
        <v>46</v>
      </c>
      <c r="M4" s="3">
        <v>46</v>
      </c>
      <c r="N4" s="3">
        <v>46</v>
      </c>
      <c r="O4" s="3">
        <v>0</v>
      </c>
      <c r="P4" s="4">
        <f t="shared" ref="P4:P67" si="0">+H4+J4-K4-L4-M4-N4-O4</f>
        <v>181</v>
      </c>
      <c r="Q4" t="s">
        <v>173</v>
      </c>
      <c r="R4" s="43">
        <v>100</v>
      </c>
      <c r="S4" s="46">
        <v>500</v>
      </c>
      <c r="T4" s="4" t="s">
        <v>14</v>
      </c>
    </row>
    <row r="5" spans="1:20" x14ac:dyDescent="0.25">
      <c r="A5" s="7">
        <v>2</v>
      </c>
      <c r="D5" s="9" t="s">
        <v>14</v>
      </c>
      <c r="E5" s="10"/>
      <c r="F5" s="10"/>
      <c r="G5" s="11"/>
      <c r="H5" s="12">
        <v>0</v>
      </c>
      <c r="I5" s="7" t="s">
        <v>2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4">
        <f t="shared" si="0"/>
        <v>0</v>
      </c>
      <c r="Q5" s="1" t="s">
        <v>14</v>
      </c>
      <c r="R5" s="44">
        <v>6</v>
      </c>
      <c r="S5" s="47">
        <v>10</v>
      </c>
      <c r="T5" s="4"/>
    </row>
    <row r="6" spans="1:20" x14ac:dyDescent="0.25">
      <c r="A6" s="7">
        <v>3</v>
      </c>
      <c r="D6" s="16" t="s">
        <v>23</v>
      </c>
      <c r="E6" s="17"/>
      <c r="F6" s="17"/>
      <c r="G6" s="18"/>
      <c r="H6" s="12">
        <v>54</v>
      </c>
      <c r="I6" s="7" t="s">
        <v>2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4">
        <f t="shared" si="0"/>
        <v>54</v>
      </c>
      <c r="Q6" s="1" t="s">
        <v>14</v>
      </c>
      <c r="R6" s="44">
        <v>6</v>
      </c>
      <c r="S6" s="47">
        <v>10</v>
      </c>
      <c r="T6" s="4"/>
    </row>
    <row r="7" spans="1:20" x14ac:dyDescent="0.25">
      <c r="A7" s="7">
        <v>4</v>
      </c>
      <c r="D7" s="9" t="s">
        <v>3</v>
      </c>
      <c r="E7" s="10"/>
      <c r="F7" s="10"/>
      <c r="G7" s="11"/>
      <c r="H7" s="12">
        <v>30</v>
      </c>
      <c r="I7" s="7" t="s">
        <v>2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4">
        <f t="shared" si="0"/>
        <v>30</v>
      </c>
      <c r="Q7" s="1" t="s">
        <v>14</v>
      </c>
      <c r="R7" s="44">
        <v>6</v>
      </c>
      <c r="S7" s="47">
        <v>10</v>
      </c>
      <c r="T7" s="4"/>
    </row>
    <row r="8" spans="1:20" x14ac:dyDescent="0.25">
      <c r="A8" s="7">
        <v>5</v>
      </c>
      <c r="D8" s="16" t="s">
        <v>139</v>
      </c>
      <c r="E8" s="17"/>
      <c r="F8" s="17"/>
      <c r="G8" s="18"/>
      <c r="H8" s="12">
        <v>100</v>
      </c>
      <c r="I8" s="7" t="s">
        <v>2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4">
        <f t="shared" si="0"/>
        <v>100</v>
      </c>
      <c r="Q8" s="1" t="s">
        <v>14</v>
      </c>
      <c r="R8" s="44">
        <v>100</v>
      </c>
      <c r="S8" s="47">
        <v>400</v>
      </c>
      <c r="T8" s="4"/>
    </row>
    <row r="9" spans="1:20" x14ac:dyDescent="0.25">
      <c r="A9" s="7">
        <v>6</v>
      </c>
      <c r="D9" s="9" t="s">
        <v>24</v>
      </c>
      <c r="E9" s="10"/>
      <c r="F9" s="10"/>
      <c r="G9" s="11"/>
      <c r="H9" s="12">
        <v>150</v>
      </c>
      <c r="I9" s="7" t="s">
        <v>2</v>
      </c>
      <c r="J9" s="3">
        <v>0</v>
      </c>
      <c r="K9" s="3">
        <v>2</v>
      </c>
      <c r="L9" s="3">
        <v>0</v>
      </c>
      <c r="M9" s="3">
        <v>0</v>
      </c>
      <c r="N9" s="3">
        <v>0</v>
      </c>
      <c r="O9" s="3">
        <v>0</v>
      </c>
      <c r="P9" s="4">
        <f t="shared" si="0"/>
        <v>148</v>
      </c>
      <c r="Q9" s="1" t="s">
        <v>14</v>
      </c>
      <c r="R9" s="44">
        <v>60</v>
      </c>
      <c r="S9" s="47">
        <v>200</v>
      </c>
      <c r="T9" s="4"/>
    </row>
    <row r="10" spans="1:20" x14ac:dyDescent="0.25">
      <c r="A10" s="7">
        <v>7</v>
      </c>
      <c r="D10" s="16" t="s">
        <v>101</v>
      </c>
      <c r="E10" s="17"/>
      <c r="F10" s="17"/>
      <c r="G10" s="18"/>
      <c r="H10" s="12">
        <v>106</v>
      </c>
      <c r="I10" s="7" t="s">
        <v>2</v>
      </c>
      <c r="J10" s="3">
        <v>600</v>
      </c>
      <c r="K10" s="3">
        <v>40</v>
      </c>
      <c r="L10" s="3">
        <v>0</v>
      </c>
      <c r="M10" s="3">
        <v>66</v>
      </c>
      <c r="N10" s="3">
        <v>100</v>
      </c>
      <c r="O10" s="3">
        <v>20</v>
      </c>
      <c r="P10" s="4">
        <f t="shared" si="0"/>
        <v>480</v>
      </c>
      <c r="Q10" s="1" t="s">
        <v>14</v>
      </c>
      <c r="R10" s="44">
        <v>200</v>
      </c>
      <c r="S10" s="47">
        <v>500</v>
      </c>
      <c r="T10" s="4"/>
    </row>
    <row r="11" spans="1:20" x14ac:dyDescent="0.25">
      <c r="A11" s="7">
        <v>8</v>
      </c>
      <c r="D11" s="9" t="s">
        <v>25</v>
      </c>
      <c r="E11" s="10"/>
      <c r="F11" s="10"/>
      <c r="G11" s="11"/>
      <c r="H11" s="12">
        <v>293</v>
      </c>
      <c r="I11" s="7" t="s">
        <v>2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4">
        <f t="shared" si="0"/>
        <v>293</v>
      </c>
      <c r="Q11" s="1" t="s">
        <v>14</v>
      </c>
      <c r="R11" s="44">
        <v>50</v>
      </c>
      <c r="S11" s="47">
        <v>300</v>
      </c>
      <c r="T11" s="4"/>
    </row>
    <row r="12" spans="1:20" x14ac:dyDescent="0.25">
      <c r="A12" s="7">
        <v>9</v>
      </c>
      <c r="D12" s="16" t="s">
        <v>26</v>
      </c>
      <c r="E12" s="17"/>
      <c r="F12" s="17"/>
      <c r="G12" s="18"/>
      <c r="H12" s="12">
        <v>0</v>
      </c>
      <c r="I12" s="7" t="s">
        <v>2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4">
        <f t="shared" si="0"/>
        <v>0</v>
      </c>
      <c r="Q12" s="1" t="s">
        <v>14</v>
      </c>
      <c r="R12" s="44">
        <v>200</v>
      </c>
      <c r="S12" s="47">
        <v>400</v>
      </c>
      <c r="T12" s="4"/>
    </row>
    <row r="13" spans="1:20" x14ac:dyDescent="0.25">
      <c r="A13" s="7">
        <v>10</v>
      </c>
      <c r="D13" s="9" t="s">
        <v>6</v>
      </c>
      <c r="E13" s="10"/>
      <c r="F13" s="10"/>
      <c r="G13" s="11"/>
      <c r="H13" s="12">
        <v>46</v>
      </c>
      <c r="I13" s="7" t="s">
        <v>2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4">
        <f t="shared" si="0"/>
        <v>46</v>
      </c>
      <c r="Q13" s="1" t="s">
        <v>14</v>
      </c>
      <c r="R13" s="44">
        <v>10</v>
      </c>
      <c r="S13" s="46">
        <v>100</v>
      </c>
      <c r="T13" s="4"/>
    </row>
    <row r="14" spans="1:20" x14ac:dyDescent="0.25">
      <c r="A14" s="7">
        <v>11</v>
      </c>
      <c r="D14" s="16" t="s">
        <v>7</v>
      </c>
      <c r="E14" s="17"/>
      <c r="F14" s="17"/>
      <c r="G14" s="18"/>
      <c r="H14" s="12">
        <v>7</v>
      </c>
      <c r="I14" s="7" t="s">
        <v>171</v>
      </c>
      <c r="J14" s="3">
        <v>0</v>
      </c>
      <c r="K14" s="3">
        <v>0</v>
      </c>
      <c r="L14" s="3">
        <v>0</v>
      </c>
      <c r="M14" s="3">
        <v>1</v>
      </c>
      <c r="N14" s="3">
        <v>0</v>
      </c>
      <c r="O14" s="3">
        <v>0</v>
      </c>
      <c r="P14" s="4">
        <f t="shared" si="0"/>
        <v>6</v>
      </c>
      <c r="Q14" s="1" t="s">
        <v>14</v>
      </c>
      <c r="R14" s="44">
        <v>20</v>
      </c>
      <c r="S14" s="47">
        <v>50</v>
      </c>
      <c r="T14" s="4"/>
    </row>
    <row r="15" spans="1:20" x14ac:dyDescent="0.25">
      <c r="A15" s="7">
        <v>12</v>
      </c>
      <c r="D15" s="9" t="s">
        <v>69</v>
      </c>
      <c r="E15" s="10"/>
      <c r="F15" s="10"/>
      <c r="G15" s="11"/>
      <c r="H15" s="12">
        <v>12</v>
      </c>
      <c r="I15" s="7" t="s">
        <v>171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4">
        <f t="shared" si="0"/>
        <v>12</v>
      </c>
      <c r="Q15" s="1" t="s">
        <v>14</v>
      </c>
      <c r="R15" s="44">
        <v>100</v>
      </c>
      <c r="S15" s="47">
        <v>200</v>
      </c>
      <c r="T15" s="4"/>
    </row>
    <row r="16" spans="1:20" x14ac:dyDescent="0.25">
      <c r="A16" s="7">
        <v>13</v>
      </c>
      <c r="D16" s="16" t="s">
        <v>27</v>
      </c>
      <c r="E16" s="17"/>
      <c r="F16" s="17"/>
      <c r="G16" s="18"/>
      <c r="H16" s="12">
        <v>0</v>
      </c>
      <c r="I16" s="7" t="s">
        <v>2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4">
        <f t="shared" si="0"/>
        <v>0</v>
      </c>
      <c r="Q16" s="1" t="s">
        <v>14</v>
      </c>
      <c r="R16" s="44">
        <v>0</v>
      </c>
      <c r="S16" s="46"/>
      <c r="T16" s="4"/>
    </row>
    <row r="17" spans="1:20" x14ac:dyDescent="0.25">
      <c r="A17" s="7">
        <v>14</v>
      </c>
      <c r="D17" s="9" t="s">
        <v>73</v>
      </c>
      <c r="E17" s="10"/>
      <c r="F17" s="10"/>
      <c r="G17" s="11"/>
      <c r="H17" s="12">
        <v>781</v>
      </c>
      <c r="I17" s="7" t="s">
        <v>2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4">
        <f t="shared" si="0"/>
        <v>781</v>
      </c>
      <c r="Q17" s="1" t="s">
        <v>14</v>
      </c>
      <c r="R17" s="44">
        <v>0</v>
      </c>
      <c r="S17" s="46"/>
      <c r="T17" s="4"/>
    </row>
    <row r="18" spans="1:20" x14ac:dyDescent="0.25">
      <c r="A18" s="7">
        <v>15</v>
      </c>
      <c r="D18" s="16" t="s">
        <v>28</v>
      </c>
      <c r="E18" s="17"/>
      <c r="F18" s="17"/>
      <c r="G18" s="18"/>
      <c r="H18" s="12">
        <v>57</v>
      </c>
      <c r="I18" s="7" t="s">
        <v>2</v>
      </c>
      <c r="J18" s="3">
        <v>0</v>
      </c>
      <c r="K18" s="3">
        <v>0</v>
      </c>
      <c r="L18" s="3">
        <v>7</v>
      </c>
      <c r="M18" s="3">
        <v>28</v>
      </c>
      <c r="N18" s="3">
        <v>9</v>
      </c>
      <c r="O18" s="3">
        <v>4</v>
      </c>
      <c r="P18" s="4">
        <f t="shared" si="0"/>
        <v>9</v>
      </c>
      <c r="Q18" s="1" t="s">
        <v>14</v>
      </c>
      <c r="R18" s="44">
        <v>20</v>
      </c>
      <c r="S18" s="47">
        <v>50</v>
      </c>
      <c r="T18" s="4"/>
    </row>
    <row r="19" spans="1:20" x14ac:dyDescent="0.25">
      <c r="A19" s="7">
        <v>16</v>
      </c>
      <c r="D19" s="9" t="s">
        <v>29</v>
      </c>
      <c r="E19" s="10"/>
      <c r="F19" s="10"/>
      <c r="G19" s="11"/>
      <c r="H19" s="12">
        <v>60</v>
      </c>
      <c r="I19" s="7" t="s">
        <v>2</v>
      </c>
      <c r="J19" s="3">
        <v>0</v>
      </c>
      <c r="K19" s="3">
        <v>0</v>
      </c>
      <c r="L19" s="3">
        <v>7</v>
      </c>
      <c r="M19" s="3">
        <v>28</v>
      </c>
      <c r="N19" s="3">
        <v>9</v>
      </c>
      <c r="O19" s="3">
        <v>4</v>
      </c>
      <c r="P19" s="4">
        <f t="shared" si="0"/>
        <v>12</v>
      </c>
      <c r="Q19" s="1" t="s">
        <v>14</v>
      </c>
      <c r="R19" s="44">
        <v>20</v>
      </c>
      <c r="S19" s="47">
        <v>50</v>
      </c>
      <c r="T19" s="4"/>
    </row>
    <row r="20" spans="1:20" x14ac:dyDescent="0.25">
      <c r="A20" s="7">
        <v>17</v>
      </c>
      <c r="D20" s="16" t="s">
        <v>30</v>
      </c>
      <c r="E20" s="17"/>
      <c r="F20" s="17"/>
      <c r="G20" s="18"/>
      <c r="H20" s="12">
        <v>148</v>
      </c>
      <c r="I20" s="7" t="s">
        <v>2</v>
      </c>
      <c r="J20" s="3">
        <v>0</v>
      </c>
      <c r="K20" s="3">
        <v>0</v>
      </c>
      <c r="L20" s="3">
        <v>7</v>
      </c>
      <c r="M20" s="3">
        <v>28</v>
      </c>
      <c r="N20" s="3">
        <v>9</v>
      </c>
      <c r="O20" s="3">
        <v>4</v>
      </c>
      <c r="P20" s="4">
        <f t="shared" si="0"/>
        <v>100</v>
      </c>
      <c r="Q20" s="1" t="s">
        <v>14</v>
      </c>
      <c r="R20" s="44">
        <v>20</v>
      </c>
      <c r="S20" s="47">
        <v>50</v>
      </c>
      <c r="T20" s="4"/>
    </row>
    <row r="21" spans="1:20" x14ac:dyDescent="0.25">
      <c r="A21" s="7">
        <v>18</v>
      </c>
      <c r="D21" s="9" t="s">
        <v>129</v>
      </c>
      <c r="E21" s="10"/>
      <c r="F21" s="10"/>
      <c r="G21" s="11"/>
      <c r="H21" s="12">
        <v>23</v>
      </c>
      <c r="I21" s="7" t="s">
        <v>2</v>
      </c>
      <c r="J21" s="3">
        <v>0</v>
      </c>
      <c r="K21" s="3">
        <v>16</v>
      </c>
      <c r="L21" s="3">
        <v>0</v>
      </c>
      <c r="M21" s="3">
        <v>0</v>
      </c>
      <c r="N21" s="3">
        <v>0</v>
      </c>
      <c r="O21" s="3">
        <v>0</v>
      </c>
      <c r="P21" s="4">
        <f t="shared" si="0"/>
        <v>7</v>
      </c>
      <c r="Q21" s="1" t="s">
        <v>14</v>
      </c>
      <c r="R21" s="44">
        <v>10</v>
      </c>
      <c r="S21" s="46">
        <v>50</v>
      </c>
      <c r="T21" s="4"/>
    </row>
    <row r="22" spans="1:20" x14ac:dyDescent="0.25">
      <c r="A22" s="7">
        <v>19</v>
      </c>
      <c r="D22" s="55" t="s">
        <v>164</v>
      </c>
      <c r="E22" s="56"/>
      <c r="F22" s="56"/>
      <c r="G22" s="57"/>
      <c r="H22" s="12">
        <v>420</v>
      </c>
      <c r="I22" s="59" t="s">
        <v>1</v>
      </c>
      <c r="J22" s="3">
        <v>500</v>
      </c>
      <c r="K22" s="3">
        <v>160</v>
      </c>
      <c r="L22" s="3">
        <v>10</v>
      </c>
      <c r="M22" s="3">
        <v>10</v>
      </c>
      <c r="N22" s="3">
        <v>290</v>
      </c>
      <c r="O22" s="3">
        <v>0</v>
      </c>
      <c r="P22" s="46">
        <f t="shared" si="0"/>
        <v>450</v>
      </c>
      <c r="Q22" s="1" t="s">
        <v>14</v>
      </c>
      <c r="R22" s="44">
        <v>50</v>
      </c>
      <c r="S22" s="47">
        <v>200</v>
      </c>
      <c r="T22" s="4"/>
    </row>
    <row r="23" spans="1:20" x14ac:dyDescent="0.25">
      <c r="A23" s="7">
        <v>20</v>
      </c>
      <c r="D23" s="9" t="s">
        <v>32</v>
      </c>
      <c r="E23" s="10"/>
      <c r="F23" s="10"/>
      <c r="G23" s="11"/>
      <c r="H23" s="12">
        <v>850</v>
      </c>
      <c r="I23" s="7" t="s">
        <v>2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4">
        <f t="shared" si="0"/>
        <v>850</v>
      </c>
      <c r="Q23" s="1" t="s">
        <v>14</v>
      </c>
      <c r="R23" s="44">
        <v>50</v>
      </c>
      <c r="S23" s="46">
        <v>200</v>
      </c>
      <c r="T23" s="4"/>
    </row>
    <row r="24" spans="1:20" x14ac:dyDescent="0.25">
      <c r="A24" s="7">
        <v>21</v>
      </c>
      <c r="D24" s="16" t="s">
        <v>140</v>
      </c>
      <c r="E24" s="17"/>
      <c r="F24" s="17"/>
      <c r="G24" s="18"/>
      <c r="H24" s="12">
        <v>102</v>
      </c>
      <c r="I24" s="7" t="s">
        <v>2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4">
        <f t="shared" si="0"/>
        <v>102</v>
      </c>
      <c r="Q24" s="1" t="s">
        <v>14</v>
      </c>
      <c r="R24" s="44">
        <v>10</v>
      </c>
      <c r="S24" s="46">
        <v>100</v>
      </c>
      <c r="T24" s="4"/>
    </row>
    <row r="25" spans="1:20" x14ac:dyDescent="0.25">
      <c r="A25" s="7">
        <v>22</v>
      </c>
      <c r="D25" s="9" t="s">
        <v>34</v>
      </c>
      <c r="E25" s="10"/>
      <c r="F25" s="10"/>
      <c r="G25" s="11"/>
      <c r="H25" s="12">
        <v>4</v>
      </c>
      <c r="I25" s="7" t="s">
        <v>2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4">
        <f t="shared" si="0"/>
        <v>4</v>
      </c>
      <c r="Q25" s="1" t="s">
        <v>14</v>
      </c>
      <c r="R25" s="44">
        <v>10</v>
      </c>
      <c r="S25" s="46">
        <v>50</v>
      </c>
      <c r="T25" s="4"/>
    </row>
    <row r="26" spans="1:20" x14ac:dyDescent="0.25">
      <c r="A26" s="7">
        <v>23</v>
      </c>
      <c r="D26" s="16" t="s">
        <v>142</v>
      </c>
      <c r="E26" s="17"/>
      <c r="F26" s="17"/>
      <c r="G26" s="18"/>
      <c r="H26" s="12">
        <v>44</v>
      </c>
      <c r="I26" s="7" t="s">
        <v>2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4">
        <f t="shared" si="0"/>
        <v>44</v>
      </c>
      <c r="Q26" s="1" t="s">
        <v>14</v>
      </c>
      <c r="R26" s="44">
        <v>20</v>
      </c>
      <c r="S26" s="47">
        <v>50</v>
      </c>
      <c r="T26" s="4"/>
    </row>
    <row r="27" spans="1:20" x14ac:dyDescent="0.25">
      <c r="A27" s="7">
        <v>24</v>
      </c>
      <c r="D27" s="9" t="s">
        <v>141</v>
      </c>
      <c r="E27" s="10"/>
      <c r="F27" s="10"/>
      <c r="G27" s="11"/>
      <c r="H27" s="12">
        <v>0</v>
      </c>
      <c r="I27" s="7" t="s">
        <v>2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  <c r="P27" s="4">
        <f t="shared" si="0"/>
        <v>0</v>
      </c>
      <c r="Q27" s="1"/>
      <c r="R27" s="44">
        <v>20</v>
      </c>
      <c r="S27" s="47">
        <v>50</v>
      </c>
      <c r="T27" s="4"/>
    </row>
    <row r="28" spans="1:20" x14ac:dyDescent="0.25">
      <c r="A28" s="7">
        <v>25</v>
      </c>
      <c r="D28" s="9" t="s">
        <v>137</v>
      </c>
      <c r="E28" s="10"/>
      <c r="F28" s="10"/>
      <c r="G28" s="11"/>
      <c r="H28" s="12">
        <v>83</v>
      </c>
      <c r="I28" s="7" t="s">
        <v>2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4">
        <f t="shared" si="0"/>
        <v>83</v>
      </c>
      <c r="Q28" s="1" t="s">
        <v>14</v>
      </c>
      <c r="R28" s="44">
        <v>20</v>
      </c>
      <c r="S28" s="47">
        <v>50</v>
      </c>
      <c r="T28" s="4"/>
    </row>
    <row r="29" spans="1:20" x14ac:dyDescent="0.25">
      <c r="A29" s="7">
        <v>26</v>
      </c>
      <c r="D29" s="9" t="s">
        <v>138</v>
      </c>
      <c r="E29" s="10"/>
      <c r="F29" s="10"/>
      <c r="G29" s="11"/>
      <c r="H29" s="12">
        <v>123</v>
      </c>
      <c r="I29" s="7" t="s">
        <v>2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4">
        <f t="shared" si="0"/>
        <v>123</v>
      </c>
      <c r="Q29" s="1"/>
      <c r="R29" s="44">
        <v>10</v>
      </c>
      <c r="S29" s="47">
        <v>50</v>
      </c>
      <c r="T29" s="4"/>
    </row>
    <row r="30" spans="1:20" x14ac:dyDescent="0.25">
      <c r="A30" s="7">
        <v>27</v>
      </c>
      <c r="D30" s="16" t="s">
        <v>35</v>
      </c>
      <c r="E30" s="17"/>
      <c r="F30" s="17"/>
      <c r="G30" s="18"/>
      <c r="H30" s="12">
        <v>263</v>
      </c>
      <c r="I30" s="7" t="s">
        <v>2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4">
        <f t="shared" si="0"/>
        <v>263</v>
      </c>
      <c r="Q30" s="1" t="s">
        <v>14</v>
      </c>
      <c r="R30" s="44">
        <v>50</v>
      </c>
      <c r="S30" s="47">
        <v>100</v>
      </c>
      <c r="T30" s="4"/>
    </row>
    <row r="31" spans="1:20" x14ac:dyDescent="0.25">
      <c r="A31" s="7">
        <v>28</v>
      </c>
      <c r="D31" s="9" t="s">
        <v>36</v>
      </c>
      <c r="E31" s="10"/>
      <c r="F31" s="10"/>
      <c r="G31" s="11"/>
      <c r="H31" s="12">
        <v>18</v>
      </c>
      <c r="I31" s="7" t="s">
        <v>2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4">
        <f t="shared" si="0"/>
        <v>18</v>
      </c>
      <c r="Q31" s="1" t="s">
        <v>14</v>
      </c>
      <c r="R31" s="44">
        <v>50</v>
      </c>
      <c r="S31" s="47">
        <v>100</v>
      </c>
      <c r="T31" s="4"/>
    </row>
    <row r="32" spans="1:20" x14ac:dyDescent="0.25">
      <c r="A32" s="7">
        <v>29</v>
      </c>
      <c r="D32" s="16" t="s">
        <v>37</v>
      </c>
      <c r="E32" s="17"/>
      <c r="F32" s="17"/>
      <c r="G32" s="18"/>
      <c r="H32" s="12">
        <v>178</v>
      </c>
      <c r="I32" s="7" t="s">
        <v>2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4">
        <f t="shared" si="0"/>
        <v>178</v>
      </c>
      <c r="Q32" s="1" t="s">
        <v>14</v>
      </c>
      <c r="R32" s="44">
        <v>20</v>
      </c>
      <c r="S32" s="47">
        <v>50</v>
      </c>
      <c r="T32" s="4"/>
    </row>
    <row r="33" spans="1:20" x14ac:dyDescent="0.25">
      <c r="A33" s="7">
        <v>30</v>
      </c>
      <c r="D33" s="9" t="s">
        <v>38</v>
      </c>
      <c r="E33" s="10"/>
      <c r="F33" s="10"/>
      <c r="G33" s="11"/>
      <c r="H33" s="12">
        <v>149</v>
      </c>
      <c r="I33" s="7" t="s">
        <v>2</v>
      </c>
      <c r="J33" s="3">
        <v>0</v>
      </c>
      <c r="K33" s="3">
        <v>4</v>
      </c>
      <c r="L33" s="3">
        <v>4</v>
      </c>
      <c r="M33" s="3">
        <v>60</v>
      </c>
      <c r="N33" s="3">
        <v>0</v>
      </c>
      <c r="O33" s="3">
        <v>0</v>
      </c>
      <c r="P33" s="4">
        <f t="shared" si="0"/>
        <v>81</v>
      </c>
      <c r="Q33" s="1" t="s">
        <v>14</v>
      </c>
      <c r="R33" s="44">
        <v>50</v>
      </c>
      <c r="S33" s="47">
        <v>100</v>
      </c>
      <c r="T33" s="4"/>
    </row>
    <row r="34" spans="1:20" x14ac:dyDescent="0.25">
      <c r="A34" s="7">
        <v>31</v>
      </c>
      <c r="D34" s="16" t="s">
        <v>39</v>
      </c>
      <c r="E34" s="17"/>
      <c r="F34" s="17"/>
      <c r="G34" s="18"/>
      <c r="H34" s="12">
        <v>51</v>
      </c>
      <c r="I34" s="7" t="s">
        <v>2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4">
        <f t="shared" si="0"/>
        <v>51</v>
      </c>
      <c r="Q34" s="1" t="s">
        <v>14</v>
      </c>
      <c r="R34" s="44">
        <v>20</v>
      </c>
      <c r="S34" s="47">
        <v>50</v>
      </c>
      <c r="T34" s="4"/>
    </row>
    <row r="35" spans="1:20" x14ac:dyDescent="0.25">
      <c r="A35" s="7">
        <v>32</v>
      </c>
      <c r="D35" s="9" t="s">
        <v>40</v>
      </c>
      <c r="E35" s="10"/>
      <c r="F35" s="10"/>
      <c r="G35" s="11"/>
      <c r="H35" s="12">
        <f>'ARALIK 3 HAFTA '!P33</f>
        <v>1075</v>
      </c>
      <c r="I35" s="7" t="s">
        <v>2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4">
        <f t="shared" si="0"/>
        <v>1075</v>
      </c>
      <c r="Q35" s="1" t="s">
        <v>14</v>
      </c>
      <c r="R35" s="44">
        <v>100</v>
      </c>
      <c r="S35" s="46">
        <v>300</v>
      </c>
      <c r="T35" s="4"/>
    </row>
    <row r="36" spans="1:20" x14ac:dyDescent="0.25">
      <c r="A36" s="7">
        <v>33</v>
      </c>
      <c r="D36" s="9" t="s">
        <v>9</v>
      </c>
      <c r="E36" s="10"/>
      <c r="F36" s="10"/>
      <c r="G36" s="11"/>
      <c r="H36" s="83">
        <v>142</v>
      </c>
      <c r="I36" s="7" t="s">
        <v>132</v>
      </c>
      <c r="J36" s="3">
        <v>0</v>
      </c>
      <c r="K36" s="3">
        <v>6</v>
      </c>
      <c r="L36" s="3">
        <v>4</v>
      </c>
      <c r="M36" s="3">
        <v>5</v>
      </c>
      <c r="N36" s="3">
        <v>26</v>
      </c>
      <c r="O36" s="3">
        <v>8</v>
      </c>
      <c r="P36" s="4">
        <f t="shared" si="0"/>
        <v>93</v>
      </c>
      <c r="Q36" s="1" t="s">
        <v>14</v>
      </c>
      <c r="R36" s="44">
        <v>50</v>
      </c>
      <c r="S36" s="47">
        <v>100</v>
      </c>
      <c r="T36" s="4"/>
    </row>
    <row r="37" spans="1:20" x14ac:dyDescent="0.25">
      <c r="A37" s="7">
        <v>34</v>
      </c>
      <c r="D37" s="19" t="s">
        <v>166</v>
      </c>
      <c r="E37" s="20"/>
      <c r="F37" s="20"/>
      <c r="G37" s="21"/>
      <c r="H37" s="69">
        <v>16</v>
      </c>
      <c r="I37" s="7" t="s">
        <v>2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4">
        <f t="shared" si="0"/>
        <v>16</v>
      </c>
      <c r="Q37" s="1" t="s">
        <v>14</v>
      </c>
      <c r="R37" s="44">
        <v>50</v>
      </c>
      <c r="S37" s="46">
        <v>200</v>
      </c>
      <c r="T37" s="4"/>
    </row>
    <row r="38" spans="1:20" x14ac:dyDescent="0.25">
      <c r="A38" s="7">
        <v>35</v>
      </c>
      <c r="D38" s="16" t="s">
        <v>143</v>
      </c>
      <c r="E38" s="17"/>
      <c r="F38" s="17"/>
      <c r="G38" s="18"/>
      <c r="H38" s="12">
        <v>80</v>
      </c>
      <c r="I38" s="7" t="s">
        <v>2</v>
      </c>
      <c r="J38" s="3">
        <v>0</v>
      </c>
      <c r="K38" s="3">
        <v>6</v>
      </c>
      <c r="L38" s="3">
        <v>4</v>
      </c>
      <c r="M38" s="3">
        <v>5</v>
      </c>
      <c r="N38" s="3">
        <v>26</v>
      </c>
      <c r="O38" s="3">
        <v>8</v>
      </c>
      <c r="P38" s="4">
        <f t="shared" si="0"/>
        <v>31</v>
      </c>
      <c r="Q38" s="1" t="s">
        <v>14</v>
      </c>
      <c r="R38" s="44">
        <v>50</v>
      </c>
      <c r="S38" s="46">
        <v>100</v>
      </c>
      <c r="T38" s="4"/>
    </row>
    <row r="39" spans="1:20" x14ac:dyDescent="0.25">
      <c r="A39" s="7">
        <v>36</v>
      </c>
      <c r="D39" s="9" t="s">
        <v>144</v>
      </c>
      <c r="E39" s="10"/>
      <c r="F39" s="10"/>
      <c r="G39" s="11"/>
      <c r="H39" s="12">
        <v>111</v>
      </c>
      <c r="I39" s="7" t="s">
        <v>2</v>
      </c>
      <c r="J39" s="3">
        <v>0</v>
      </c>
      <c r="K39" s="3">
        <v>6</v>
      </c>
      <c r="L39" s="3">
        <v>4</v>
      </c>
      <c r="M39" s="3">
        <v>5</v>
      </c>
      <c r="N39" s="3">
        <v>26</v>
      </c>
      <c r="O39" s="3">
        <v>8</v>
      </c>
      <c r="P39" s="4">
        <f t="shared" si="0"/>
        <v>62</v>
      </c>
      <c r="Q39" s="1" t="s">
        <v>14</v>
      </c>
      <c r="R39" s="44">
        <v>50</v>
      </c>
      <c r="S39" s="47">
        <v>100</v>
      </c>
      <c r="T39" s="4"/>
    </row>
    <row r="40" spans="1:20" x14ac:dyDescent="0.25">
      <c r="A40" s="7">
        <v>37</v>
      </c>
      <c r="D40" s="16" t="s">
        <v>42</v>
      </c>
      <c r="E40" s="17"/>
      <c r="F40" s="17"/>
      <c r="G40" s="18"/>
      <c r="H40" s="12">
        <v>155</v>
      </c>
      <c r="I40" s="7" t="s">
        <v>2</v>
      </c>
      <c r="J40" s="3">
        <v>0</v>
      </c>
      <c r="K40" s="3">
        <v>6</v>
      </c>
      <c r="L40" s="3">
        <v>4</v>
      </c>
      <c r="M40" s="3">
        <v>5</v>
      </c>
      <c r="N40" s="3">
        <v>26</v>
      </c>
      <c r="O40" s="3">
        <v>8</v>
      </c>
      <c r="P40" s="4">
        <f t="shared" si="0"/>
        <v>106</v>
      </c>
      <c r="Q40" s="1" t="s">
        <v>14</v>
      </c>
      <c r="R40" s="44">
        <v>50</v>
      </c>
      <c r="S40" s="47">
        <v>100</v>
      </c>
      <c r="T40" s="4"/>
    </row>
    <row r="41" spans="1:20" x14ac:dyDescent="0.25">
      <c r="A41" s="7">
        <v>38</v>
      </c>
      <c r="D41" s="9" t="s">
        <v>133</v>
      </c>
      <c r="E41" s="10"/>
      <c r="F41" s="10"/>
      <c r="G41" s="11"/>
      <c r="H41" s="12">
        <v>70</v>
      </c>
      <c r="I41" s="7" t="s">
        <v>2</v>
      </c>
      <c r="J41" s="3">
        <v>0</v>
      </c>
      <c r="K41" s="3">
        <v>16</v>
      </c>
      <c r="L41" s="3">
        <v>0</v>
      </c>
      <c r="M41" s="3">
        <v>0</v>
      </c>
      <c r="N41" s="3">
        <v>0</v>
      </c>
      <c r="O41" s="3">
        <v>0</v>
      </c>
      <c r="P41" s="4">
        <f t="shared" si="0"/>
        <v>54</v>
      </c>
      <c r="Q41" s="1" t="s">
        <v>14</v>
      </c>
      <c r="R41" s="44">
        <v>20</v>
      </c>
      <c r="S41" s="47">
        <v>50</v>
      </c>
      <c r="T41" s="4"/>
    </row>
    <row r="42" spans="1:20" x14ac:dyDescent="0.25">
      <c r="A42" s="7">
        <v>39</v>
      </c>
      <c r="D42" s="16" t="s">
        <v>145</v>
      </c>
      <c r="E42" s="17"/>
      <c r="F42" s="17"/>
      <c r="G42" s="18"/>
      <c r="H42" s="12">
        <v>70</v>
      </c>
      <c r="I42" s="7" t="s">
        <v>2</v>
      </c>
      <c r="J42" s="3">
        <v>0</v>
      </c>
      <c r="K42" s="3">
        <v>16</v>
      </c>
      <c r="L42" s="3">
        <v>0</v>
      </c>
      <c r="M42" s="3">
        <v>0</v>
      </c>
      <c r="N42" s="3">
        <v>0</v>
      </c>
      <c r="O42" s="3">
        <v>0</v>
      </c>
      <c r="P42" s="4">
        <f t="shared" si="0"/>
        <v>54</v>
      </c>
      <c r="Q42" s="1" t="s">
        <v>14</v>
      </c>
      <c r="R42" s="44">
        <v>20</v>
      </c>
      <c r="S42" s="46">
        <v>50</v>
      </c>
      <c r="T42" s="4"/>
    </row>
    <row r="43" spans="1:20" x14ac:dyDescent="0.25">
      <c r="A43" s="7">
        <v>40</v>
      </c>
      <c r="D43" s="9" t="s">
        <v>71</v>
      </c>
      <c r="E43" s="10"/>
      <c r="F43" s="10"/>
      <c r="G43" s="11"/>
      <c r="H43" s="12">
        <v>0</v>
      </c>
      <c r="I43" s="7" t="s">
        <v>2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4">
        <f t="shared" si="0"/>
        <v>0</v>
      </c>
      <c r="Q43" s="1" t="s">
        <v>14</v>
      </c>
      <c r="R43" s="44">
        <v>5</v>
      </c>
      <c r="S43" s="47">
        <v>10</v>
      </c>
      <c r="T43" s="4"/>
    </row>
    <row r="44" spans="1:20" x14ac:dyDescent="0.25">
      <c r="A44" s="7">
        <v>41</v>
      </c>
      <c r="D44" s="16" t="s">
        <v>10</v>
      </c>
      <c r="E44" s="17"/>
      <c r="F44" s="17"/>
      <c r="G44" s="18"/>
      <c r="H44" s="12">
        <v>101</v>
      </c>
      <c r="I44" s="7" t="s">
        <v>2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4">
        <f t="shared" si="0"/>
        <v>101</v>
      </c>
      <c r="Q44" s="1" t="s">
        <v>14</v>
      </c>
      <c r="R44" s="44">
        <v>40</v>
      </c>
      <c r="S44" s="47">
        <v>100</v>
      </c>
      <c r="T44" s="4"/>
    </row>
    <row r="45" spans="1:20" x14ac:dyDescent="0.25">
      <c r="A45" s="7">
        <v>42</v>
      </c>
      <c r="D45" s="9" t="s">
        <v>45</v>
      </c>
      <c r="E45" s="10"/>
      <c r="F45" s="10"/>
      <c r="G45" s="11"/>
      <c r="H45" s="12">
        <v>36</v>
      </c>
      <c r="I45" s="7" t="s">
        <v>2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4">
        <f t="shared" si="0"/>
        <v>36</v>
      </c>
      <c r="Q45" s="1" t="s">
        <v>14</v>
      </c>
      <c r="R45" s="44">
        <v>20</v>
      </c>
      <c r="S45" s="47">
        <v>50</v>
      </c>
      <c r="T45" s="4"/>
    </row>
    <row r="46" spans="1:20" x14ac:dyDescent="0.25">
      <c r="A46" s="7">
        <v>43</v>
      </c>
      <c r="D46" s="16" t="s">
        <v>46</v>
      </c>
      <c r="E46" s="17"/>
      <c r="F46" s="17"/>
      <c r="G46" s="18"/>
      <c r="H46" s="12">
        <v>27</v>
      </c>
      <c r="I46" s="7" t="s">
        <v>2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4">
        <f t="shared" si="0"/>
        <v>27</v>
      </c>
      <c r="Q46" s="1" t="s">
        <v>14</v>
      </c>
      <c r="R46" s="44">
        <v>20</v>
      </c>
      <c r="S46" s="47">
        <v>50</v>
      </c>
      <c r="T46" s="4"/>
    </row>
    <row r="47" spans="1:20" x14ac:dyDescent="0.25">
      <c r="A47" s="7">
        <v>44</v>
      </c>
      <c r="D47" s="9" t="s">
        <v>47</v>
      </c>
      <c r="E47" s="10"/>
      <c r="F47" s="10"/>
      <c r="G47" s="11"/>
      <c r="H47" s="12">
        <v>25</v>
      </c>
      <c r="I47" s="7" t="s">
        <v>2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4">
        <f t="shared" si="0"/>
        <v>25</v>
      </c>
      <c r="Q47" s="1" t="s">
        <v>14</v>
      </c>
      <c r="R47" s="44">
        <v>20</v>
      </c>
      <c r="S47" s="47">
        <v>50</v>
      </c>
      <c r="T47" s="4"/>
    </row>
    <row r="48" spans="1:20" x14ac:dyDescent="0.25">
      <c r="A48" s="7">
        <v>45</v>
      </c>
      <c r="D48" s="16" t="s">
        <v>79</v>
      </c>
      <c r="E48" s="17"/>
      <c r="F48" s="17"/>
      <c r="G48" s="18"/>
      <c r="H48" s="12">
        <v>0</v>
      </c>
      <c r="I48" s="7" t="s">
        <v>2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4">
        <f t="shared" si="0"/>
        <v>0</v>
      </c>
      <c r="Q48" s="1" t="s">
        <v>14</v>
      </c>
      <c r="R48" s="44">
        <v>10</v>
      </c>
      <c r="S48" s="47">
        <v>20</v>
      </c>
      <c r="T48" s="4"/>
    </row>
    <row r="49" spans="1:20" x14ac:dyDescent="0.25">
      <c r="A49" s="7">
        <v>46</v>
      </c>
      <c r="D49" s="9" t="s">
        <v>48</v>
      </c>
      <c r="E49" s="10"/>
      <c r="F49" s="10"/>
      <c r="G49" s="11"/>
      <c r="H49" s="12">
        <v>49</v>
      </c>
      <c r="I49" s="7" t="s">
        <v>2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4">
        <f t="shared" si="0"/>
        <v>49</v>
      </c>
      <c r="Q49" s="1" t="s">
        <v>14</v>
      </c>
      <c r="R49" s="44">
        <v>10</v>
      </c>
      <c r="S49" s="47">
        <v>20</v>
      </c>
      <c r="T49" s="4" t="s">
        <v>14</v>
      </c>
    </row>
    <row r="50" spans="1:20" x14ac:dyDescent="0.25">
      <c r="A50" s="7">
        <v>47</v>
      </c>
      <c r="D50" s="16" t="s">
        <v>49</v>
      </c>
      <c r="E50" s="17"/>
      <c r="F50" s="17"/>
      <c r="G50" s="18"/>
      <c r="H50" s="12">
        <v>96</v>
      </c>
      <c r="I50" s="7" t="s">
        <v>2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4">
        <f t="shared" si="0"/>
        <v>96</v>
      </c>
      <c r="Q50" s="1" t="s">
        <v>14</v>
      </c>
      <c r="R50" s="44">
        <v>10</v>
      </c>
      <c r="S50" s="47">
        <v>20</v>
      </c>
      <c r="T50" s="4"/>
    </row>
    <row r="51" spans="1:20" x14ac:dyDescent="0.25">
      <c r="A51" s="7">
        <v>48</v>
      </c>
      <c r="D51" s="9" t="s">
        <v>169</v>
      </c>
      <c r="E51" s="10"/>
      <c r="F51" s="10"/>
      <c r="G51" s="11"/>
      <c r="H51" s="12">
        <v>30</v>
      </c>
      <c r="I51" s="7" t="s">
        <v>1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4">
        <f t="shared" si="0"/>
        <v>30</v>
      </c>
      <c r="Q51" s="1" t="s">
        <v>14</v>
      </c>
      <c r="R51" s="44">
        <v>20</v>
      </c>
      <c r="S51" s="47">
        <v>100</v>
      </c>
      <c r="T51" s="4"/>
    </row>
    <row r="52" spans="1:20" x14ac:dyDescent="0.25">
      <c r="A52" s="7">
        <v>49</v>
      </c>
      <c r="D52" s="88"/>
      <c r="E52" s="89"/>
      <c r="F52" s="90" t="s">
        <v>111</v>
      </c>
      <c r="G52" s="87"/>
      <c r="H52" s="12">
        <v>256</v>
      </c>
      <c r="I52" s="7" t="s">
        <v>2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4">
        <f t="shared" si="0"/>
        <v>256</v>
      </c>
      <c r="Q52" s="1" t="s">
        <v>14</v>
      </c>
      <c r="R52" s="44">
        <v>30</v>
      </c>
      <c r="S52" s="47">
        <v>100</v>
      </c>
      <c r="T52" s="4"/>
    </row>
    <row r="53" spans="1:20" x14ac:dyDescent="0.25">
      <c r="A53" s="7">
        <v>50</v>
      </c>
      <c r="D53" s="9" t="s">
        <v>51</v>
      </c>
      <c r="E53" s="10"/>
      <c r="F53" s="10"/>
      <c r="G53" s="11"/>
      <c r="H53" s="12">
        <v>47</v>
      </c>
      <c r="I53" s="7" t="s">
        <v>2</v>
      </c>
      <c r="J53" s="3">
        <v>0</v>
      </c>
      <c r="K53" s="3">
        <v>0</v>
      </c>
      <c r="L53" s="3">
        <v>0</v>
      </c>
      <c r="M53" s="3">
        <v>0</v>
      </c>
      <c r="N53" s="3">
        <v>2</v>
      </c>
      <c r="O53" s="3">
        <v>0</v>
      </c>
      <c r="P53" s="4">
        <f t="shared" si="0"/>
        <v>45</v>
      </c>
      <c r="Q53" s="1" t="s">
        <v>14</v>
      </c>
      <c r="R53" s="44">
        <v>20</v>
      </c>
      <c r="S53" s="47">
        <v>50</v>
      </c>
      <c r="T53" s="4"/>
    </row>
    <row r="54" spans="1:20" x14ac:dyDescent="0.25">
      <c r="A54" s="7">
        <v>51</v>
      </c>
      <c r="D54" s="16" t="s">
        <v>52</v>
      </c>
      <c r="E54" s="17"/>
      <c r="F54" s="17"/>
      <c r="G54" s="18"/>
      <c r="H54" s="12">
        <v>47</v>
      </c>
      <c r="I54" s="7" t="s">
        <v>2</v>
      </c>
      <c r="J54" s="3">
        <v>0</v>
      </c>
      <c r="K54" s="3">
        <v>0</v>
      </c>
      <c r="L54" s="3">
        <v>0</v>
      </c>
      <c r="M54" s="3">
        <v>0</v>
      </c>
      <c r="N54" s="3">
        <v>2</v>
      </c>
      <c r="O54" s="3">
        <v>0</v>
      </c>
      <c r="P54" s="4">
        <f t="shared" si="0"/>
        <v>45</v>
      </c>
      <c r="Q54" s="1" t="s">
        <v>14</v>
      </c>
      <c r="R54" s="44">
        <v>20</v>
      </c>
      <c r="S54" s="47">
        <v>50</v>
      </c>
      <c r="T54" s="4" t="s">
        <v>14</v>
      </c>
    </row>
    <row r="55" spans="1:20" x14ac:dyDescent="0.25">
      <c r="A55" s="7">
        <v>52</v>
      </c>
      <c r="D55" s="9" t="s">
        <v>53</v>
      </c>
      <c r="E55" s="10"/>
      <c r="F55" s="10"/>
      <c r="G55" s="11"/>
      <c r="H55" s="12">
        <v>47</v>
      </c>
      <c r="I55" s="7" t="s">
        <v>2</v>
      </c>
      <c r="J55" s="3">
        <v>0</v>
      </c>
      <c r="K55" s="3">
        <v>0</v>
      </c>
      <c r="L55" s="3">
        <v>0</v>
      </c>
      <c r="M55" s="3">
        <v>0</v>
      </c>
      <c r="N55" s="3">
        <v>2</v>
      </c>
      <c r="O55" s="3">
        <v>0</v>
      </c>
      <c r="P55" s="4">
        <f t="shared" si="0"/>
        <v>45</v>
      </c>
      <c r="Q55" s="1" t="s">
        <v>14</v>
      </c>
      <c r="R55" s="44">
        <v>20</v>
      </c>
      <c r="S55" s="47">
        <v>50</v>
      </c>
      <c r="T55" s="4"/>
    </row>
    <row r="56" spans="1:20" x14ac:dyDescent="0.25">
      <c r="A56" s="7">
        <v>53</v>
      </c>
      <c r="D56" s="70" t="s">
        <v>54</v>
      </c>
      <c r="E56" s="71"/>
      <c r="F56" s="71"/>
      <c r="G56" s="72"/>
      <c r="H56" s="12">
        <v>1530</v>
      </c>
      <c r="I56" s="7" t="s">
        <v>1</v>
      </c>
      <c r="J56" s="3">
        <v>0</v>
      </c>
      <c r="K56" s="3">
        <v>135</v>
      </c>
      <c r="L56" s="3">
        <v>180</v>
      </c>
      <c r="M56" s="3">
        <v>90</v>
      </c>
      <c r="N56" s="3">
        <v>135</v>
      </c>
      <c r="O56" s="3">
        <v>90</v>
      </c>
      <c r="P56" s="4">
        <f t="shared" si="0"/>
        <v>900</v>
      </c>
      <c r="Q56" s="1" t="s">
        <v>120</v>
      </c>
      <c r="R56" s="44">
        <v>250</v>
      </c>
      <c r="S56" s="47">
        <v>750</v>
      </c>
      <c r="T56" s="4"/>
    </row>
    <row r="57" spans="1:20" x14ac:dyDescent="0.25">
      <c r="A57" s="7">
        <v>54</v>
      </c>
      <c r="D57" s="16" t="s">
        <v>61</v>
      </c>
      <c r="E57" s="17"/>
      <c r="F57" s="17"/>
      <c r="G57" s="18"/>
      <c r="H57" s="12">
        <v>246</v>
      </c>
      <c r="I57" s="7" t="s">
        <v>2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  <c r="P57" s="4">
        <f t="shared" si="0"/>
        <v>246</v>
      </c>
      <c r="Q57" s="1" t="s">
        <v>14</v>
      </c>
      <c r="R57" s="44">
        <v>10</v>
      </c>
      <c r="S57" s="46">
        <v>200</v>
      </c>
      <c r="T57" s="4"/>
    </row>
    <row r="58" spans="1:20" x14ac:dyDescent="0.25">
      <c r="A58" s="7">
        <v>55</v>
      </c>
      <c r="D58" s="9" t="s">
        <v>62</v>
      </c>
      <c r="E58" s="10"/>
      <c r="F58" s="10"/>
      <c r="G58" s="11"/>
      <c r="H58" s="12">
        <v>2217</v>
      </c>
      <c r="I58" s="7" t="s">
        <v>2</v>
      </c>
      <c r="J58" s="3">
        <v>0</v>
      </c>
      <c r="K58" s="3">
        <v>25</v>
      </c>
      <c r="L58" s="3">
        <v>0</v>
      </c>
      <c r="M58" s="3">
        <v>100</v>
      </c>
      <c r="N58" s="3">
        <v>18</v>
      </c>
      <c r="O58" s="3">
        <v>653</v>
      </c>
      <c r="P58" s="4">
        <f t="shared" si="0"/>
        <v>1421</v>
      </c>
      <c r="Q58" s="1" t="s">
        <v>14</v>
      </c>
      <c r="R58" s="44">
        <v>200</v>
      </c>
      <c r="S58" s="47">
        <v>1000</v>
      </c>
      <c r="T58" s="4"/>
    </row>
    <row r="59" spans="1:20" x14ac:dyDescent="0.25">
      <c r="A59" s="7">
        <v>56</v>
      </c>
      <c r="D59" s="16" t="s">
        <v>13</v>
      </c>
      <c r="E59" s="17"/>
      <c r="F59" s="17"/>
      <c r="G59" s="18"/>
      <c r="H59" s="12">
        <v>823</v>
      </c>
      <c r="I59" s="7" t="s">
        <v>2</v>
      </c>
      <c r="J59" s="3">
        <v>0</v>
      </c>
      <c r="K59" s="3">
        <v>13</v>
      </c>
      <c r="L59" s="3">
        <v>0</v>
      </c>
      <c r="M59" s="3">
        <v>16</v>
      </c>
      <c r="N59" s="3">
        <v>26</v>
      </c>
      <c r="O59" s="3">
        <v>48</v>
      </c>
      <c r="P59" s="4">
        <f t="shared" si="0"/>
        <v>720</v>
      </c>
      <c r="Q59" s="1" t="s">
        <v>14</v>
      </c>
      <c r="R59" s="44">
        <v>100</v>
      </c>
      <c r="S59" s="47">
        <v>300</v>
      </c>
      <c r="T59" s="4"/>
    </row>
    <row r="60" spans="1:20" x14ac:dyDescent="0.25">
      <c r="A60" s="7">
        <v>57</v>
      </c>
      <c r="D60" s="9" t="s">
        <v>72</v>
      </c>
      <c r="E60" s="10"/>
      <c r="F60" s="10"/>
      <c r="G60" s="11"/>
      <c r="H60" s="12">
        <v>130</v>
      </c>
      <c r="I60" s="7" t="s">
        <v>2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4">
        <f t="shared" si="0"/>
        <v>130</v>
      </c>
      <c r="Q60" s="1" t="s">
        <v>14</v>
      </c>
      <c r="R60" s="44">
        <v>100</v>
      </c>
      <c r="S60" s="47">
        <v>300</v>
      </c>
      <c r="T60" s="4"/>
    </row>
    <row r="61" spans="1:20" x14ac:dyDescent="0.25">
      <c r="A61" s="7">
        <v>58</v>
      </c>
      <c r="D61" s="16" t="s">
        <v>63</v>
      </c>
      <c r="E61" s="17"/>
      <c r="F61" s="17"/>
      <c r="G61" s="18"/>
      <c r="H61" s="12">
        <v>0</v>
      </c>
      <c r="I61" s="7" t="s">
        <v>2</v>
      </c>
      <c r="J61" s="3">
        <v>72</v>
      </c>
      <c r="K61" s="3">
        <v>0</v>
      </c>
      <c r="L61" s="3">
        <v>0</v>
      </c>
      <c r="M61" s="3">
        <v>9</v>
      </c>
      <c r="N61" s="3">
        <v>0</v>
      </c>
      <c r="O61" s="3">
        <v>6</v>
      </c>
      <c r="P61" s="4">
        <f t="shared" si="0"/>
        <v>57</v>
      </c>
      <c r="Q61" s="1" t="s">
        <v>14</v>
      </c>
      <c r="R61" s="44">
        <v>100</v>
      </c>
      <c r="S61" s="47">
        <v>300</v>
      </c>
      <c r="T61" s="4"/>
    </row>
    <row r="62" spans="1:20" x14ac:dyDescent="0.25">
      <c r="A62" s="7">
        <v>59</v>
      </c>
      <c r="D62" s="9" t="s">
        <v>77</v>
      </c>
      <c r="E62" s="10"/>
      <c r="F62" s="10"/>
      <c r="G62" s="11"/>
      <c r="H62" s="12">
        <v>504</v>
      </c>
      <c r="I62" s="7" t="s">
        <v>2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4">
        <f t="shared" si="0"/>
        <v>504</v>
      </c>
      <c r="Q62" s="1" t="s">
        <v>14</v>
      </c>
      <c r="R62" s="44">
        <v>100</v>
      </c>
      <c r="S62" s="47">
        <v>300</v>
      </c>
      <c r="T62" s="4"/>
    </row>
    <row r="63" spans="1:20" x14ac:dyDescent="0.25">
      <c r="A63" s="7">
        <v>60</v>
      </c>
      <c r="D63" s="16" t="s">
        <v>130</v>
      </c>
      <c r="E63" s="17"/>
      <c r="F63" s="17"/>
      <c r="G63" s="18"/>
      <c r="H63" s="12">
        <v>185</v>
      </c>
      <c r="I63" s="7" t="s">
        <v>2</v>
      </c>
      <c r="J63" s="3">
        <v>0</v>
      </c>
      <c r="K63" s="3">
        <v>6</v>
      </c>
      <c r="L63" s="3">
        <v>4</v>
      </c>
      <c r="M63" s="3">
        <v>0</v>
      </c>
      <c r="N63" s="3">
        <v>0</v>
      </c>
      <c r="O63" s="3">
        <v>0</v>
      </c>
      <c r="P63" s="4">
        <f t="shared" si="0"/>
        <v>175</v>
      </c>
      <c r="Q63" s="1" t="s">
        <v>14</v>
      </c>
      <c r="R63" s="44">
        <v>20</v>
      </c>
      <c r="S63" s="46">
        <v>200</v>
      </c>
      <c r="T63" s="4"/>
    </row>
    <row r="64" spans="1:20" x14ac:dyDescent="0.25">
      <c r="A64" s="7">
        <v>61</v>
      </c>
      <c r="D64" s="26" t="s">
        <v>146</v>
      </c>
      <c r="E64" s="27"/>
      <c r="F64" s="27"/>
      <c r="G64" s="28"/>
      <c r="H64" s="12">
        <v>1</v>
      </c>
      <c r="I64" s="30" t="s">
        <v>2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4">
        <f t="shared" si="0"/>
        <v>1</v>
      </c>
      <c r="Q64" s="1" t="s">
        <v>14</v>
      </c>
      <c r="R64" s="44">
        <v>50</v>
      </c>
      <c r="S64" s="47">
        <v>100</v>
      </c>
      <c r="T64" s="4"/>
    </row>
    <row r="65" spans="1:20" x14ac:dyDescent="0.25">
      <c r="A65" s="7">
        <v>62</v>
      </c>
      <c r="D65" s="16" t="s">
        <v>65</v>
      </c>
      <c r="E65" s="17"/>
      <c r="F65" s="17"/>
      <c r="G65" s="18"/>
      <c r="H65" s="12">
        <v>54</v>
      </c>
      <c r="I65" s="7" t="s">
        <v>2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4">
        <f t="shared" si="0"/>
        <v>54</v>
      </c>
      <c r="Q65" s="1" t="s">
        <v>14</v>
      </c>
      <c r="R65" s="44">
        <v>10</v>
      </c>
      <c r="S65" s="46">
        <v>50</v>
      </c>
      <c r="T65" s="4"/>
    </row>
    <row r="66" spans="1:20" x14ac:dyDescent="0.25">
      <c r="A66" s="7">
        <v>63</v>
      </c>
      <c r="D66" s="9" t="s">
        <v>66</v>
      </c>
      <c r="E66" s="10"/>
      <c r="F66" s="10"/>
      <c r="G66" s="11"/>
      <c r="H66" s="12">
        <v>50</v>
      </c>
      <c r="I66" s="7" t="s">
        <v>2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  <c r="P66" s="4">
        <f t="shared" si="0"/>
        <v>50</v>
      </c>
      <c r="Q66" s="1" t="s">
        <v>14</v>
      </c>
      <c r="R66" s="44">
        <v>300</v>
      </c>
      <c r="S66" s="47">
        <v>1000</v>
      </c>
      <c r="T66" s="4"/>
    </row>
    <row r="67" spans="1:20" x14ac:dyDescent="0.25">
      <c r="A67" s="7">
        <v>64</v>
      </c>
      <c r="D67" s="19" t="s">
        <v>165</v>
      </c>
      <c r="E67" s="20"/>
      <c r="F67" s="20"/>
      <c r="G67" s="21"/>
      <c r="H67" s="12">
        <v>65</v>
      </c>
      <c r="I67" s="7" t="s">
        <v>2</v>
      </c>
      <c r="J67" s="3">
        <v>0</v>
      </c>
      <c r="K67" s="3">
        <v>6</v>
      </c>
      <c r="L67" s="3">
        <v>0</v>
      </c>
      <c r="M67" s="3">
        <v>0</v>
      </c>
      <c r="N67" s="3">
        <v>0</v>
      </c>
      <c r="O67" s="3">
        <v>0</v>
      </c>
      <c r="P67" s="4">
        <f t="shared" si="0"/>
        <v>59</v>
      </c>
      <c r="Q67" s="1" t="s">
        <v>14</v>
      </c>
      <c r="R67" s="44">
        <v>50</v>
      </c>
      <c r="S67" s="47">
        <v>150</v>
      </c>
      <c r="T67" s="4"/>
    </row>
    <row r="68" spans="1:20" x14ac:dyDescent="0.25">
      <c r="A68" s="7">
        <v>65</v>
      </c>
      <c r="D68" s="22" t="s">
        <v>74</v>
      </c>
      <c r="E68" s="10"/>
      <c r="F68" s="10"/>
      <c r="G68" s="11"/>
      <c r="H68" s="12">
        <v>180</v>
      </c>
      <c r="I68" s="8" t="s">
        <v>75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4">
        <f t="shared" ref="P68:P89" si="1">+H68+J68-K68-L68-M68-N68-O68</f>
        <v>180</v>
      </c>
      <c r="Q68" s="1" t="s">
        <v>91</v>
      </c>
      <c r="R68" s="44">
        <v>65</v>
      </c>
      <c r="S68" s="47">
        <v>150</v>
      </c>
      <c r="T68" s="4"/>
    </row>
    <row r="69" spans="1:20" x14ac:dyDescent="0.25">
      <c r="A69" s="7">
        <v>66</v>
      </c>
      <c r="C69" s="1" t="s">
        <v>14</v>
      </c>
      <c r="D69" s="22" t="s">
        <v>76</v>
      </c>
      <c r="E69" s="10"/>
      <c r="F69" s="10"/>
      <c r="G69" s="11"/>
      <c r="H69" s="12">
        <v>232</v>
      </c>
      <c r="I69" s="8" t="s">
        <v>2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4">
        <f t="shared" si="1"/>
        <v>232</v>
      </c>
      <c r="Q69" s="1" t="s">
        <v>14</v>
      </c>
      <c r="R69" s="44">
        <v>50</v>
      </c>
      <c r="S69" s="47">
        <v>100</v>
      </c>
      <c r="T69" s="4"/>
    </row>
    <row r="70" spans="1:20" x14ac:dyDescent="0.25">
      <c r="A70" s="7">
        <v>67</v>
      </c>
      <c r="D70" s="25" t="s">
        <v>147</v>
      </c>
      <c r="H70" s="12">
        <v>542</v>
      </c>
      <c r="I70" s="30" t="s">
        <v>2</v>
      </c>
      <c r="J70" s="3">
        <v>0</v>
      </c>
      <c r="K70" s="3">
        <v>4</v>
      </c>
      <c r="L70" s="3">
        <v>2</v>
      </c>
      <c r="M70" s="3">
        <v>70</v>
      </c>
      <c r="N70" s="3">
        <v>78</v>
      </c>
      <c r="O70" s="3">
        <v>17</v>
      </c>
      <c r="P70" s="4">
        <f t="shared" si="1"/>
        <v>371</v>
      </c>
      <c r="Q70" s="1" t="s">
        <v>14</v>
      </c>
      <c r="R70" s="44">
        <v>50</v>
      </c>
      <c r="S70" s="47">
        <v>100</v>
      </c>
      <c r="T70" s="4"/>
    </row>
    <row r="71" spans="1:20" x14ac:dyDescent="0.25">
      <c r="A71" s="7">
        <v>68</v>
      </c>
      <c r="D71" s="26" t="s">
        <v>80</v>
      </c>
      <c r="E71" s="27"/>
      <c r="F71" s="27"/>
      <c r="G71" s="28"/>
      <c r="H71" s="12">
        <v>62</v>
      </c>
      <c r="I71" s="8" t="s">
        <v>2</v>
      </c>
      <c r="J71" s="3">
        <v>0</v>
      </c>
      <c r="K71" s="3">
        <v>0</v>
      </c>
      <c r="L71" s="3">
        <v>0</v>
      </c>
      <c r="M71" s="3">
        <v>0</v>
      </c>
      <c r="N71" s="3">
        <v>2</v>
      </c>
      <c r="O71" s="3">
        <v>0</v>
      </c>
      <c r="P71" s="4">
        <f t="shared" si="1"/>
        <v>60</v>
      </c>
      <c r="Q71" s="1" t="s">
        <v>14</v>
      </c>
      <c r="R71" s="44">
        <v>20</v>
      </c>
      <c r="S71" s="46">
        <v>200</v>
      </c>
      <c r="T71" s="4"/>
    </row>
    <row r="72" spans="1:20" x14ac:dyDescent="0.25">
      <c r="A72" s="7">
        <v>69</v>
      </c>
      <c r="D72" s="26" t="s">
        <v>84</v>
      </c>
      <c r="E72" s="27"/>
      <c r="F72" s="27"/>
      <c r="G72" s="28"/>
      <c r="H72" s="12">
        <v>0</v>
      </c>
      <c r="I72" s="8" t="s">
        <v>2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  <c r="P72" s="4">
        <f t="shared" si="1"/>
        <v>0</v>
      </c>
      <c r="Q72" s="1" t="s">
        <v>14</v>
      </c>
      <c r="R72" s="44">
        <v>100</v>
      </c>
      <c r="S72" s="47">
        <v>200</v>
      </c>
      <c r="T72" s="4"/>
    </row>
    <row r="73" spans="1:20" x14ac:dyDescent="0.25">
      <c r="A73" s="7">
        <v>70</v>
      </c>
      <c r="D73" s="26" t="s">
        <v>167</v>
      </c>
      <c r="E73" s="27"/>
      <c r="F73" s="27"/>
      <c r="G73" s="28"/>
      <c r="H73" s="12">
        <v>64</v>
      </c>
      <c r="I73" s="8" t="s">
        <v>2</v>
      </c>
      <c r="J73" s="3">
        <v>0</v>
      </c>
      <c r="K73" s="3">
        <v>0</v>
      </c>
      <c r="L73" s="3">
        <v>0</v>
      </c>
      <c r="M73" s="3">
        <v>0</v>
      </c>
      <c r="N73" s="3">
        <v>2</v>
      </c>
      <c r="O73" s="3">
        <v>0</v>
      </c>
      <c r="P73" s="4">
        <f t="shared" si="1"/>
        <v>62</v>
      </c>
      <c r="R73" s="44">
        <v>20</v>
      </c>
      <c r="S73" s="46">
        <v>200</v>
      </c>
      <c r="T73" s="4"/>
    </row>
    <row r="74" spans="1:20" x14ac:dyDescent="0.25">
      <c r="A74" s="7">
        <v>71</v>
      </c>
      <c r="D74" s="37" t="s">
        <v>14</v>
      </c>
      <c r="E74" s="17"/>
      <c r="F74" s="33"/>
      <c r="G74" s="33"/>
      <c r="H74" s="12">
        <v>0</v>
      </c>
      <c r="I74" s="8" t="s">
        <v>14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4">
        <f t="shared" si="1"/>
        <v>0</v>
      </c>
      <c r="Q74" s="1" t="s">
        <v>14</v>
      </c>
      <c r="R74" s="44">
        <v>100</v>
      </c>
      <c r="S74" s="47">
        <v>500</v>
      </c>
      <c r="T74" s="4"/>
    </row>
    <row r="75" spans="1:20" x14ac:dyDescent="0.25">
      <c r="A75" s="7">
        <v>72</v>
      </c>
      <c r="D75" s="22" t="s">
        <v>100</v>
      </c>
      <c r="E75" s="10"/>
      <c r="F75" s="10"/>
      <c r="G75" s="28"/>
      <c r="H75" s="12">
        <v>0</v>
      </c>
      <c r="I75" s="8" t="s">
        <v>2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4">
        <f t="shared" si="1"/>
        <v>0</v>
      </c>
      <c r="R75" s="44">
        <v>0</v>
      </c>
      <c r="S75" s="46"/>
      <c r="T75" s="4"/>
    </row>
    <row r="76" spans="1:20" x14ac:dyDescent="0.25">
      <c r="A76" s="7">
        <v>73</v>
      </c>
      <c r="D76" s="37" t="s">
        <v>113</v>
      </c>
      <c r="E76" s="17"/>
      <c r="F76" s="17"/>
      <c r="G76" s="33"/>
      <c r="H76" s="12">
        <v>386</v>
      </c>
      <c r="I76" s="8" t="s">
        <v>97</v>
      </c>
      <c r="J76" s="3">
        <v>525</v>
      </c>
      <c r="K76" s="3">
        <v>115</v>
      </c>
      <c r="L76" s="3">
        <v>151</v>
      </c>
      <c r="M76" s="3">
        <v>120</v>
      </c>
      <c r="N76" s="3">
        <v>90</v>
      </c>
      <c r="O76" s="3">
        <v>74</v>
      </c>
      <c r="P76" s="4">
        <f t="shared" si="1"/>
        <v>361</v>
      </c>
      <c r="Q76" s="65" t="s">
        <v>121</v>
      </c>
      <c r="R76" s="44">
        <v>30</v>
      </c>
      <c r="S76" s="47">
        <v>100</v>
      </c>
      <c r="T76" s="4"/>
    </row>
    <row r="77" spans="1:20" x14ac:dyDescent="0.25">
      <c r="A77" s="7">
        <v>74</v>
      </c>
      <c r="D77" s="22" t="s">
        <v>103</v>
      </c>
      <c r="E77" s="10"/>
      <c r="F77" s="10"/>
      <c r="G77" s="28"/>
      <c r="H77" s="12">
        <v>116</v>
      </c>
      <c r="I77" s="8" t="s">
        <v>132</v>
      </c>
      <c r="J77" s="3">
        <v>100</v>
      </c>
      <c r="K77" s="3">
        <v>0</v>
      </c>
      <c r="L77" s="3">
        <v>0</v>
      </c>
      <c r="M77" s="3">
        <v>100</v>
      </c>
      <c r="N77" s="3">
        <v>5</v>
      </c>
      <c r="O77" s="3">
        <v>0</v>
      </c>
      <c r="P77" s="4">
        <f t="shared" si="1"/>
        <v>111</v>
      </c>
      <c r="R77" s="44">
        <v>60</v>
      </c>
      <c r="S77" s="47">
        <v>100</v>
      </c>
      <c r="T77" s="4"/>
    </row>
    <row r="78" spans="1:20" x14ac:dyDescent="0.25">
      <c r="A78" s="8">
        <v>75</v>
      </c>
      <c r="D78" s="49" t="s">
        <v>108</v>
      </c>
      <c r="E78" s="20"/>
      <c r="F78" s="20"/>
      <c r="G78" s="20"/>
      <c r="H78" s="12">
        <v>24300</v>
      </c>
      <c r="I78" s="8" t="s">
        <v>110</v>
      </c>
      <c r="J78" s="3">
        <v>36000</v>
      </c>
      <c r="K78" s="3">
        <v>0</v>
      </c>
      <c r="L78" s="3">
        <v>1000</v>
      </c>
      <c r="M78" s="3">
        <v>1500</v>
      </c>
      <c r="N78" s="3">
        <v>2000</v>
      </c>
      <c r="O78" s="3">
        <v>2000</v>
      </c>
      <c r="P78" s="4">
        <f t="shared" si="1"/>
        <v>53800</v>
      </c>
      <c r="R78" s="43">
        <v>1000</v>
      </c>
      <c r="S78" s="46">
        <v>10000</v>
      </c>
      <c r="T78" s="4"/>
    </row>
    <row r="79" spans="1:20" x14ac:dyDescent="0.25">
      <c r="A79" s="48">
        <v>76</v>
      </c>
      <c r="B79" s="41"/>
      <c r="C79" s="41"/>
      <c r="D79" s="22" t="s">
        <v>115</v>
      </c>
      <c r="E79" s="10"/>
      <c r="F79" s="10"/>
      <c r="G79" s="11"/>
      <c r="H79" s="12">
        <v>578</v>
      </c>
      <c r="I79" s="62" t="s">
        <v>2</v>
      </c>
      <c r="J79" s="3">
        <v>0</v>
      </c>
      <c r="K79" s="3">
        <v>4</v>
      </c>
      <c r="L79" s="3">
        <v>2</v>
      </c>
      <c r="M79" s="3">
        <v>70</v>
      </c>
      <c r="N79" s="3">
        <v>43</v>
      </c>
      <c r="O79" s="3">
        <v>17</v>
      </c>
      <c r="P79" s="64">
        <f t="shared" si="1"/>
        <v>442</v>
      </c>
      <c r="R79" s="64">
        <v>50</v>
      </c>
      <c r="S79" s="64">
        <v>100</v>
      </c>
      <c r="T79" s="4" t="s">
        <v>14</v>
      </c>
    </row>
    <row r="80" spans="1:20" x14ac:dyDescent="0.25">
      <c r="A80" s="73">
        <v>77</v>
      </c>
      <c r="B80" s="41"/>
      <c r="C80" s="41"/>
      <c r="D80" s="49" t="s">
        <v>134</v>
      </c>
      <c r="E80" s="35"/>
      <c r="F80" s="35"/>
      <c r="G80" s="60"/>
      <c r="H80" s="12">
        <v>312</v>
      </c>
      <c r="I80" s="8" t="s">
        <v>2</v>
      </c>
      <c r="J80" s="3">
        <v>0</v>
      </c>
      <c r="K80" s="3">
        <v>16</v>
      </c>
      <c r="L80" s="3">
        <v>0</v>
      </c>
      <c r="M80" s="3">
        <v>0</v>
      </c>
      <c r="N80" s="3">
        <v>0</v>
      </c>
      <c r="O80" s="3">
        <v>0</v>
      </c>
      <c r="P80" s="4">
        <f t="shared" si="1"/>
        <v>296</v>
      </c>
      <c r="Q80" s="4"/>
      <c r="R80" s="4">
        <v>20</v>
      </c>
      <c r="S80" s="4">
        <v>50</v>
      </c>
      <c r="T80" s="4"/>
    </row>
    <row r="81" spans="1:20" x14ac:dyDescent="0.25">
      <c r="A81" s="8">
        <v>78</v>
      </c>
      <c r="D81" s="22" t="s">
        <v>123</v>
      </c>
      <c r="E81" s="10"/>
      <c r="F81" s="10"/>
      <c r="G81" s="11"/>
      <c r="H81" s="12">
        <v>1000</v>
      </c>
      <c r="I81" s="8" t="s">
        <v>2</v>
      </c>
      <c r="J81" s="3">
        <v>0</v>
      </c>
      <c r="K81" s="3">
        <v>250</v>
      </c>
      <c r="L81" s="3">
        <v>0</v>
      </c>
      <c r="M81" s="3">
        <v>0</v>
      </c>
      <c r="N81" s="3">
        <v>0</v>
      </c>
      <c r="O81" s="3">
        <v>0</v>
      </c>
      <c r="P81" s="4">
        <f t="shared" si="1"/>
        <v>750</v>
      </c>
      <c r="Q81" s="4"/>
      <c r="R81" s="4">
        <v>100</v>
      </c>
      <c r="S81" s="4">
        <v>500</v>
      </c>
      <c r="T81" s="4"/>
    </row>
    <row r="82" spans="1:20" x14ac:dyDescent="0.25">
      <c r="A82" s="48">
        <v>79</v>
      </c>
      <c r="B82" s="41"/>
      <c r="C82" s="41"/>
      <c r="D82" s="22" t="s">
        <v>154</v>
      </c>
      <c r="E82" s="10"/>
      <c r="F82" s="10"/>
      <c r="G82" s="11"/>
      <c r="H82" s="4">
        <v>15</v>
      </c>
      <c r="I82" s="8" t="s">
        <v>2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  <c r="P82" s="4">
        <f t="shared" si="1"/>
        <v>15</v>
      </c>
      <c r="Q82" s="4"/>
      <c r="R82" s="4">
        <v>10</v>
      </c>
      <c r="S82" s="4">
        <v>50</v>
      </c>
      <c r="T82" s="4"/>
    </row>
    <row r="83" spans="1:20" x14ac:dyDescent="0.25">
      <c r="A83" s="48">
        <v>80</v>
      </c>
      <c r="B83" s="41"/>
      <c r="C83" s="41"/>
      <c r="D83" s="37" t="s">
        <v>155</v>
      </c>
      <c r="E83" s="17"/>
      <c r="F83" s="17"/>
      <c r="G83" s="18"/>
      <c r="H83" s="64">
        <v>15</v>
      </c>
      <c r="I83" s="62" t="s">
        <v>2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64">
        <f t="shared" si="1"/>
        <v>15</v>
      </c>
      <c r="Q83" s="64"/>
      <c r="R83" s="64">
        <v>10</v>
      </c>
      <c r="S83" s="64">
        <v>50</v>
      </c>
      <c r="T83" s="4"/>
    </row>
    <row r="84" spans="1:20" x14ac:dyDescent="0.25">
      <c r="A84" s="48">
        <v>81</v>
      </c>
      <c r="B84" s="11"/>
      <c r="C84" s="23"/>
      <c r="D84" s="23" t="s">
        <v>149</v>
      </c>
      <c r="E84" s="23"/>
      <c r="F84" s="23"/>
      <c r="G84" s="23"/>
      <c r="H84" s="23">
        <v>10</v>
      </c>
      <c r="I84" s="8" t="s">
        <v>2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4">
        <f t="shared" si="1"/>
        <v>10</v>
      </c>
      <c r="Q84" s="4"/>
      <c r="R84" s="4">
        <v>10</v>
      </c>
      <c r="S84" s="4">
        <v>50</v>
      </c>
      <c r="T84" s="4"/>
    </row>
    <row r="85" spans="1:20" x14ac:dyDescent="0.25">
      <c r="A85" s="8">
        <v>82</v>
      </c>
      <c r="D85" s="68" t="s">
        <v>148</v>
      </c>
      <c r="E85" s="27"/>
      <c r="F85" s="27"/>
      <c r="G85" s="28"/>
      <c r="H85" s="4">
        <v>98</v>
      </c>
      <c r="I85" s="8" t="s">
        <v>2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4">
        <f t="shared" si="1"/>
        <v>98</v>
      </c>
      <c r="Q85" s="4"/>
      <c r="R85" s="4">
        <v>50</v>
      </c>
      <c r="S85" s="4">
        <v>200</v>
      </c>
      <c r="T85" s="4"/>
    </row>
    <row r="86" spans="1:20" ht="15.75" customHeight="1" x14ac:dyDescent="0.25">
      <c r="A86" s="8">
        <v>83</v>
      </c>
      <c r="D86" s="79" t="s">
        <v>150</v>
      </c>
      <c r="E86" s="80"/>
      <c r="F86" s="81"/>
      <c r="G86" s="82"/>
      <c r="H86" s="4">
        <v>259</v>
      </c>
      <c r="I86" s="8" t="s">
        <v>2</v>
      </c>
      <c r="J86" s="3">
        <v>200</v>
      </c>
      <c r="K86" s="3">
        <v>6</v>
      </c>
      <c r="L86" s="3">
        <v>0</v>
      </c>
      <c r="M86" s="3">
        <v>35</v>
      </c>
      <c r="N86" s="3">
        <v>42</v>
      </c>
      <c r="O86" s="3">
        <v>0</v>
      </c>
      <c r="P86" s="4">
        <f t="shared" si="1"/>
        <v>376</v>
      </c>
      <c r="Q86" s="4"/>
      <c r="R86" s="4">
        <v>50</v>
      </c>
      <c r="S86" s="4">
        <v>300</v>
      </c>
      <c r="T86" s="4"/>
    </row>
    <row r="87" spans="1:20" x14ac:dyDescent="0.25">
      <c r="A87" s="8">
        <v>84</v>
      </c>
      <c r="D87" s="22" t="s">
        <v>160</v>
      </c>
      <c r="E87" s="10"/>
      <c r="F87" s="10"/>
      <c r="G87" s="11"/>
      <c r="H87" s="23">
        <v>827</v>
      </c>
      <c r="I87" s="8" t="s">
        <v>2</v>
      </c>
      <c r="J87" s="3">
        <v>0</v>
      </c>
      <c r="K87" s="3">
        <v>6</v>
      </c>
      <c r="L87" s="3">
        <v>2</v>
      </c>
      <c r="M87" s="3">
        <v>0</v>
      </c>
      <c r="N87" s="3">
        <v>2</v>
      </c>
      <c r="O87" s="3">
        <v>0</v>
      </c>
      <c r="P87" s="4">
        <f t="shared" si="1"/>
        <v>817</v>
      </c>
      <c r="Q87" s="4"/>
      <c r="R87" s="4">
        <v>20</v>
      </c>
      <c r="S87" s="4">
        <v>300</v>
      </c>
      <c r="T87" s="4"/>
    </row>
    <row r="88" spans="1:20" x14ac:dyDescent="0.25">
      <c r="A88" s="8">
        <v>85</v>
      </c>
      <c r="D88" s="49" t="s">
        <v>153</v>
      </c>
      <c r="E88" s="20"/>
      <c r="F88" s="20"/>
      <c r="G88" s="21"/>
      <c r="H88" s="23">
        <v>88</v>
      </c>
      <c r="I88" s="8" t="s">
        <v>2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4">
        <f t="shared" si="1"/>
        <v>88</v>
      </c>
      <c r="Q88" s="4"/>
      <c r="R88" s="4">
        <v>10</v>
      </c>
      <c r="S88" s="4">
        <v>200</v>
      </c>
      <c r="T88" s="4"/>
    </row>
    <row r="89" spans="1:20" x14ac:dyDescent="0.25">
      <c r="A89" s="77">
        <v>86</v>
      </c>
      <c r="D89" s="68" t="s">
        <v>162</v>
      </c>
      <c r="E89" s="27"/>
      <c r="F89" s="27"/>
      <c r="G89" s="28"/>
      <c r="H89" s="74">
        <v>85</v>
      </c>
      <c r="I89" s="75" t="s">
        <v>2</v>
      </c>
      <c r="J89" s="3">
        <v>0</v>
      </c>
      <c r="K89" s="3">
        <v>85</v>
      </c>
      <c r="L89" s="3">
        <v>0</v>
      </c>
      <c r="M89" s="3">
        <v>0</v>
      </c>
      <c r="N89" s="3">
        <v>0</v>
      </c>
      <c r="O89" s="3">
        <v>0</v>
      </c>
      <c r="P89" s="4">
        <f t="shared" si="1"/>
        <v>0</v>
      </c>
      <c r="Q89" s="4"/>
      <c r="R89" s="4">
        <v>10</v>
      </c>
      <c r="S89" s="4">
        <v>50</v>
      </c>
      <c r="T89" s="4"/>
    </row>
  </sheetData>
  <pageMargins left="0.75" right="0.75" top="1" bottom="1" header="0.5" footer="0.5"/>
  <pageSetup paperSize="9"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T89"/>
  <sheetViews>
    <sheetView topLeftCell="A64" workbookViewId="0">
      <selection activeCell="D81" sqref="A81:XFD81"/>
    </sheetView>
  </sheetViews>
  <sheetFormatPr defaultRowHeight="15" x14ac:dyDescent="0.25"/>
  <cols>
    <col min="1" max="1" width="5.5703125" customWidth="1"/>
    <col min="2" max="3" width="9.140625" hidden="1" customWidth="1"/>
    <col min="6" max="6" width="12.7109375" customWidth="1"/>
    <col min="8" max="8" width="10.140625" customWidth="1"/>
    <col min="9" max="9" width="10" customWidth="1"/>
    <col min="10" max="10" width="7.7109375" customWidth="1"/>
    <col min="11" max="11" width="10.7109375" customWidth="1"/>
    <col min="12" max="12" width="10.140625" customWidth="1"/>
    <col min="13" max="13" width="11.85546875" customWidth="1"/>
    <col min="14" max="15" width="11.7109375" customWidth="1"/>
    <col min="16" max="16" width="10.140625" customWidth="1"/>
    <col min="17" max="17" width="4.7109375" customWidth="1"/>
    <col min="18" max="18" width="10.140625" customWidth="1"/>
    <col min="19" max="19" width="11.5703125" customWidth="1"/>
    <col min="20" max="20" width="0.28515625" customWidth="1"/>
  </cols>
  <sheetData>
    <row r="1" spans="1:20" x14ac:dyDescent="0.25">
      <c r="G1" s="1"/>
      <c r="P1">
        <f>+H1+J1-K1-L1-M1-N1-O1</f>
        <v>0</v>
      </c>
    </row>
    <row r="2" spans="1:20" x14ac:dyDescent="0.25">
      <c r="A2" t="s">
        <v>14</v>
      </c>
      <c r="D2" s="78">
        <v>45597</v>
      </c>
      <c r="O2" s="38" t="s">
        <v>14</v>
      </c>
      <c r="S2" s="50">
        <v>44837</v>
      </c>
    </row>
    <row r="3" spans="1:20" x14ac:dyDescent="0.25">
      <c r="A3" s="3" t="s">
        <v>15</v>
      </c>
      <c r="D3" s="9" t="s">
        <v>17</v>
      </c>
      <c r="E3" s="10"/>
      <c r="F3" s="10"/>
      <c r="G3" s="11"/>
      <c r="H3" s="12" t="s">
        <v>18</v>
      </c>
      <c r="I3" s="4" t="s">
        <v>19</v>
      </c>
      <c r="J3" s="3" t="s">
        <v>20</v>
      </c>
      <c r="K3" s="5">
        <v>45604</v>
      </c>
      <c r="L3" s="6">
        <v>45611</v>
      </c>
      <c r="M3" s="5">
        <v>45618</v>
      </c>
      <c r="N3" s="5">
        <v>45625</v>
      </c>
      <c r="O3" s="6">
        <v>0</v>
      </c>
      <c r="P3" s="3" t="s">
        <v>21</v>
      </c>
      <c r="R3" s="42" t="s">
        <v>105</v>
      </c>
      <c r="S3" s="45" t="s">
        <v>104</v>
      </c>
      <c r="T3" s="4"/>
    </row>
    <row r="4" spans="1:20" x14ac:dyDescent="0.25">
      <c r="A4" s="7">
        <v>1</v>
      </c>
      <c r="D4" s="13" t="s">
        <v>16</v>
      </c>
      <c r="E4" s="14"/>
      <c r="F4" s="14"/>
      <c r="G4" s="15"/>
      <c r="H4" s="12">
        <v>181</v>
      </c>
      <c r="I4" s="7" t="s">
        <v>1</v>
      </c>
      <c r="J4" s="3">
        <v>95.25</v>
      </c>
      <c r="K4" s="3">
        <v>23</v>
      </c>
      <c r="L4" s="3">
        <v>138</v>
      </c>
      <c r="M4" s="3">
        <v>20</v>
      </c>
      <c r="N4" s="3">
        <v>0</v>
      </c>
      <c r="O4" s="3">
        <v>0</v>
      </c>
      <c r="P4" s="4">
        <f t="shared" ref="P4:P67" si="0">+H4+J4-K4-L4-M4-N4-O4</f>
        <v>95.25</v>
      </c>
      <c r="Q4" t="s">
        <v>173</v>
      </c>
      <c r="R4" s="43">
        <v>100</v>
      </c>
      <c r="S4" s="46">
        <v>500</v>
      </c>
      <c r="T4" s="4" t="s">
        <v>14</v>
      </c>
    </row>
    <row r="5" spans="1:20" x14ac:dyDescent="0.25">
      <c r="A5" s="7">
        <v>2</v>
      </c>
      <c r="D5" s="9" t="s">
        <v>14</v>
      </c>
      <c r="E5" s="10"/>
      <c r="F5" s="10"/>
      <c r="G5" s="11"/>
      <c r="H5" s="12">
        <v>0</v>
      </c>
      <c r="I5" s="7" t="s">
        <v>2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4">
        <f t="shared" si="0"/>
        <v>0</v>
      </c>
      <c r="Q5" s="1" t="s">
        <v>14</v>
      </c>
      <c r="R5" s="44">
        <v>6</v>
      </c>
      <c r="S5" s="47">
        <v>10</v>
      </c>
      <c r="T5" s="4"/>
    </row>
    <row r="6" spans="1:20" x14ac:dyDescent="0.25">
      <c r="A6" s="7">
        <v>3</v>
      </c>
      <c r="D6" s="16" t="s">
        <v>23</v>
      </c>
      <c r="E6" s="17"/>
      <c r="F6" s="17"/>
      <c r="G6" s="18"/>
      <c r="H6" s="12">
        <v>54</v>
      </c>
      <c r="I6" s="7" t="s">
        <v>2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4">
        <f t="shared" si="0"/>
        <v>54</v>
      </c>
      <c r="Q6" s="1" t="s">
        <v>14</v>
      </c>
      <c r="R6" s="44">
        <v>6</v>
      </c>
      <c r="S6" s="47">
        <v>10</v>
      </c>
      <c r="T6" s="4"/>
    </row>
    <row r="7" spans="1:20" x14ac:dyDescent="0.25">
      <c r="A7" s="7">
        <v>4</v>
      </c>
      <c r="D7" s="9" t="s">
        <v>3</v>
      </c>
      <c r="E7" s="10"/>
      <c r="F7" s="10"/>
      <c r="G7" s="11"/>
      <c r="H7" s="12">
        <v>30</v>
      </c>
      <c r="I7" s="7" t="s">
        <v>2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4">
        <f t="shared" si="0"/>
        <v>30</v>
      </c>
      <c r="Q7" s="1" t="s">
        <v>14</v>
      </c>
      <c r="R7" s="44">
        <v>6</v>
      </c>
      <c r="S7" s="47">
        <v>10</v>
      </c>
      <c r="T7" s="4"/>
    </row>
    <row r="8" spans="1:20" x14ac:dyDescent="0.25">
      <c r="A8" s="7">
        <v>5</v>
      </c>
      <c r="D8" s="16" t="s">
        <v>139</v>
      </c>
      <c r="E8" s="17"/>
      <c r="F8" s="17"/>
      <c r="G8" s="18"/>
      <c r="H8" s="12">
        <v>100</v>
      </c>
      <c r="I8" s="7" t="s">
        <v>2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4">
        <f t="shared" si="0"/>
        <v>100</v>
      </c>
      <c r="Q8" s="1" t="s">
        <v>14</v>
      </c>
      <c r="R8" s="44">
        <v>100</v>
      </c>
      <c r="S8" s="47">
        <v>400</v>
      </c>
      <c r="T8" s="4"/>
    </row>
    <row r="9" spans="1:20" x14ac:dyDescent="0.25">
      <c r="A9" s="7">
        <v>6</v>
      </c>
      <c r="D9" s="9" t="s">
        <v>24</v>
      </c>
      <c r="E9" s="10"/>
      <c r="F9" s="10"/>
      <c r="G9" s="11"/>
      <c r="H9" s="12">
        <v>148</v>
      </c>
      <c r="I9" s="7" t="s">
        <v>2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4">
        <f t="shared" si="0"/>
        <v>148</v>
      </c>
      <c r="Q9" s="1" t="s">
        <v>14</v>
      </c>
      <c r="R9" s="44">
        <v>60</v>
      </c>
      <c r="S9" s="47">
        <v>200</v>
      </c>
      <c r="T9" s="4"/>
    </row>
    <row r="10" spans="1:20" x14ac:dyDescent="0.25">
      <c r="A10" s="7">
        <v>7</v>
      </c>
      <c r="D10" s="16" t="s">
        <v>101</v>
      </c>
      <c r="E10" s="17"/>
      <c r="F10" s="17"/>
      <c r="G10" s="18"/>
      <c r="H10" s="12">
        <v>480</v>
      </c>
      <c r="I10" s="7" t="s">
        <v>2</v>
      </c>
      <c r="J10" s="3">
        <v>0</v>
      </c>
      <c r="K10" s="3">
        <v>0</v>
      </c>
      <c r="L10" s="3">
        <v>20</v>
      </c>
      <c r="M10" s="3">
        <v>20</v>
      </c>
      <c r="N10" s="3">
        <v>0</v>
      </c>
      <c r="O10" s="3">
        <v>0</v>
      </c>
      <c r="P10" s="4">
        <f t="shared" si="0"/>
        <v>440</v>
      </c>
      <c r="Q10" s="1" t="s">
        <v>14</v>
      </c>
      <c r="R10" s="44">
        <v>200</v>
      </c>
      <c r="S10" s="47">
        <v>500</v>
      </c>
      <c r="T10" s="4"/>
    </row>
    <row r="11" spans="1:20" x14ac:dyDescent="0.25">
      <c r="A11" s="7">
        <v>8</v>
      </c>
      <c r="D11" s="9" t="s">
        <v>25</v>
      </c>
      <c r="E11" s="10"/>
      <c r="F11" s="10"/>
      <c r="G11" s="11"/>
      <c r="H11" s="12">
        <v>293</v>
      </c>
      <c r="I11" s="7" t="s">
        <v>2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4">
        <f t="shared" si="0"/>
        <v>293</v>
      </c>
      <c r="Q11" s="1" t="s">
        <v>14</v>
      </c>
      <c r="R11" s="44">
        <v>50</v>
      </c>
      <c r="S11" s="47">
        <v>300</v>
      </c>
      <c r="T11" s="4"/>
    </row>
    <row r="12" spans="1:20" x14ac:dyDescent="0.25">
      <c r="A12" s="7">
        <v>9</v>
      </c>
      <c r="D12" s="16" t="s">
        <v>174</v>
      </c>
      <c r="E12" s="17"/>
      <c r="F12" s="17"/>
      <c r="G12" s="18"/>
      <c r="H12" s="12">
        <v>0</v>
      </c>
      <c r="I12" s="7" t="s">
        <v>2</v>
      </c>
      <c r="J12" s="3">
        <v>40</v>
      </c>
      <c r="K12" s="3">
        <v>6</v>
      </c>
      <c r="L12" s="3">
        <v>0</v>
      </c>
      <c r="M12" s="3">
        <v>0</v>
      </c>
      <c r="N12" s="3">
        <v>0</v>
      </c>
      <c r="O12" s="3">
        <v>0</v>
      </c>
      <c r="P12" s="4">
        <f t="shared" si="0"/>
        <v>34</v>
      </c>
      <c r="Q12" s="1" t="s">
        <v>14</v>
      </c>
      <c r="R12" s="44">
        <v>200</v>
      </c>
      <c r="S12" s="47">
        <v>400</v>
      </c>
      <c r="T12" s="4"/>
    </row>
    <row r="13" spans="1:20" x14ac:dyDescent="0.25">
      <c r="A13" s="7">
        <v>10</v>
      </c>
      <c r="D13" s="9" t="s">
        <v>6</v>
      </c>
      <c r="E13" s="10"/>
      <c r="F13" s="10"/>
      <c r="G13" s="11"/>
      <c r="H13" s="12">
        <v>46</v>
      </c>
      <c r="I13" s="7" t="s">
        <v>2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4">
        <f t="shared" si="0"/>
        <v>46</v>
      </c>
      <c r="Q13" s="1" t="s">
        <v>14</v>
      </c>
      <c r="R13" s="44">
        <v>10</v>
      </c>
      <c r="S13" s="46">
        <v>100</v>
      </c>
      <c r="T13" s="4"/>
    </row>
    <row r="14" spans="1:20" x14ac:dyDescent="0.25">
      <c r="A14" s="7">
        <v>11</v>
      </c>
      <c r="D14" s="16" t="s">
        <v>7</v>
      </c>
      <c r="E14" s="17"/>
      <c r="F14" s="17"/>
      <c r="G14" s="18"/>
      <c r="H14" s="12">
        <v>6</v>
      </c>
      <c r="I14" s="7" t="s">
        <v>171</v>
      </c>
      <c r="J14" s="3">
        <v>0</v>
      </c>
      <c r="K14" s="3">
        <v>0</v>
      </c>
      <c r="L14" s="3">
        <v>1</v>
      </c>
      <c r="M14" s="3">
        <v>0</v>
      </c>
      <c r="N14" s="3">
        <v>0</v>
      </c>
      <c r="O14" s="3">
        <v>0</v>
      </c>
      <c r="P14" s="4">
        <f t="shared" si="0"/>
        <v>5</v>
      </c>
      <c r="Q14" s="1" t="s">
        <v>14</v>
      </c>
      <c r="R14" s="44">
        <v>20</v>
      </c>
      <c r="S14" s="47">
        <v>50</v>
      </c>
      <c r="T14" s="4"/>
    </row>
    <row r="15" spans="1:20" x14ac:dyDescent="0.25">
      <c r="A15" s="7">
        <v>12</v>
      </c>
      <c r="D15" s="9" t="s">
        <v>69</v>
      </c>
      <c r="E15" s="10"/>
      <c r="F15" s="10"/>
      <c r="G15" s="11"/>
      <c r="H15" s="12">
        <v>11</v>
      </c>
      <c r="I15" s="7" t="s">
        <v>171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4">
        <f t="shared" si="0"/>
        <v>11</v>
      </c>
      <c r="Q15" s="1" t="s">
        <v>14</v>
      </c>
      <c r="R15" s="44">
        <v>100</v>
      </c>
      <c r="S15" s="47">
        <v>200</v>
      </c>
      <c r="T15" s="4"/>
    </row>
    <row r="16" spans="1:20" x14ac:dyDescent="0.25">
      <c r="A16" s="7">
        <v>13</v>
      </c>
      <c r="D16" s="16" t="s">
        <v>27</v>
      </c>
      <c r="E16" s="17"/>
      <c r="F16" s="17"/>
      <c r="G16" s="18"/>
      <c r="H16" s="12">
        <v>0</v>
      </c>
      <c r="I16" s="7" t="s">
        <v>2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4">
        <f t="shared" si="0"/>
        <v>0</v>
      </c>
      <c r="Q16" s="1" t="s">
        <v>14</v>
      </c>
      <c r="R16" s="44">
        <v>0</v>
      </c>
      <c r="S16" s="46"/>
      <c r="T16" s="4"/>
    </row>
    <row r="17" spans="1:20" x14ac:dyDescent="0.25">
      <c r="A17" s="7">
        <v>14</v>
      </c>
      <c r="D17" s="9" t="s">
        <v>73</v>
      </c>
      <c r="E17" s="10"/>
      <c r="F17" s="10"/>
      <c r="G17" s="11"/>
      <c r="H17" s="12">
        <v>781</v>
      </c>
      <c r="I17" s="7" t="s">
        <v>2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4">
        <f t="shared" si="0"/>
        <v>781</v>
      </c>
      <c r="Q17" s="1" t="s">
        <v>14</v>
      </c>
      <c r="R17" s="44">
        <v>0</v>
      </c>
      <c r="S17" s="46"/>
      <c r="T17" s="4"/>
    </row>
    <row r="18" spans="1:20" x14ac:dyDescent="0.25">
      <c r="A18" s="7">
        <v>15</v>
      </c>
      <c r="D18" s="16" t="s">
        <v>28</v>
      </c>
      <c r="E18" s="17"/>
      <c r="F18" s="17"/>
      <c r="G18" s="18"/>
      <c r="H18" s="12">
        <v>9</v>
      </c>
      <c r="I18" s="7" t="s">
        <v>2</v>
      </c>
      <c r="J18" s="3">
        <v>200</v>
      </c>
      <c r="K18" s="3">
        <v>0</v>
      </c>
      <c r="L18" s="3">
        <v>54</v>
      </c>
      <c r="M18" s="3">
        <v>50</v>
      </c>
      <c r="N18" s="3">
        <v>50</v>
      </c>
      <c r="O18" s="3">
        <v>0</v>
      </c>
      <c r="P18" s="4">
        <f t="shared" si="0"/>
        <v>55</v>
      </c>
      <c r="Q18" s="1" t="s">
        <v>14</v>
      </c>
      <c r="R18" s="44">
        <v>20</v>
      </c>
      <c r="S18" s="47">
        <v>50</v>
      </c>
      <c r="T18" s="4"/>
    </row>
    <row r="19" spans="1:20" x14ac:dyDescent="0.25">
      <c r="A19" s="7">
        <v>16</v>
      </c>
      <c r="D19" s="9" t="s">
        <v>29</v>
      </c>
      <c r="E19" s="10"/>
      <c r="F19" s="10"/>
      <c r="G19" s="11"/>
      <c r="H19" s="12">
        <v>12</v>
      </c>
      <c r="I19" s="7" t="s">
        <v>2</v>
      </c>
      <c r="J19" s="3">
        <v>200</v>
      </c>
      <c r="K19" s="3">
        <v>0</v>
      </c>
      <c r="L19" s="3">
        <v>54</v>
      </c>
      <c r="M19" s="3">
        <v>50</v>
      </c>
      <c r="N19" s="3">
        <v>50</v>
      </c>
      <c r="O19" s="3">
        <v>0</v>
      </c>
      <c r="P19" s="4">
        <f t="shared" si="0"/>
        <v>58</v>
      </c>
      <c r="Q19" s="1" t="s">
        <v>14</v>
      </c>
      <c r="R19" s="44">
        <v>20</v>
      </c>
      <c r="S19" s="47">
        <v>50</v>
      </c>
      <c r="T19" s="4"/>
    </row>
    <row r="20" spans="1:20" x14ac:dyDescent="0.25">
      <c r="A20" s="7">
        <v>17</v>
      </c>
      <c r="D20" s="16" t="s">
        <v>30</v>
      </c>
      <c r="E20" s="17"/>
      <c r="F20" s="17"/>
      <c r="G20" s="18"/>
      <c r="H20" s="12">
        <v>150</v>
      </c>
      <c r="I20" s="7" t="s">
        <v>2</v>
      </c>
      <c r="J20" s="3">
        <v>400</v>
      </c>
      <c r="K20" s="3">
        <v>0</v>
      </c>
      <c r="L20" s="3">
        <v>54</v>
      </c>
      <c r="M20" s="3">
        <v>50</v>
      </c>
      <c r="N20" s="3">
        <v>50</v>
      </c>
      <c r="O20" s="3">
        <v>0</v>
      </c>
      <c r="P20" s="4">
        <f t="shared" si="0"/>
        <v>396</v>
      </c>
      <c r="Q20" s="1" t="s">
        <v>14</v>
      </c>
      <c r="R20" s="44">
        <v>20</v>
      </c>
      <c r="S20" s="47">
        <v>50</v>
      </c>
      <c r="T20" s="4"/>
    </row>
    <row r="21" spans="1:20" x14ac:dyDescent="0.25">
      <c r="A21" s="7">
        <v>18</v>
      </c>
      <c r="D21" s="9" t="s">
        <v>129</v>
      </c>
      <c r="E21" s="10"/>
      <c r="F21" s="10"/>
      <c r="G21" s="11"/>
      <c r="H21" s="12">
        <v>7</v>
      </c>
      <c r="I21" s="7" t="s">
        <v>2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4">
        <f t="shared" si="0"/>
        <v>7</v>
      </c>
      <c r="Q21" s="1" t="s">
        <v>14</v>
      </c>
      <c r="R21" s="44">
        <v>10</v>
      </c>
      <c r="S21" s="46">
        <v>50</v>
      </c>
      <c r="T21" s="4"/>
    </row>
    <row r="22" spans="1:20" x14ac:dyDescent="0.25">
      <c r="A22" s="7">
        <v>19</v>
      </c>
      <c r="D22" s="55" t="s">
        <v>164</v>
      </c>
      <c r="E22" s="56"/>
      <c r="F22" s="56"/>
      <c r="G22" s="57"/>
      <c r="H22" s="12">
        <v>450</v>
      </c>
      <c r="I22" s="59" t="s">
        <v>1</v>
      </c>
      <c r="J22" s="3">
        <v>0</v>
      </c>
      <c r="K22" s="3">
        <v>40</v>
      </c>
      <c r="L22" s="3">
        <v>20</v>
      </c>
      <c r="M22" s="3">
        <v>50</v>
      </c>
      <c r="N22" s="3">
        <v>50</v>
      </c>
      <c r="O22" s="3">
        <v>0</v>
      </c>
      <c r="P22" s="46">
        <f t="shared" si="0"/>
        <v>290</v>
      </c>
      <c r="Q22" s="1" t="s">
        <v>14</v>
      </c>
      <c r="R22" s="44">
        <v>50</v>
      </c>
      <c r="S22" s="47">
        <v>200</v>
      </c>
      <c r="T22" s="4"/>
    </row>
    <row r="23" spans="1:20" x14ac:dyDescent="0.25">
      <c r="A23" s="7">
        <v>20</v>
      </c>
      <c r="D23" s="9" t="s">
        <v>32</v>
      </c>
      <c r="E23" s="10"/>
      <c r="F23" s="10"/>
      <c r="G23" s="11"/>
      <c r="H23" s="12">
        <v>850</v>
      </c>
      <c r="I23" s="7" t="s">
        <v>2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4">
        <f t="shared" si="0"/>
        <v>850</v>
      </c>
      <c r="Q23" s="1" t="s">
        <v>14</v>
      </c>
      <c r="R23" s="44">
        <v>50</v>
      </c>
      <c r="S23" s="46">
        <v>200</v>
      </c>
      <c r="T23" s="4"/>
    </row>
    <row r="24" spans="1:20" x14ac:dyDescent="0.25">
      <c r="A24" s="7">
        <v>21</v>
      </c>
      <c r="D24" s="16" t="s">
        <v>140</v>
      </c>
      <c r="E24" s="17"/>
      <c r="F24" s="17"/>
      <c r="G24" s="18"/>
      <c r="H24" s="12">
        <v>102</v>
      </c>
      <c r="I24" s="7" t="s">
        <v>2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4">
        <f t="shared" si="0"/>
        <v>102</v>
      </c>
      <c r="Q24" s="1" t="s">
        <v>14</v>
      </c>
      <c r="R24" s="44">
        <v>10</v>
      </c>
      <c r="S24" s="46">
        <v>100</v>
      </c>
      <c r="T24" s="4"/>
    </row>
    <row r="25" spans="1:20" x14ac:dyDescent="0.25">
      <c r="A25" s="7">
        <v>22</v>
      </c>
      <c r="D25" s="9" t="s">
        <v>34</v>
      </c>
      <c r="E25" s="10"/>
      <c r="F25" s="10"/>
      <c r="G25" s="11"/>
      <c r="H25" s="12">
        <v>4</v>
      </c>
      <c r="I25" s="7" t="s">
        <v>2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4">
        <f t="shared" si="0"/>
        <v>4</v>
      </c>
      <c r="Q25" s="1" t="s">
        <v>14</v>
      </c>
      <c r="R25" s="44">
        <v>10</v>
      </c>
      <c r="S25" s="46">
        <v>50</v>
      </c>
      <c r="T25" s="4"/>
    </row>
    <row r="26" spans="1:20" x14ac:dyDescent="0.25">
      <c r="A26" s="7">
        <v>23</v>
      </c>
      <c r="D26" s="16" t="s">
        <v>142</v>
      </c>
      <c r="E26" s="17"/>
      <c r="F26" s="17"/>
      <c r="G26" s="18"/>
      <c r="H26" s="12">
        <v>44</v>
      </c>
      <c r="I26" s="7" t="s">
        <v>2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4">
        <f t="shared" si="0"/>
        <v>44</v>
      </c>
      <c r="Q26" s="1" t="s">
        <v>14</v>
      </c>
      <c r="R26" s="44">
        <v>20</v>
      </c>
      <c r="S26" s="47">
        <v>50</v>
      </c>
      <c r="T26" s="4"/>
    </row>
    <row r="27" spans="1:20" x14ac:dyDescent="0.25">
      <c r="A27" s="7">
        <v>24</v>
      </c>
      <c r="D27" s="9" t="s">
        <v>141</v>
      </c>
      <c r="E27" s="10"/>
      <c r="F27" s="10"/>
      <c r="G27" s="11"/>
      <c r="H27" s="12">
        <v>0</v>
      </c>
      <c r="I27" s="7" t="s">
        <v>2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  <c r="P27" s="4">
        <f t="shared" si="0"/>
        <v>0</v>
      </c>
      <c r="Q27" s="1"/>
      <c r="R27" s="44">
        <v>20</v>
      </c>
      <c r="S27" s="47">
        <v>50</v>
      </c>
      <c r="T27" s="4"/>
    </row>
    <row r="28" spans="1:20" x14ac:dyDescent="0.25">
      <c r="A28" s="7">
        <v>25</v>
      </c>
      <c r="D28" s="9" t="s">
        <v>137</v>
      </c>
      <c r="E28" s="10"/>
      <c r="F28" s="10"/>
      <c r="G28" s="11"/>
      <c r="H28" s="12">
        <v>83</v>
      </c>
      <c r="I28" s="7" t="s">
        <v>2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4">
        <f t="shared" si="0"/>
        <v>83</v>
      </c>
      <c r="Q28" s="1" t="s">
        <v>14</v>
      </c>
      <c r="R28" s="44">
        <v>20</v>
      </c>
      <c r="S28" s="47">
        <v>50</v>
      </c>
      <c r="T28" s="4"/>
    </row>
    <row r="29" spans="1:20" x14ac:dyDescent="0.25">
      <c r="A29" s="7">
        <v>26</v>
      </c>
      <c r="D29" s="9" t="s">
        <v>138</v>
      </c>
      <c r="E29" s="10"/>
      <c r="F29" s="10"/>
      <c r="G29" s="11"/>
      <c r="H29" s="12">
        <v>123</v>
      </c>
      <c r="I29" s="7" t="s">
        <v>2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4">
        <f t="shared" si="0"/>
        <v>123</v>
      </c>
      <c r="Q29" s="1"/>
      <c r="R29" s="44">
        <v>10</v>
      </c>
      <c r="S29" s="47">
        <v>50</v>
      </c>
      <c r="T29" s="4"/>
    </row>
    <row r="30" spans="1:20" x14ac:dyDescent="0.25">
      <c r="A30" s="7">
        <v>27</v>
      </c>
      <c r="D30" s="16" t="s">
        <v>35</v>
      </c>
      <c r="E30" s="17"/>
      <c r="F30" s="17"/>
      <c r="G30" s="18"/>
      <c r="H30" s="12">
        <v>263</v>
      </c>
      <c r="I30" s="7" t="s">
        <v>2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4">
        <f t="shared" si="0"/>
        <v>263</v>
      </c>
      <c r="Q30" s="1" t="s">
        <v>14</v>
      </c>
      <c r="R30" s="44">
        <v>50</v>
      </c>
      <c r="S30" s="47">
        <v>100</v>
      </c>
      <c r="T30" s="4"/>
    </row>
    <row r="31" spans="1:20" x14ac:dyDescent="0.25">
      <c r="A31" s="7">
        <v>28</v>
      </c>
      <c r="D31" s="9" t="s">
        <v>36</v>
      </c>
      <c r="E31" s="10"/>
      <c r="F31" s="10"/>
      <c r="G31" s="11"/>
      <c r="H31" s="12">
        <v>18</v>
      </c>
      <c r="I31" s="7" t="s">
        <v>2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4">
        <f t="shared" si="0"/>
        <v>18</v>
      </c>
      <c r="Q31" s="1" t="s">
        <v>14</v>
      </c>
      <c r="R31" s="44">
        <v>50</v>
      </c>
      <c r="S31" s="47">
        <v>100</v>
      </c>
      <c r="T31" s="4"/>
    </row>
    <row r="32" spans="1:20" x14ac:dyDescent="0.25">
      <c r="A32" s="7">
        <v>29</v>
      </c>
      <c r="D32" s="16" t="s">
        <v>37</v>
      </c>
      <c r="E32" s="17"/>
      <c r="F32" s="17"/>
      <c r="G32" s="18"/>
      <c r="H32" s="12">
        <v>178</v>
      </c>
      <c r="I32" s="7" t="s">
        <v>2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4">
        <f t="shared" si="0"/>
        <v>178</v>
      </c>
      <c r="Q32" s="1" t="s">
        <v>14</v>
      </c>
      <c r="R32" s="44">
        <v>20</v>
      </c>
      <c r="S32" s="47">
        <v>50</v>
      </c>
      <c r="T32" s="4"/>
    </row>
    <row r="33" spans="1:20" x14ac:dyDescent="0.25">
      <c r="A33" s="7">
        <v>30</v>
      </c>
      <c r="D33" s="9" t="s">
        <v>38</v>
      </c>
      <c r="E33" s="10"/>
      <c r="F33" s="10"/>
      <c r="G33" s="11"/>
      <c r="H33" s="12">
        <v>81</v>
      </c>
      <c r="I33" s="7" t="s">
        <v>2</v>
      </c>
      <c r="J33" s="3">
        <v>0</v>
      </c>
      <c r="K33" s="3">
        <v>0</v>
      </c>
      <c r="L33" s="3">
        <v>0</v>
      </c>
      <c r="M33" s="3">
        <v>0</v>
      </c>
      <c r="N33" s="3">
        <v>33</v>
      </c>
      <c r="O33" s="3">
        <v>0</v>
      </c>
      <c r="P33" s="4">
        <f t="shared" si="0"/>
        <v>48</v>
      </c>
      <c r="Q33" s="1" t="s">
        <v>14</v>
      </c>
      <c r="R33" s="44">
        <v>50</v>
      </c>
      <c r="S33" s="47">
        <v>100</v>
      </c>
      <c r="T33" s="4"/>
    </row>
    <row r="34" spans="1:20" x14ac:dyDescent="0.25">
      <c r="A34" s="7">
        <v>31</v>
      </c>
      <c r="D34" s="16" t="s">
        <v>39</v>
      </c>
      <c r="E34" s="17"/>
      <c r="F34" s="17"/>
      <c r="G34" s="18"/>
      <c r="H34" s="12">
        <v>51</v>
      </c>
      <c r="I34" s="7" t="s">
        <v>2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4">
        <f t="shared" si="0"/>
        <v>51</v>
      </c>
      <c r="Q34" s="1" t="s">
        <v>14</v>
      </c>
      <c r="R34" s="44">
        <v>20</v>
      </c>
      <c r="S34" s="47">
        <v>50</v>
      </c>
      <c r="T34" s="4"/>
    </row>
    <row r="35" spans="1:20" x14ac:dyDescent="0.25">
      <c r="A35" s="7">
        <v>32</v>
      </c>
      <c r="D35" s="9" t="s">
        <v>40</v>
      </c>
      <c r="E35" s="10"/>
      <c r="F35" s="10"/>
      <c r="G35" s="11"/>
      <c r="H35" s="12">
        <f>'ARALIK 3 HAFTA '!P33</f>
        <v>1075</v>
      </c>
      <c r="I35" s="7" t="s">
        <v>2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4">
        <f t="shared" si="0"/>
        <v>1075</v>
      </c>
      <c r="Q35" s="1" t="s">
        <v>14</v>
      </c>
      <c r="R35" s="44">
        <v>100</v>
      </c>
      <c r="S35" s="46">
        <v>300</v>
      </c>
      <c r="T35" s="4"/>
    </row>
    <row r="36" spans="1:20" x14ac:dyDescent="0.25">
      <c r="A36" s="7">
        <v>33</v>
      </c>
      <c r="D36" s="9" t="s">
        <v>9</v>
      </c>
      <c r="E36" s="10"/>
      <c r="F36" s="10"/>
      <c r="G36" s="11"/>
      <c r="H36" s="83">
        <v>93</v>
      </c>
      <c r="I36" s="7" t="s">
        <v>132</v>
      </c>
      <c r="J36" s="3">
        <v>0</v>
      </c>
      <c r="K36" s="3">
        <v>22</v>
      </c>
      <c r="L36" s="3">
        <v>2</v>
      </c>
      <c r="M36" s="3">
        <v>50</v>
      </c>
      <c r="N36" s="3">
        <v>8</v>
      </c>
      <c r="O36" s="3">
        <v>0</v>
      </c>
      <c r="P36" s="4">
        <f t="shared" si="0"/>
        <v>11</v>
      </c>
      <c r="Q36" s="1" t="s">
        <v>14</v>
      </c>
      <c r="R36" s="44">
        <v>50</v>
      </c>
      <c r="S36" s="47">
        <v>100</v>
      </c>
      <c r="T36" s="4"/>
    </row>
    <row r="37" spans="1:20" x14ac:dyDescent="0.25">
      <c r="A37" s="7">
        <v>34</v>
      </c>
      <c r="D37" s="19" t="s">
        <v>166</v>
      </c>
      <c r="E37" s="20"/>
      <c r="F37" s="20"/>
      <c r="G37" s="21"/>
      <c r="H37" s="69">
        <v>50</v>
      </c>
      <c r="I37" s="7" t="s">
        <v>2</v>
      </c>
      <c r="J37" s="3">
        <v>0</v>
      </c>
      <c r="K37" s="3">
        <v>0</v>
      </c>
      <c r="L37" s="3">
        <v>0</v>
      </c>
      <c r="M37" s="3">
        <v>0</v>
      </c>
      <c r="N37" s="3">
        <v>8</v>
      </c>
      <c r="O37" s="3">
        <v>0</v>
      </c>
      <c r="P37" s="4">
        <f t="shared" si="0"/>
        <v>42</v>
      </c>
      <c r="Q37" s="1" t="s">
        <v>14</v>
      </c>
      <c r="R37" s="44">
        <v>50</v>
      </c>
      <c r="S37" s="46">
        <v>200</v>
      </c>
      <c r="T37" s="4"/>
    </row>
    <row r="38" spans="1:20" x14ac:dyDescent="0.25">
      <c r="A38" s="7">
        <v>35</v>
      </c>
      <c r="D38" s="16" t="s">
        <v>143</v>
      </c>
      <c r="E38" s="17"/>
      <c r="F38" s="17"/>
      <c r="G38" s="18"/>
      <c r="H38" s="12">
        <v>52</v>
      </c>
      <c r="I38" s="7" t="s">
        <v>2</v>
      </c>
      <c r="J38" s="3">
        <v>0</v>
      </c>
      <c r="K38" s="3">
        <v>22</v>
      </c>
      <c r="L38" s="3">
        <v>2</v>
      </c>
      <c r="M38" s="3">
        <v>0</v>
      </c>
      <c r="N38" s="3">
        <v>8</v>
      </c>
      <c r="O38" s="3">
        <v>0</v>
      </c>
      <c r="P38" s="4">
        <f t="shared" si="0"/>
        <v>20</v>
      </c>
      <c r="Q38" s="1" t="s">
        <v>14</v>
      </c>
      <c r="R38" s="44">
        <v>50</v>
      </c>
      <c r="S38" s="46">
        <v>100</v>
      </c>
      <c r="T38" s="4"/>
    </row>
    <row r="39" spans="1:20" x14ac:dyDescent="0.25">
      <c r="A39" s="7">
        <v>36</v>
      </c>
      <c r="D39" s="9" t="s">
        <v>144</v>
      </c>
      <c r="E39" s="10"/>
      <c r="F39" s="10"/>
      <c r="G39" s="11"/>
      <c r="H39" s="12">
        <v>57</v>
      </c>
      <c r="I39" s="7" t="s">
        <v>2</v>
      </c>
      <c r="J39" s="3">
        <v>0</v>
      </c>
      <c r="K39" s="3">
        <v>22</v>
      </c>
      <c r="L39" s="3">
        <v>2</v>
      </c>
      <c r="M39" s="3">
        <v>0</v>
      </c>
      <c r="N39" s="3">
        <v>8</v>
      </c>
      <c r="O39" s="3">
        <v>0</v>
      </c>
      <c r="P39" s="4">
        <f t="shared" si="0"/>
        <v>25</v>
      </c>
      <c r="Q39" s="1" t="s">
        <v>14</v>
      </c>
      <c r="R39" s="44">
        <v>50</v>
      </c>
      <c r="S39" s="47">
        <v>100</v>
      </c>
      <c r="T39" s="4"/>
    </row>
    <row r="40" spans="1:20" x14ac:dyDescent="0.25">
      <c r="A40" s="7">
        <v>37</v>
      </c>
      <c r="D40" s="16" t="s">
        <v>42</v>
      </c>
      <c r="E40" s="17"/>
      <c r="F40" s="17"/>
      <c r="G40" s="18"/>
      <c r="H40" s="12">
        <v>47</v>
      </c>
      <c r="I40" s="7" t="s">
        <v>2</v>
      </c>
      <c r="J40" s="3">
        <v>0</v>
      </c>
      <c r="K40" s="3">
        <v>22</v>
      </c>
      <c r="L40" s="3">
        <v>2</v>
      </c>
      <c r="M40" s="3">
        <v>0</v>
      </c>
      <c r="N40" s="3">
        <v>8</v>
      </c>
      <c r="O40" s="3">
        <v>0</v>
      </c>
      <c r="P40" s="4">
        <f t="shared" si="0"/>
        <v>15</v>
      </c>
      <c r="Q40" s="1" t="s">
        <v>14</v>
      </c>
      <c r="R40" s="44">
        <v>50</v>
      </c>
      <c r="S40" s="47">
        <v>100</v>
      </c>
      <c r="T40" s="4"/>
    </row>
    <row r="41" spans="1:20" x14ac:dyDescent="0.25">
      <c r="A41" s="7">
        <v>38</v>
      </c>
      <c r="D41" s="9" t="s">
        <v>133</v>
      </c>
      <c r="E41" s="10"/>
      <c r="F41" s="10"/>
      <c r="G41" s="11"/>
      <c r="H41" s="12">
        <v>54</v>
      </c>
      <c r="I41" s="7" t="s">
        <v>2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4">
        <f t="shared" si="0"/>
        <v>54</v>
      </c>
      <c r="Q41" s="1" t="s">
        <v>14</v>
      </c>
      <c r="R41" s="44">
        <v>20</v>
      </c>
      <c r="S41" s="47">
        <v>50</v>
      </c>
      <c r="T41" s="4"/>
    </row>
    <row r="42" spans="1:20" x14ac:dyDescent="0.25">
      <c r="A42" s="7">
        <v>39</v>
      </c>
      <c r="D42" s="16" t="s">
        <v>145</v>
      </c>
      <c r="E42" s="17"/>
      <c r="F42" s="17"/>
      <c r="G42" s="18"/>
      <c r="H42" s="12">
        <v>54</v>
      </c>
      <c r="I42" s="7" t="s">
        <v>2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4">
        <f t="shared" si="0"/>
        <v>54</v>
      </c>
      <c r="Q42" s="1" t="s">
        <v>14</v>
      </c>
      <c r="R42" s="44">
        <v>20</v>
      </c>
      <c r="S42" s="46">
        <v>50</v>
      </c>
      <c r="T42" s="4"/>
    </row>
    <row r="43" spans="1:20" x14ac:dyDescent="0.25">
      <c r="A43" s="7">
        <v>40</v>
      </c>
      <c r="D43" s="9" t="s">
        <v>71</v>
      </c>
      <c r="E43" s="10"/>
      <c r="F43" s="10"/>
      <c r="G43" s="11"/>
      <c r="H43" s="12">
        <v>0</v>
      </c>
      <c r="I43" s="7" t="s">
        <v>2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4">
        <f t="shared" si="0"/>
        <v>0</v>
      </c>
      <c r="Q43" s="1" t="s">
        <v>14</v>
      </c>
      <c r="R43" s="44">
        <v>5</v>
      </c>
      <c r="S43" s="47">
        <v>10</v>
      </c>
      <c r="T43" s="4"/>
    </row>
    <row r="44" spans="1:20" x14ac:dyDescent="0.25">
      <c r="A44" s="7">
        <v>41</v>
      </c>
      <c r="D44" s="16" t="s">
        <v>10</v>
      </c>
      <c r="E44" s="17"/>
      <c r="F44" s="17"/>
      <c r="G44" s="18"/>
      <c r="H44" s="12">
        <v>101</v>
      </c>
      <c r="I44" s="7" t="s">
        <v>2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4">
        <f t="shared" si="0"/>
        <v>101</v>
      </c>
      <c r="Q44" s="1" t="s">
        <v>14</v>
      </c>
      <c r="R44" s="44">
        <v>40</v>
      </c>
      <c r="S44" s="47">
        <v>100</v>
      </c>
      <c r="T44" s="4"/>
    </row>
    <row r="45" spans="1:20" x14ac:dyDescent="0.25">
      <c r="A45" s="7">
        <v>42</v>
      </c>
      <c r="D45" s="9" t="s">
        <v>45</v>
      </c>
      <c r="E45" s="10"/>
      <c r="F45" s="10"/>
      <c r="G45" s="11"/>
      <c r="H45" s="12">
        <v>36</v>
      </c>
      <c r="I45" s="7" t="s">
        <v>2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4">
        <f t="shared" si="0"/>
        <v>36</v>
      </c>
      <c r="Q45" s="1" t="s">
        <v>14</v>
      </c>
      <c r="R45" s="44">
        <v>20</v>
      </c>
      <c r="S45" s="47">
        <v>50</v>
      </c>
      <c r="T45" s="4"/>
    </row>
    <row r="46" spans="1:20" x14ac:dyDescent="0.25">
      <c r="A46" s="7">
        <v>43</v>
      </c>
      <c r="D46" s="16" t="s">
        <v>46</v>
      </c>
      <c r="E46" s="17"/>
      <c r="F46" s="17"/>
      <c r="G46" s="18"/>
      <c r="H46" s="12">
        <v>27</v>
      </c>
      <c r="I46" s="7" t="s">
        <v>2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4">
        <f t="shared" si="0"/>
        <v>27</v>
      </c>
      <c r="Q46" s="1" t="s">
        <v>14</v>
      </c>
      <c r="R46" s="44">
        <v>20</v>
      </c>
      <c r="S46" s="47">
        <v>50</v>
      </c>
      <c r="T46" s="4"/>
    </row>
    <row r="47" spans="1:20" x14ac:dyDescent="0.25">
      <c r="A47" s="7">
        <v>44</v>
      </c>
      <c r="D47" s="9" t="s">
        <v>47</v>
      </c>
      <c r="E47" s="10"/>
      <c r="F47" s="10"/>
      <c r="G47" s="11"/>
      <c r="H47" s="12">
        <v>25</v>
      </c>
      <c r="I47" s="7" t="s">
        <v>2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4">
        <f t="shared" si="0"/>
        <v>25</v>
      </c>
      <c r="Q47" s="1" t="s">
        <v>14</v>
      </c>
      <c r="R47" s="44">
        <v>20</v>
      </c>
      <c r="S47" s="47">
        <v>50</v>
      </c>
      <c r="T47" s="4"/>
    </row>
    <row r="48" spans="1:20" x14ac:dyDescent="0.25">
      <c r="A48" s="7">
        <v>45</v>
      </c>
      <c r="D48" s="16" t="s">
        <v>79</v>
      </c>
      <c r="E48" s="17"/>
      <c r="F48" s="17"/>
      <c r="G48" s="18"/>
      <c r="H48" s="12">
        <v>0</v>
      </c>
      <c r="I48" s="7" t="s">
        <v>2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4">
        <f t="shared" si="0"/>
        <v>0</v>
      </c>
      <c r="Q48" s="1" t="s">
        <v>14</v>
      </c>
      <c r="R48" s="44">
        <v>10</v>
      </c>
      <c r="S48" s="47">
        <v>20</v>
      </c>
      <c r="T48" s="4"/>
    </row>
    <row r="49" spans="1:20" x14ac:dyDescent="0.25">
      <c r="A49" s="7">
        <v>46</v>
      </c>
      <c r="D49" s="9" t="s">
        <v>48</v>
      </c>
      <c r="E49" s="10"/>
      <c r="F49" s="10"/>
      <c r="G49" s="11"/>
      <c r="H49" s="12">
        <v>49</v>
      </c>
      <c r="I49" s="7" t="s">
        <v>2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4">
        <f t="shared" si="0"/>
        <v>49</v>
      </c>
      <c r="Q49" s="1" t="s">
        <v>14</v>
      </c>
      <c r="R49" s="44">
        <v>10</v>
      </c>
      <c r="S49" s="47">
        <v>20</v>
      </c>
      <c r="T49" s="4" t="s">
        <v>14</v>
      </c>
    </row>
    <row r="50" spans="1:20" x14ac:dyDescent="0.25">
      <c r="A50" s="7">
        <v>47</v>
      </c>
      <c r="D50" s="16" t="s">
        <v>49</v>
      </c>
      <c r="E50" s="17"/>
      <c r="F50" s="17"/>
      <c r="G50" s="18"/>
      <c r="H50" s="12">
        <v>96</v>
      </c>
      <c r="I50" s="7" t="s">
        <v>2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4">
        <f t="shared" si="0"/>
        <v>96</v>
      </c>
      <c r="Q50" s="1" t="s">
        <v>14</v>
      </c>
      <c r="R50" s="44">
        <v>10</v>
      </c>
      <c r="S50" s="47">
        <v>20</v>
      </c>
      <c r="T50" s="4"/>
    </row>
    <row r="51" spans="1:20" x14ac:dyDescent="0.25">
      <c r="A51" s="7">
        <v>48</v>
      </c>
      <c r="D51" s="9" t="s">
        <v>169</v>
      </c>
      <c r="E51" s="10"/>
      <c r="F51" s="10"/>
      <c r="G51" s="11"/>
      <c r="H51" s="12">
        <v>30</v>
      </c>
      <c r="I51" s="7" t="s">
        <v>1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4">
        <f t="shared" si="0"/>
        <v>30</v>
      </c>
      <c r="Q51" s="1" t="s">
        <v>14</v>
      </c>
      <c r="R51" s="44">
        <v>20</v>
      </c>
      <c r="S51" s="47">
        <v>100</v>
      </c>
      <c r="T51" s="4"/>
    </row>
    <row r="52" spans="1:20" x14ac:dyDescent="0.25">
      <c r="A52" s="7">
        <v>49</v>
      </c>
      <c r="D52" s="88"/>
      <c r="E52" s="89"/>
      <c r="F52" s="90" t="s">
        <v>111</v>
      </c>
      <c r="G52" s="87"/>
      <c r="H52" s="12">
        <v>256</v>
      </c>
      <c r="I52" s="7" t="s">
        <v>2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4">
        <f t="shared" si="0"/>
        <v>256</v>
      </c>
      <c r="Q52" s="1" t="s">
        <v>14</v>
      </c>
      <c r="R52" s="44">
        <v>30</v>
      </c>
      <c r="S52" s="47">
        <v>100</v>
      </c>
      <c r="T52" s="4"/>
    </row>
    <row r="53" spans="1:20" x14ac:dyDescent="0.25">
      <c r="A53" s="7">
        <v>50</v>
      </c>
      <c r="D53" s="9" t="s">
        <v>51</v>
      </c>
      <c r="E53" s="10"/>
      <c r="F53" s="10"/>
      <c r="G53" s="11"/>
      <c r="H53" s="12">
        <v>45</v>
      </c>
      <c r="I53" s="7" t="s">
        <v>2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4">
        <f t="shared" si="0"/>
        <v>45</v>
      </c>
      <c r="Q53" s="1" t="s">
        <v>14</v>
      </c>
      <c r="R53" s="44">
        <v>20</v>
      </c>
      <c r="S53" s="47">
        <v>50</v>
      </c>
      <c r="T53" s="4"/>
    </row>
    <row r="54" spans="1:20" x14ac:dyDescent="0.25">
      <c r="A54" s="7">
        <v>51</v>
      </c>
      <c r="D54" s="16" t="s">
        <v>52</v>
      </c>
      <c r="E54" s="17"/>
      <c r="F54" s="17"/>
      <c r="G54" s="18"/>
      <c r="H54" s="12">
        <v>45</v>
      </c>
      <c r="I54" s="7" t="s">
        <v>2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  <c r="P54" s="4">
        <f t="shared" si="0"/>
        <v>45</v>
      </c>
      <c r="Q54" s="1" t="s">
        <v>14</v>
      </c>
      <c r="R54" s="44">
        <v>20</v>
      </c>
      <c r="S54" s="47">
        <v>50</v>
      </c>
      <c r="T54" s="4" t="s">
        <v>14</v>
      </c>
    </row>
    <row r="55" spans="1:20" x14ac:dyDescent="0.25">
      <c r="A55" s="7">
        <v>52</v>
      </c>
      <c r="D55" s="9" t="s">
        <v>53</v>
      </c>
      <c r="E55" s="10"/>
      <c r="F55" s="10"/>
      <c r="G55" s="11"/>
      <c r="H55" s="12">
        <v>45</v>
      </c>
      <c r="I55" s="7" t="s">
        <v>2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  <c r="P55" s="4">
        <f t="shared" si="0"/>
        <v>45</v>
      </c>
      <c r="Q55" s="1" t="s">
        <v>14</v>
      </c>
      <c r="R55" s="44">
        <v>20</v>
      </c>
      <c r="S55" s="47">
        <v>50</v>
      </c>
      <c r="T55" s="4"/>
    </row>
    <row r="56" spans="1:20" x14ac:dyDescent="0.25">
      <c r="A56" s="7">
        <v>53</v>
      </c>
      <c r="D56" s="70" t="s">
        <v>54</v>
      </c>
      <c r="E56" s="71"/>
      <c r="F56" s="71"/>
      <c r="G56" s="72"/>
      <c r="H56" s="12">
        <v>900</v>
      </c>
      <c r="I56" s="7" t="s">
        <v>1</v>
      </c>
      <c r="J56" s="3">
        <v>0</v>
      </c>
      <c r="K56" s="3">
        <v>90</v>
      </c>
      <c r="L56" s="3">
        <v>126</v>
      </c>
      <c r="M56" s="3">
        <v>90</v>
      </c>
      <c r="N56" s="3">
        <v>120</v>
      </c>
      <c r="O56" s="3">
        <v>0</v>
      </c>
      <c r="P56" s="4">
        <f t="shared" si="0"/>
        <v>474</v>
      </c>
      <c r="Q56" s="1" t="s">
        <v>120</v>
      </c>
      <c r="R56" s="44">
        <v>250</v>
      </c>
      <c r="S56" s="47">
        <v>750</v>
      </c>
      <c r="T56" s="4"/>
    </row>
    <row r="57" spans="1:20" x14ac:dyDescent="0.25">
      <c r="A57" s="7">
        <v>54</v>
      </c>
      <c r="D57" s="16" t="s">
        <v>61</v>
      </c>
      <c r="E57" s="17"/>
      <c r="F57" s="17"/>
      <c r="G57" s="18"/>
      <c r="H57" s="12">
        <v>246</v>
      </c>
      <c r="I57" s="7" t="s">
        <v>2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  <c r="P57" s="4">
        <f t="shared" si="0"/>
        <v>246</v>
      </c>
      <c r="Q57" s="1" t="s">
        <v>14</v>
      </c>
      <c r="R57" s="44">
        <v>10</v>
      </c>
      <c r="S57" s="46">
        <v>200</v>
      </c>
      <c r="T57" s="4"/>
    </row>
    <row r="58" spans="1:20" x14ac:dyDescent="0.25">
      <c r="A58" s="7">
        <v>55</v>
      </c>
      <c r="D58" s="9" t="s">
        <v>62</v>
      </c>
      <c r="E58" s="10"/>
      <c r="F58" s="10"/>
      <c r="G58" s="11"/>
      <c r="H58" s="12">
        <v>1421</v>
      </c>
      <c r="I58" s="7" t="s">
        <v>2</v>
      </c>
      <c r="J58" s="3">
        <v>0</v>
      </c>
      <c r="K58" s="3">
        <v>0</v>
      </c>
      <c r="L58" s="3">
        <v>282</v>
      </c>
      <c r="M58" s="3">
        <v>223</v>
      </c>
      <c r="N58" s="3">
        <v>116</v>
      </c>
      <c r="O58" s="3">
        <v>0</v>
      </c>
      <c r="P58" s="4">
        <f t="shared" si="0"/>
        <v>800</v>
      </c>
      <c r="Q58" s="1" t="s">
        <v>14</v>
      </c>
      <c r="R58" s="44">
        <v>200</v>
      </c>
      <c r="S58" s="47">
        <v>1000</v>
      </c>
      <c r="T58" s="4"/>
    </row>
    <row r="59" spans="1:20" x14ac:dyDescent="0.25">
      <c r="A59" s="7">
        <v>56</v>
      </c>
      <c r="D59" s="16" t="s">
        <v>13</v>
      </c>
      <c r="E59" s="17"/>
      <c r="F59" s="17"/>
      <c r="G59" s="18"/>
      <c r="H59" s="12">
        <v>720</v>
      </c>
      <c r="I59" s="7" t="s">
        <v>2</v>
      </c>
      <c r="J59" s="3">
        <v>0</v>
      </c>
      <c r="K59" s="3">
        <v>26</v>
      </c>
      <c r="L59" s="3">
        <v>29</v>
      </c>
      <c r="M59" s="3">
        <v>214</v>
      </c>
      <c r="N59" s="3">
        <v>16</v>
      </c>
      <c r="O59" s="3">
        <v>0</v>
      </c>
      <c r="P59" s="4">
        <f t="shared" si="0"/>
        <v>435</v>
      </c>
      <c r="Q59" s="1" t="s">
        <v>14</v>
      </c>
      <c r="R59" s="44">
        <v>100</v>
      </c>
      <c r="S59" s="47">
        <v>300</v>
      </c>
      <c r="T59" s="4"/>
    </row>
    <row r="60" spans="1:20" x14ac:dyDescent="0.25">
      <c r="A60" s="7">
        <v>57</v>
      </c>
      <c r="D60" s="9" t="s">
        <v>72</v>
      </c>
      <c r="E60" s="10"/>
      <c r="F60" s="10"/>
      <c r="G60" s="11"/>
      <c r="H60" s="12">
        <v>130</v>
      </c>
      <c r="I60" s="7" t="s">
        <v>2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4">
        <f t="shared" si="0"/>
        <v>130</v>
      </c>
      <c r="Q60" s="1" t="s">
        <v>14</v>
      </c>
      <c r="R60" s="44">
        <v>100</v>
      </c>
      <c r="S60" s="47">
        <v>300</v>
      </c>
      <c r="T60" s="4"/>
    </row>
    <row r="61" spans="1:20" x14ac:dyDescent="0.25">
      <c r="A61" s="7">
        <v>58</v>
      </c>
      <c r="D61" s="16" t="s">
        <v>63</v>
      </c>
      <c r="E61" s="17"/>
      <c r="F61" s="17"/>
      <c r="G61" s="18"/>
      <c r="H61" s="12">
        <v>57</v>
      </c>
      <c r="I61" s="7" t="s">
        <v>2</v>
      </c>
      <c r="J61" s="3">
        <v>0</v>
      </c>
      <c r="K61" s="3">
        <v>13</v>
      </c>
      <c r="L61" s="3">
        <v>13</v>
      </c>
      <c r="M61" s="3">
        <v>0</v>
      </c>
      <c r="N61" s="3">
        <v>0</v>
      </c>
      <c r="O61" s="3">
        <v>0</v>
      </c>
      <c r="P61" s="4">
        <f t="shared" si="0"/>
        <v>31</v>
      </c>
      <c r="Q61" s="1" t="s">
        <v>14</v>
      </c>
      <c r="R61" s="44">
        <v>100</v>
      </c>
      <c r="S61" s="47">
        <v>300</v>
      </c>
      <c r="T61" s="4"/>
    </row>
    <row r="62" spans="1:20" x14ac:dyDescent="0.25">
      <c r="A62" s="7">
        <v>59</v>
      </c>
      <c r="D62" s="9" t="s">
        <v>77</v>
      </c>
      <c r="E62" s="10"/>
      <c r="F62" s="10"/>
      <c r="G62" s="11"/>
      <c r="H62" s="12">
        <v>504</v>
      </c>
      <c r="I62" s="7" t="s">
        <v>2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4">
        <f t="shared" si="0"/>
        <v>504</v>
      </c>
      <c r="Q62" s="1" t="s">
        <v>14</v>
      </c>
      <c r="R62" s="44">
        <v>100</v>
      </c>
      <c r="S62" s="47">
        <v>300</v>
      </c>
      <c r="T62" s="4"/>
    </row>
    <row r="63" spans="1:20" x14ac:dyDescent="0.25">
      <c r="A63" s="7">
        <v>60</v>
      </c>
      <c r="D63" s="16" t="s">
        <v>130</v>
      </c>
      <c r="E63" s="17"/>
      <c r="F63" s="17"/>
      <c r="G63" s="18"/>
      <c r="H63" s="12">
        <v>175</v>
      </c>
      <c r="I63" s="7" t="s">
        <v>2</v>
      </c>
      <c r="J63" s="3">
        <v>0</v>
      </c>
      <c r="K63" s="3">
        <v>0</v>
      </c>
      <c r="L63" s="3">
        <v>2</v>
      </c>
      <c r="M63" s="3">
        <v>0</v>
      </c>
      <c r="N63" s="3">
        <v>0</v>
      </c>
      <c r="O63" s="3">
        <v>0</v>
      </c>
      <c r="P63" s="4">
        <f t="shared" si="0"/>
        <v>173</v>
      </c>
      <c r="Q63" s="1" t="s">
        <v>14</v>
      </c>
      <c r="R63" s="44">
        <v>20</v>
      </c>
      <c r="S63" s="46">
        <v>200</v>
      </c>
      <c r="T63" s="4"/>
    </row>
    <row r="64" spans="1:20" x14ac:dyDescent="0.25">
      <c r="A64" s="7">
        <v>61</v>
      </c>
      <c r="D64" s="26" t="s">
        <v>146</v>
      </c>
      <c r="E64" s="27"/>
      <c r="F64" s="27"/>
      <c r="G64" s="28"/>
      <c r="H64" s="12">
        <v>1</v>
      </c>
      <c r="I64" s="30" t="s">
        <v>2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4">
        <f t="shared" si="0"/>
        <v>1</v>
      </c>
      <c r="Q64" s="1" t="s">
        <v>14</v>
      </c>
      <c r="R64" s="44">
        <v>50</v>
      </c>
      <c r="S64" s="47">
        <v>100</v>
      </c>
      <c r="T64" s="4"/>
    </row>
    <row r="65" spans="1:20" x14ac:dyDescent="0.25">
      <c r="A65" s="7">
        <v>62</v>
      </c>
      <c r="D65" s="16" t="s">
        <v>65</v>
      </c>
      <c r="E65" s="17"/>
      <c r="F65" s="17"/>
      <c r="G65" s="18"/>
      <c r="H65" s="12">
        <v>54</v>
      </c>
      <c r="I65" s="7" t="s">
        <v>2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4">
        <f t="shared" si="0"/>
        <v>54</v>
      </c>
      <c r="Q65" s="1" t="s">
        <v>14</v>
      </c>
      <c r="R65" s="44">
        <v>10</v>
      </c>
      <c r="S65" s="46">
        <v>50</v>
      </c>
      <c r="T65" s="4"/>
    </row>
    <row r="66" spans="1:20" x14ac:dyDescent="0.25">
      <c r="A66" s="7">
        <v>63</v>
      </c>
      <c r="D66" s="9" t="s">
        <v>66</v>
      </c>
      <c r="E66" s="10"/>
      <c r="F66" s="10"/>
      <c r="G66" s="11"/>
      <c r="H66" s="12">
        <v>50</v>
      </c>
      <c r="I66" s="7" t="s">
        <v>2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  <c r="P66" s="4">
        <f t="shared" si="0"/>
        <v>50</v>
      </c>
      <c r="Q66" s="1" t="s">
        <v>14</v>
      </c>
      <c r="R66" s="44">
        <v>300</v>
      </c>
      <c r="S66" s="47">
        <v>1000</v>
      </c>
      <c r="T66" s="4"/>
    </row>
    <row r="67" spans="1:20" x14ac:dyDescent="0.25">
      <c r="A67" s="7">
        <v>64</v>
      </c>
      <c r="D67" s="19" t="s">
        <v>165</v>
      </c>
      <c r="E67" s="20"/>
      <c r="F67" s="20"/>
      <c r="G67" s="21"/>
      <c r="H67" s="12">
        <v>59</v>
      </c>
      <c r="I67" s="7" t="s">
        <v>2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  <c r="P67" s="4">
        <f t="shared" si="0"/>
        <v>59</v>
      </c>
      <c r="Q67" s="1" t="s">
        <v>14</v>
      </c>
      <c r="R67" s="44">
        <v>50</v>
      </c>
      <c r="S67" s="47">
        <v>150</v>
      </c>
      <c r="T67" s="4"/>
    </row>
    <row r="68" spans="1:20" x14ac:dyDescent="0.25">
      <c r="A68" s="7">
        <v>65</v>
      </c>
      <c r="D68" s="22" t="s">
        <v>74</v>
      </c>
      <c r="E68" s="10"/>
      <c r="F68" s="10"/>
      <c r="G68" s="11"/>
      <c r="H68" s="12">
        <v>180</v>
      </c>
      <c r="I68" s="8" t="s">
        <v>75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4">
        <f t="shared" ref="P68:P89" si="1">+H68+J68-K68-L68-M68-N68-O68</f>
        <v>180</v>
      </c>
      <c r="Q68" s="1" t="s">
        <v>91</v>
      </c>
      <c r="R68" s="44">
        <v>65</v>
      </c>
      <c r="S68" s="47">
        <v>150</v>
      </c>
      <c r="T68" s="4"/>
    </row>
    <row r="69" spans="1:20" x14ac:dyDescent="0.25">
      <c r="A69" s="7">
        <v>66</v>
      </c>
      <c r="C69" s="1" t="s">
        <v>14</v>
      </c>
      <c r="D69" s="22" t="s">
        <v>76</v>
      </c>
      <c r="E69" s="10"/>
      <c r="F69" s="10"/>
      <c r="G69" s="11"/>
      <c r="H69" s="12">
        <v>232</v>
      </c>
      <c r="I69" s="8" t="s">
        <v>2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4">
        <f t="shared" si="1"/>
        <v>232</v>
      </c>
      <c r="Q69" s="1" t="s">
        <v>14</v>
      </c>
      <c r="R69" s="44">
        <v>50</v>
      </c>
      <c r="S69" s="47">
        <v>100</v>
      </c>
      <c r="T69" s="4"/>
    </row>
    <row r="70" spans="1:20" x14ac:dyDescent="0.25">
      <c r="A70" s="7">
        <v>67</v>
      </c>
      <c r="D70" s="25" t="s">
        <v>147</v>
      </c>
      <c r="H70" s="12">
        <v>371</v>
      </c>
      <c r="I70" s="30" t="s">
        <v>2</v>
      </c>
      <c r="J70" s="3">
        <v>100</v>
      </c>
      <c r="K70" s="3">
        <v>8</v>
      </c>
      <c r="L70" s="3">
        <v>4</v>
      </c>
      <c r="M70" s="3">
        <v>13</v>
      </c>
      <c r="N70" s="3">
        <v>360</v>
      </c>
      <c r="O70" s="3">
        <v>0</v>
      </c>
      <c r="P70" s="4">
        <f t="shared" si="1"/>
        <v>86</v>
      </c>
      <c r="Q70" s="1" t="s">
        <v>14</v>
      </c>
      <c r="R70" s="44">
        <v>50</v>
      </c>
      <c r="S70" s="47">
        <v>100</v>
      </c>
      <c r="T70" s="4"/>
    </row>
    <row r="71" spans="1:20" x14ac:dyDescent="0.25">
      <c r="A71" s="7">
        <v>68</v>
      </c>
      <c r="D71" s="26" t="s">
        <v>80</v>
      </c>
      <c r="E71" s="27"/>
      <c r="F71" s="27"/>
      <c r="G71" s="28"/>
      <c r="H71" s="12">
        <v>60</v>
      </c>
      <c r="I71" s="8" t="s">
        <v>2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4">
        <f t="shared" si="1"/>
        <v>60</v>
      </c>
      <c r="Q71" s="1" t="s">
        <v>14</v>
      </c>
      <c r="R71" s="44">
        <v>20</v>
      </c>
      <c r="S71" s="46">
        <v>200</v>
      </c>
      <c r="T71" s="4"/>
    </row>
    <row r="72" spans="1:20" x14ac:dyDescent="0.25">
      <c r="A72" s="7">
        <v>69</v>
      </c>
      <c r="D72" s="26" t="s">
        <v>84</v>
      </c>
      <c r="E72" s="27"/>
      <c r="F72" s="27"/>
      <c r="G72" s="28"/>
      <c r="H72" s="12">
        <v>0</v>
      </c>
      <c r="I72" s="8" t="s">
        <v>2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  <c r="P72" s="4">
        <f t="shared" si="1"/>
        <v>0</v>
      </c>
      <c r="Q72" s="1" t="s">
        <v>14</v>
      </c>
      <c r="R72" s="44">
        <v>100</v>
      </c>
      <c r="S72" s="47">
        <v>200</v>
      </c>
      <c r="T72" s="4"/>
    </row>
    <row r="73" spans="1:20" x14ac:dyDescent="0.25">
      <c r="A73" s="7">
        <v>70</v>
      </c>
      <c r="D73" s="26" t="s">
        <v>167</v>
      </c>
      <c r="E73" s="27"/>
      <c r="F73" s="27"/>
      <c r="G73" s="28"/>
      <c r="H73" s="12">
        <v>62</v>
      </c>
      <c r="I73" s="8" t="s">
        <v>2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4">
        <f t="shared" si="1"/>
        <v>62</v>
      </c>
      <c r="R73" s="44">
        <v>20</v>
      </c>
      <c r="S73" s="46">
        <v>200</v>
      </c>
      <c r="T73" s="4"/>
    </row>
    <row r="74" spans="1:20" x14ac:dyDescent="0.25">
      <c r="A74" s="7">
        <v>71</v>
      </c>
      <c r="D74" s="37" t="s">
        <v>14</v>
      </c>
      <c r="E74" s="17"/>
      <c r="F74" s="33"/>
      <c r="G74" s="33"/>
      <c r="H74" s="12">
        <v>0</v>
      </c>
      <c r="I74" s="8" t="s">
        <v>14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4">
        <f t="shared" si="1"/>
        <v>0</v>
      </c>
      <c r="Q74" s="1" t="s">
        <v>14</v>
      </c>
      <c r="R74" s="44">
        <v>100</v>
      </c>
      <c r="S74" s="47">
        <v>500</v>
      </c>
      <c r="T74" s="4"/>
    </row>
    <row r="75" spans="1:20" x14ac:dyDescent="0.25">
      <c r="A75" s="7">
        <v>72</v>
      </c>
      <c r="D75" s="22" t="s">
        <v>100</v>
      </c>
      <c r="E75" s="10"/>
      <c r="F75" s="10"/>
      <c r="G75" s="28"/>
      <c r="H75" s="12">
        <v>0</v>
      </c>
      <c r="I75" s="8" t="s">
        <v>2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4">
        <f t="shared" si="1"/>
        <v>0</v>
      </c>
      <c r="R75" s="44">
        <v>0</v>
      </c>
      <c r="S75" s="46"/>
      <c r="T75" s="4"/>
    </row>
    <row r="76" spans="1:20" x14ac:dyDescent="0.25">
      <c r="A76" s="7">
        <v>73</v>
      </c>
      <c r="D76" s="37" t="s">
        <v>113</v>
      </c>
      <c r="E76" s="17"/>
      <c r="F76" s="17"/>
      <c r="G76" s="33"/>
      <c r="H76" s="12">
        <v>361</v>
      </c>
      <c r="I76" s="8" t="s">
        <v>97</v>
      </c>
      <c r="J76" s="3">
        <v>922</v>
      </c>
      <c r="K76" s="3">
        <v>55</v>
      </c>
      <c r="L76" s="3">
        <v>126</v>
      </c>
      <c r="M76" s="3">
        <v>60</v>
      </c>
      <c r="N76" s="3">
        <v>55.2</v>
      </c>
      <c r="O76" s="3">
        <v>0</v>
      </c>
      <c r="P76" s="4">
        <f t="shared" si="1"/>
        <v>986.8</v>
      </c>
      <c r="Q76" s="65" t="s">
        <v>121</v>
      </c>
      <c r="R76" s="44">
        <v>100</v>
      </c>
      <c r="S76" s="47">
        <v>500</v>
      </c>
      <c r="T76" s="4"/>
    </row>
    <row r="77" spans="1:20" x14ac:dyDescent="0.25">
      <c r="A77" s="7">
        <v>74</v>
      </c>
      <c r="D77" s="22" t="s">
        <v>103</v>
      </c>
      <c r="E77" s="10"/>
      <c r="F77" s="10"/>
      <c r="G77" s="28"/>
      <c r="H77" s="12">
        <v>111</v>
      </c>
      <c r="I77" s="8" t="s">
        <v>132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4">
        <f t="shared" si="1"/>
        <v>111</v>
      </c>
      <c r="R77" s="44">
        <v>60</v>
      </c>
      <c r="S77" s="47">
        <v>100</v>
      </c>
      <c r="T77" s="4"/>
    </row>
    <row r="78" spans="1:20" x14ac:dyDescent="0.25">
      <c r="A78" s="8">
        <v>75</v>
      </c>
      <c r="D78" s="49" t="s">
        <v>108</v>
      </c>
      <c r="E78" s="20"/>
      <c r="F78" s="20"/>
      <c r="G78" s="20"/>
      <c r="H78" s="12">
        <v>53800</v>
      </c>
      <c r="I78" s="8" t="s">
        <v>110</v>
      </c>
      <c r="J78" s="3">
        <v>0</v>
      </c>
      <c r="K78" s="3">
        <v>3500</v>
      </c>
      <c r="L78" s="3">
        <v>1000</v>
      </c>
      <c r="M78" s="3">
        <v>2000</v>
      </c>
      <c r="N78" s="3">
        <v>1500</v>
      </c>
      <c r="O78" s="3">
        <v>0</v>
      </c>
      <c r="P78" s="4">
        <f t="shared" si="1"/>
        <v>45800</v>
      </c>
      <c r="R78" s="43">
        <v>1000</v>
      </c>
      <c r="S78" s="46">
        <v>10000</v>
      </c>
      <c r="T78" s="4"/>
    </row>
    <row r="79" spans="1:20" x14ac:dyDescent="0.25">
      <c r="A79" s="48">
        <v>76</v>
      </c>
      <c r="B79" s="41"/>
      <c r="C79" s="41"/>
      <c r="D79" s="22" t="s">
        <v>115</v>
      </c>
      <c r="E79" s="10"/>
      <c r="F79" s="10"/>
      <c r="G79" s="11"/>
      <c r="H79" s="12">
        <v>442</v>
      </c>
      <c r="I79" s="62" t="s">
        <v>2</v>
      </c>
      <c r="J79" s="3">
        <v>100</v>
      </c>
      <c r="K79" s="3">
        <v>8</v>
      </c>
      <c r="L79" s="3">
        <v>4</v>
      </c>
      <c r="M79" s="3">
        <v>13</v>
      </c>
      <c r="N79" s="3">
        <v>0</v>
      </c>
      <c r="O79" s="3">
        <v>0</v>
      </c>
      <c r="P79" s="64">
        <f t="shared" si="1"/>
        <v>517</v>
      </c>
      <c r="R79" s="64">
        <v>50</v>
      </c>
      <c r="S79" s="64">
        <v>100</v>
      </c>
      <c r="T79" s="4" t="s">
        <v>14</v>
      </c>
    </row>
    <row r="80" spans="1:20" x14ac:dyDescent="0.25">
      <c r="A80" s="73">
        <v>77</v>
      </c>
      <c r="B80" s="41"/>
      <c r="C80" s="41"/>
      <c r="D80" s="49" t="s">
        <v>134</v>
      </c>
      <c r="E80" s="35"/>
      <c r="F80" s="35"/>
      <c r="G80" s="60"/>
      <c r="H80" s="12">
        <v>296</v>
      </c>
      <c r="I80" s="8" t="s">
        <v>2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  <c r="P80" s="4">
        <f t="shared" si="1"/>
        <v>296</v>
      </c>
      <c r="Q80" s="4"/>
      <c r="R80" s="4">
        <v>20</v>
      </c>
      <c r="S80" s="4">
        <v>50</v>
      </c>
      <c r="T80" s="4"/>
    </row>
    <row r="81" spans="1:20" x14ac:dyDescent="0.25">
      <c r="A81" s="8">
        <v>78</v>
      </c>
      <c r="D81" s="22" t="s">
        <v>123</v>
      </c>
      <c r="E81" s="10"/>
      <c r="F81" s="10"/>
      <c r="G81" s="11"/>
      <c r="H81" s="12">
        <v>750</v>
      </c>
      <c r="I81" s="8" t="s">
        <v>2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  <c r="P81" s="4">
        <f t="shared" si="1"/>
        <v>750</v>
      </c>
      <c r="Q81" s="4"/>
      <c r="R81" s="4">
        <v>100</v>
      </c>
      <c r="S81" s="4">
        <v>500</v>
      </c>
      <c r="T81" s="4"/>
    </row>
    <row r="82" spans="1:20" x14ac:dyDescent="0.25">
      <c r="A82" s="48">
        <v>79</v>
      </c>
      <c r="B82" s="41"/>
      <c r="C82" s="41"/>
      <c r="D82" s="22" t="s">
        <v>154</v>
      </c>
      <c r="E82" s="10"/>
      <c r="F82" s="10"/>
      <c r="G82" s="11"/>
      <c r="H82" s="4">
        <v>15</v>
      </c>
      <c r="I82" s="8" t="s">
        <v>2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  <c r="P82" s="4">
        <f t="shared" si="1"/>
        <v>15</v>
      </c>
      <c r="Q82" s="4"/>
      <c r="R82" s="4">
        <v>10</v>
      </c>
      <c r="S82" s="4">
        <v>50</v>
      </c>
      <c r="T82" s="4"/>
    </row>
    <row r="83" spans="1:20" x14ac:dyDescent="0.25">
      <c r="A83" s="48">
        <v>80</v>
      </c>
      <c r="B83" s="41"/>
      <c r="C83" s="41"/>
      <c r="D83" s="37" t="s">
        <v>155</v>
      </c>
      <c r="E83" s="17"/>
      <c r="F83" s="17"/>
      <c r="G83" s="18"/>
      <c r="H83" s="64">
        <v>15</v>
      </c>
      <c r="I83" s="62" t="s">
        <v>2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64">
        <f t="shared" si="1"/>
        <v>15</v>
      </c>
      <c r="Q83" s="64"/>
      <c r="R83" s="64">
        <v>10</v>
      </c>
      <c r="S83" s="64">
        <v>50</v>
      </c>
      <c r="T83" s="4"/>
    </row>
    <row r="84" spans="1:20" x14ac:dyDescent="0.25">
      <c r="A84" s="48">
        <v>81</v>
      </c>
      <c r="B84" s="11"/>
      <c r="C84" s="23"/>
      <c r="D84" s="23" t="s">
        <v>149</v>
      </c>
      <c r="E84" s="23"/>
      <c r="F84" s="23"/>
      <c r="G84" s="23"/>
      <c r="H84" s="23">
        <v>10</v>
      </c>
      <c r="I84" s="8" t="s">
        <v>2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4">
        <f t="shared" si="1"/>
        <v>10</v>
      </c>
      <c r="Q84" s="4"/>
      <c r="R84" s="4">
        <v>10</v>
      </c>
      <c r="S84" s="4">
        <v>50</v>
      </c>
      <c r="T84" s="4"/>
    </row>
    <row r="85" spans="1:20" x14ac:dyDescent="0.25">
      <c r="A85" s="8">
        <v>82</v>
      </c>
      <c r="D85" s="68" t="s">
        <v>148</v>
      </c>
      <c r="E85" s="27"/>
      <c r="F85" s="27"/>
      <c r="G85" s="28"/>
      <c r="H85" s="4">
        <v>98</v>
      </c>
      <c r="I85" s="8" t="s">
        <v>2</v>
      </c>
      <c r="J85" s="3">
        <v>0</v>
      </c>
      <c r="K85" s="3">
        <v>24</v>
      </c>
      <c r="L85" s="3">
        <v>0</v>
      </c>
      <c r="M85" s="3">
        <v>0</v>
      </c>
      <c r="N85" s="3">
        <v>0</v>
      </c>
      <c r="O85" s="3">
        <v>0</v>
      </c>
      <c r="P85" s="4">
        <f t="shared" si="1"/>
        <v>74</v>
      </c>
      <c r="Q85" s="4"/>
      <c r="R85" s="4">
        <v>50</v>
      </c>
      <c r="S85" s="4">
        <v>200</v>
      </c>
      <c r="T85" s="4"/>
    </row>
    <row r="86" spans="1:20" ht="15.75" customHeight="1" x14ac:dyDescent="0.25">
      <c r="A86" s="8">
        <v>83</v>
      </c>
      <c r="D86" s="79" t="s">
        <v>150</v>
      </c>
      <c r="E86" s="80"/>
      <c r="F86" s="81"/>
      <c r="G86" s="82"/>
      <c r="H86" s="4">
        <v>376</v>
      </c>
      <c r="I86" s="8" t="s">
        <v>2</v>
      </c>
      <c r="J86" s="3">
        <v>0</v>
      </c>
      <c r="K86" s="3">
        <v>31</v>
      </c>
      <c r="L86" s="3">
        <v>20</v>
      </c>
      <c r="M86" s="3">
        <v>100</v>
      </c>
      <c r="N86" s="3">
        <v>25</v>
      </c>
      <c r="O86" s="3">
        <v>0</v>
      </c>
      <c r="P86" s="4">
        <f t="shared" si="1"/>
        <v>200</v>
      </c>
      <c r="Q86" s="4"/>
      <c r="R86" s="4">
        <v>50</v>
      </c>
      <c r="S86" s="4">
        <v>300</v>
      </c>
      <c r="T86" s="4"/>
    </row>
    <row r="87" spans="1:20" x14ac:dyDescent="0.25">
      <c r="A87" s="8">
        <v>84</v>
      </c>
      <c r="D87" s="22" t="s">
        <v>160</v>
      </c>
      <c r="E87" s="10"/>
      <c r="F87" s="10"/>
      <c r="G87" s="11"/>
      <c r="H87" s="23">
        <v>817</v>
      </c>
      <c r="I87" s="8" t="s">
        <v>2</v>
      </c>
      <c r="J87" s="3">
        <v>0</v>
      </c>
      <c r="K87" s="3">
        <v>0</v>
      </c>
      <c r="L87" s="3">
        <v>2</v>
      </c>
      <c r="M87" s="3">
        <v>0</v>
      </c>
      <c r="N87" s="3">
        <v>0</v>
      </c>
      <c r="O87" s="3">
        <v>0</v>
      </c>
      <c r="P87" s="4">
        <f t="shared" si="1"/>
        <v>815</v>
      </c>
      <c r="Q87" s="4"/>
      <c r="R87" s="4">
        <v>20</v>
      </c>
      <c r="S87" s="4">
        <v>300</v>
      </c>
      <c r="T87" s="4"/>
    </row>
    <row r="88" spans="1:20" x14ac:dyDescent="0.25">
      <c r="A88" s="8">
        <v>85</v>
      </c>
      <c r="D88" s="49" t="s">
        <v>153</v>
      </c>
      <c r="E88" s="20"/>
      <c r="F88" s="20"/>
      <c r="G88" s="21"/>
      <c r="H88" s="23">
        <v>88</v>
      </c>
      <c r="I88" s="8" t="s">
        <v>2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4">
        <f t="shared" si="1"/>
        <v>88</v>
      </c>
      <c r="Q88" s="4"/>
      <c r="R88" s="4">
        <v>10</v>
      </c>
      <c r="S88" s="4">
        <v>200</v>
      </c>
      <c r="T88" s="4"/>
    </row>
    <row r="89" spans="1:20" x14ac:dyDescent="0.25">
      <c r="A89" s="77">
        <v>86</v>
      </c>
      <c r="D89" s="68" t="s">
        <v>162</v>
      </c>
      <c r="E89" s="27"/>
      <c r="F89" s="27"/>
      <c r="G89" s="28"/>
      <c r="H89" s="74">
        <v>0</v>
      </c>
      <c r="I89" s="75" t="s">
        <v>2</v>
      </c>
      <c r="J89" s="3">
        <v>0</v>
      </c>
      <c r="K89" s="3">
        <v>0</v>
      </c>
      <c r="L89" s="3">
        <v>0</v>
      </c>
      <c r="M89" s="3">
        <v>0</v>
      </c>
      <c r="N89" s="3">
        <v>0</v>
      </c>
      <c r="O89" s="3">
        <v>0</v>
      </c>
      <c r="P89" s="4">
        <f t="shared" si="1"/>
        <v>0</v>
      </c>
      <c r="Q89" s="4"/>
      <c r="R89" s="4">
        <v>10</v>
      </c>
      <c r="S89" s="4">
        <v>50</v>
      </c>
      <c r="T89" s="4"/>
    </row>
  </sheetData>
  <pageMargins left="0.75" right="0.75" top="1" bottom="1" header="0.5" footer="0.5"/>
  <pageSetup paperSize="9" orientation="portrait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T89"/>
  <sheetViews>
    <sheetView topLeftCell="A69" workbookViewId="0">
      <selection activeCell="A82" sqref="A82:XFD82"/>
    </sheetView>
  </sheetViews>
  <sheetFormatPr defaultRowHeight="15" x14ac:dyDescent="0.25"/>
  <cols>
    <col min="1" max="1" width="5.5703125" customWidth="1"/>
    <col min="2" max="3" width="9.140625" hidden="1" customWidth="1"/>
    <col min="6" max="6" width="12.7109375" customWidth="1"/>
    <col min="8" max="8" width="10.140625" customWidth="1"/>
    <col min="9" max="9" width="10" customWidth="1"/>
    <col min="10" max="10" width="7.7109375" customWidth="1"/>
    <col min="11" max="11" width="10.7109375" customWidth="1"/>
    <col min="12" max="12" width="10.140625" customWidth="1"/>
    <col min="13" max="13" width="11.85546875" customWidth="1"/>
    <col min="14" max="15" width="11.7109375" customWidth="1"/>
    <col min="16" max="16" width="10.140625" customWidth="1"/>
    <col min="17" max="17" width="4.7109375" customWidth="1"/>
    <col min="18" max="18" width="10.140625" customWidth="1"/>
    <col min="19" max="19" width="11.5703125" customWidth="1"/>
    <col min="20" max="20" width="0.28515625" customWidth="1"/>
  </cols>
  <sheetData>
    <row r="1" spans="1:20" x14ac:dyDescent="0.25">
      <c r="G1" s="1"/>
      <c r="P1">
        <f>+H1+J1-K1-L1-M1-N1-O1</f>
        <v>0</v>
      </c>
    </row>
    <row r="2" spans="1:20" x14ac:dyDescent="0.25">
      <c r="A2" t="s">
        <v>14</v>
      </c>
      <c r="D2" s="78">
        <v>45627</v>
      </c>
      <c r="O2" s="38" t="s">
        <v>14</v>
      </c>
      <c r="S2" s="50">
        <v>45656</v>
      </c>
    </row>
    <row r="3" spans="1:20" x14ac:dyDescent="0.25">
      <c r="A3" s="3" t="s">
        <v>15</v>
      </c>
      <c r="D3" s="9" t="s">
        <v>17</v>
      </c>
      <c r="E3" s="10"/>
      <c r="F3" s="10"/>
      <c r="G3" s="11"/>
      <c r="H3" s="12" t="s">
        <v>18</v>
      </c>
      <c r="I3" s="4" t="s">
        <v>19</v>
      </c>
      <c r="J3" s="3" t="s">
        <v>20</v>
      </c>
      <c r="K3" s="5">
        <v>45660</v>
      </c>
      <c r="L3" s="6">
        <v>45667</v>
      </c>
      <c r="M3" s="5">
        <v>45674</v>
      </c>
      <c r="N3" s="5">
        <v>45681</v>
      </c>
      <c r="O3" s="6">
        <v>45688</v>
      </c>
      <c r="P3" s="3" t="s">
        <v>21</v>
      </c>
      <c r="R3" s="42" t="s">
        <v>105</v>
      </c>
      <c r="S3" s="45" t="s">
        <v>104</v>
      </c>
      <c r="T3" s="4"/>
    </row>
    <row r="4" spans="1:20" x14ac:dyDescent="0.25">
      <c r="A4" s="7">
        <v>1</v>
      </c>
      <c r="D4" s="13" t="s">
        <v>16</v>
      </c>
      <c r="E4" s="14"/>
      <c r="F4" s="14"/>
      <c r="G4" s="15"/>
      <c r="H4" s="12">
        <v>216</v>
      </c>
      <c r="I4" s="7" t="s">
        <v>1</v>
      </c>
      <c r="J4" s="3">
        <v>0</v>
      </c>
      <c r="K4" s="3">
        <v>20</v>
      </c>
      <c r="L4" s="3">
        <v>20</v>
      </c>
      <c r="M4" s="3">
        <v>0</v>
      </c>
      <c r="N4" s="3">
        <v>20</v>
      </c>
      <c r="O4" s="3">
        <v>0</v>
      </c>
      <c r="P4" s="4">
        <f t="shared" ref="P4:P67" si="0">+H4+J4-K4-L4-M4-N4-O4</f>
        <v>156</v>
      </c>
      <c r="Q4" t="s">
        <v>173</v>
      </c>
      <c r="R4" s="43">
        <v>100</v>
      </c>
      <c r="S4" s="46">
        <v>500</v>
      </c>
      <c r="T4" s="4" t="s">
        <v>14</v>
      </c>
    </row>
    <row r="5" spans="1:20" x14ac:dyDescent="0.25">
      <c r="A5" s="7">
        <v>2</v>
      </c>
      <c r="D5" s="9" t="s">
        <v>14</v>
      </c>
      <c r="E5" s="10"/>
      <c r="F5" s="10"/>
      <c r="G5" s="11"/>
      <c r="H5" s="12">
        <v>0</v>
      </c>
      <c r="I5" s="7" t="s">
        <v>2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4">
        <f t="shared" si="0"/>
        <v>0</v>
      </c>
      <c r="Q5" s="1" t="s">
        <v>14</v>
      </c>
      <c r="R5" s="44">
        <v>6</v>
      </c>
      <c r="S5" s="47">
        <v>10</v>
      </c>
      <c r="T5" s="4"/>
    </row>
    <row r="6" spans="1:20" x14ac:dyDescent="0.25">
      <c r="A6" s="7">
        <v>3</v>
      </c>
      <c r="D6" s="16" t="s">
        <v>23</v>
      </c>
      <c r="E6" s="17"/>
      <c r="F6" s="17"/>
      <c r="G6" s="18"/>
      <c r="H6" s="12">
        <v>42</v>
      </c>
      <c r="I6" s="7" t="s">
        <v>2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4">
        <f t="shared" si="0"/>
        <v>42</v>
      </c>
      <c r="Q6" s="1" t="s">
        <v>14</v>
      </c>
      <c r="R6" s="44">
        <v>6</v>
      </c>
      <c r="S6" s="47">
        <v>10</v>
      </c>
      <c r="T6" s="4"/>
    </row>
    <row r="7" spans="1:20" x14ac:dyDescent="0.25">
      <c r="A7" s="7">
        <v>4</v>
      </c>
      <c r="D7" s="9" t="s">
        <v>3</v>
      </c>
      <c r="E7" s="10"/>
      <c r="F7" s="10"/>
      <c r="G7" s="11"/>
      <c r="H7" s="12">
        <v>30</v>
      </c>
      <c r="I7" s="7" t="s">
        <v>2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4">
        <f t="shared" si="0"/>
        <v>30</v>
      </c>
      <c r="Q7" s="1" t="s">
        <v>14</v>
      </c>
      <c r="R7" s="44">
        <v>6</v>
      </c>
      <c r="S7" s="47">
        <v>10</v>
      </c>
      <c r="T7" s="4"/>
    </row>
    <row r="8" spans="1:20" x14ac:dyDescent="0.25">
      <c r="A8" s="7">
        <v>5</v>
      </c>
      <c r="D8" s="16" t="s">
        <v>139</v>
      </c>
      <c r="E8" s="17"/>
      <c r="F8" s="17"/>
      <c r="G8" s="18"/>
      <c r="H8" s="12">
        <v>100</v>
      </c>
      <c r="I8" s="7" t="s">
        <v>2</v>
      </c>
      <c r="J8" s="3">
        <v>0</v>
      </c>
      <c r="K8" s="3">
        <v>2</v>
      </c>
      <c r="L8" s="3">
        <v>0</v>
      </c>
      <c r="M8" s="3">
        <v>0</v>
      </c>
      <c r="N8" s="3">
        <v>0</v>
      </c>
      <c r="O8" s="3">
        <v>0</v>
      </c>
      <c r="P8" s="4">
        <f t="shared" si="0"/>
        <v>98</v>
      </c>
      <c r="Q8" s="1" t="s">
        <v>14</v>
      </c>
      <c r="R8" s="44">
        <v>100</v>
      </c>
      <c r="S8" s="47">
        <v>400</v>
      </c>
      <c r="T8" s="4"/>
    </row>
    <row r="9" spans="1:20" x14ac:dyDescent="0.25">
      <c r="A9" s="7">
        <v>6</v>
      </c>
      <c r="D9" s="9" t="s">
        <v>24</v>
      </c>
      <c r="E9" s="10"/>
      <c r="F9" s="10"/>
      <c r="G9" s="11"/>
      <c r="H9" s="12">
        <v>1050</v>
      </c>
      <c r="I9" s="7" t="s">
        <v>2</v>
      </c>
      <c r="J9" s="3">
        <v>0</v>
      </c>
      <c r="K9" s="3">
        <v>400</v>
      </c>
      <c r="L9" s="3">
        <v>140</v>
      </c>
      <c r="M9" s="3">
        <v>50</v>
      </c>
      <c r="N9" s="3">
        <v>0</v>
      </c>
      <c r="O9" s="3">
        <v>20</v>
      </c>
      <c r="P9" s="4">
        <f t="shared" si="0"/>
        <v>440</v>
      </c>
      <c r="Q9" s="1" t="s">
        <v>14</v>
      </c>
      <c r="R9" s="44">
        <v>60</v>
      </c>
      <c r="S9" s="47">
        <v>200</v>
      </c>
      <c r="T9" s="4"/>
    </row>
    <row r="10" spans="1:20" x14ac:dyDescent="0.25">
      <c r="A10" s="7">
        <v>7</v>
      </c>
      <c r="D10" s="16" t="s">
        <v>101</v>
      </c>
      <c r="E10" s="17"/>
      <c r="F10" s="17"/>
      <c r="G10" s="18"/>
      <c r="H10" s="12">
        <v>1400</v>
      </c>
      <c r="I10" s="7" t="s">
        <v>2</v>
      </c>
      <c r="J10" s="3">
        <v>440</v>
      </c>
      <c r="K10" s="3">
        <v>200</v>
      </c>
      <c r="L10" s="3">
        <v>0</v>
      </c>
      <c r="M10" s="3">
        <v>0</v>
      </c>
      <c r="N10" s="3">
        <v>22</v>
      </c>
      <c r="O10" s="3">
        <v>0</v>
      </c>
      <c r="P10" s="4">
        <f t="shared" si="0"/>
        <v>1618</v>
      </c>
      <c r="Q10" s="1" t="s">
        <v>14</v>
      </c>
      <c r="R10" s="44">
        <v>200</v>
      </c>
      <c r="S10" s="47">
        <v>500</v>
      </c>
      <c r="T10" s="4"/>
    </row>
    <row r="11" spans="1:20" x14ac:dyDescent="0.25">
      <c r="A11" s="7">
        <v>8</v>
      </c>
      <c r="D11" s="9" t="s">
        <v>25</v>
      </c>
      <c r="E11" s="10"/>
      <c r="F11" s="10"/>
      <c r="G11" s="11"/>
      <c r="H11" s="12">
        <v>290</v>
      </c>
      <c r="I11" s="7" t="s">
        <v>2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4">
        <f t="shared" si="0"/>
        <v>290</v>
      </c>
      <c r="Q11" s="1" t="s">
        <v>14</v>
      </c>
      <c r="R11" s="44">
        <v>50</v>
      </c>
      <c r="S11" s="47">
        <v>300</v>
      </c>
      <c r="T11" s="4"/>
    </row>
    <row r="12" spans="1:20" x14ac:dyDescent="0.25">
      <c r="A12" s="7">
        <v>9</v>
      </c>
      <c r="D12" s="16" t="s">
        <v>174</v>
      </c>
      <c r="E12" s="17"/>
      <c r="F12" s="17"/>
      <c r="G12" s="18"/>
      <c r="H12" s="12">
        <v>30</v>
      </c>
      <c r="I12" s="7" t="s">
        <v>2</v>
      </c>
      <c r="J12" s="3">
        <v>50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4">
        <f t="shared" si="0"/>
        <v>80</v>
      </c>
      <c r="Q12" s="1" t="s">
        <v>14</v>
      </c>
      <c r="R12" s="44">
        <v>200</v>
      </c>
      <c r="S12" s="47">
        <v>400</v>
      </c>
      <c r="T12" s="4"/>
    </row>
    <row r="13" spans="1:20" x14ac:dyDescent="0.25">
      <c r="A13" s="7">
        <v>10</v>
      </c>
      <c r="D13" s="9" t="s">
        <v>6</v>
      </c>
      <c r="E13" s="10"/>
      <c r="F13" s="10"/>
      <c r="G13" s="11"/>
      <c r="H13" s="12">
        <v>30</v>
      </c>
      <c r="I13" s="7" t="s">
        <v>2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4">
        <f t="shared" si="0"/>
        <v>30</v>
      </c>
      <c r="Q13" s="1" t="s">
        <v>14</v>
      </c>
      <c r="R13" s="44">
        <v>10</v>
      </c>
      <c r="S13" s="46">
        <v>100</v>
      </c>
      <c r="T13" s="4"/>
    </row>
    <row r="14" spans="1:20" x14ac:dyDescent="0.25">
      <c r="A14" s="7">
        <v>11</v>
      </c>
      <c r="D14" s="16" t="s">
        <v>7</v>
      </c>
      <c r="E14" s="17"/>
      <c r="F14" s="17"/>
      <c r="G14" s="18"/>
      <c r="H14" s="12">
        <v>7</v>
      </c>
      <c r="I14" s="7" t="s">
        <v>171</v>
      </c>
      <c r="J14" s="3">
        <v>0</v>
      </c>
      <c r="K14" s="3">
        <v>0</v>
      </c>
      <c r="L14" s="3">
        <v>3</v>
      </c>
      <c r="M14" s="3">
        <v>0</v>
      </c>
      <c r="N14" s="3">
        <v>0</v>
      </c>
      <c r="O14" s="3">
        <v>0</v>
      </c>
      <c r="P14" s="4">
        <f t="shared" si="0"/>
        <v>4</v>
      </c>
      <c r="Q14" s="1" t="s">
        <v>14</v>
      </c>
      <c r="R14" s="44">
        <v>20</v>
      </c>
      <c r="S14" s="47">
        <v>50</v>
      </c>
      <c r="T14" s="4"/>
    </row>
    <row r="15" spans="1:20" x14ac:dyDescent="0.25">
      <c r="A15" s="7">
        <v>12</v>
      </c>
      <c r="D15" s="9" t="s">
        <v>69</v>
      </c>
      <c r="E15" s="10"/>
      <c r="F15" s="10"/>
      <c r="G15" s="11"/>
      <c r="H15" s="12">
        <v>0</v>
      </c>
      <c r="I15" s="7" t="s">
        <v>171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4">
        <f t="shared" si="0"/>
        <v>0</v>
      </c>
      <c r="Q15" s="1" t="s">
        <v>14</v>
      </c>
      <c r="R15" s="44">
        <v>100</v>
      </c>
      <c r="S15" s="47">
        <v>200</v>
      </c>
      <c r="T15" s="4"/>
    </row>
    <row r="16" spans="1:20" x14ac:dyDescent="0.25">
      <c r="A16" s="7">
        <v>13</v>
      </c>
      <c r="D16" s="16" t="s">
        <v>180</v>
      </c>
      <c r="E16" s="17"/>
      <c r="F16" s="17"/>
      <c r="G16" s="18"/>
      <c r="H16" s="12">
        <v>0</v>
      </c>
      <c r="I16" s="7" t="s">
        <v>2</v>
      </c>
      <c r="J16" s="3">
        <v>70</v>
      </c>
      <c r="K16" s="3">
        <v>0</v>
      </c>
      <c r="L16" s="3">
        <v>0</v>
      </c>
      <c r="M16" s="3">
        <v>0</v>
      </c>
      <c r="N16" s="3">
        <v>20</v>
      </c>
      <c r="O16" s="3">
        <v>0</v>
      </c>
      <c r="P16" s="4">
        <f t="shared" si="0"/>
        <v>50</v>
      </c>
      <c r="Q16" s="1" t="s">
        <v>14</v>
      </c>
      <c r="R16" s="44">
        <v>0</v>
      </c>
      <c r="S16" s="46"/>
      <c r="T16" s="4"/>
    </row>
    <row r="17" spans="1:20" x14ac:dyDescent="0.25">
      <c r="A17" s="7">
        <v>14</v>
      </c>
      <c r="D17" s="9" t="s">
        <v>73</v>
      </c>
      <c r="E17" s="10"/>
      <c r="F17" s="10"/>
      <c r="G17" s="11"/>
      <c r="H17" s="12">
        <v>690</v>
      </c>
      <c r="I17" s="7" t="s">
        <v>2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4">
        <f t="shared" si="0"/>
        <v>690</v>
      </c>
      <c r="Q17" s="1" t="s">
        <v>14</v>
      </c>
      <c r="R17" s="44">
        <v>0</v>
      </c>
      <c r="S17" s="46"/>
      <c r="T17" s="4"/>
    </row>
    <row r="18" spans="1:20" x14ac:dyDescent="0.25">
      <c r="A18" s="7">
        <v>15</v>
      </c>
      <c r="D18" s="16" t="s">
        <v>28</v>
      </c>
      <c r="E18" s="17"/>
      <c r="F18" s="17"/>
      <c r="G18" s="18"/>
      <c r="H18" s="12">
        <v>55</v>
      </c>
      <c r="I18" s="7" t="s">
        <v>2</v>
      </c>
      <c r="J18" s="3">
        <v>0</v>
      </c>
      <c r="K18" s="3">
        <v>0</v>
      </c>
      <c r="L18" s="3">
        <v>0</v>
      </c>
      <c r="M18" s="3">
        <v>0</v>
      </c>
      <c r="N18" s="3">
        <v>33</v>
      </c>
      <c r="O18" s="3">
        <v>0</v>
      </c>
      <c r="P18" s="4">
        <f t="shared" si="0"/>
        <v>22</v>
      </c>
      <c r="Q18" s="1" t="s">
        <v>14</v>
      </c>
      <c r="R18" s="44">
        <v>20</v>
      </c>
      <c r="S18" s="47">
        <v>50</v>
      </c>
      <c r="T18" s="4"/>
    </row>
    <row r="19" spans="1:20" x14ac:dyDescent="0.25">
      <c r="A19" s="7">
        <v>16</v>
      </c>
      <c r="D19" s="9" t="s">
        <v>29</v>
      </c>
      <c r="E19" s="10"/>
      <c r="F19" s="10"/>
      <c r="G19" s="11"/>
      <c r="H19" s="12">
        <v>58</v>
      </c>
      <c r="I19" s="7" t="s">
        <v>2</v>
      </c>
      <c r="J19" s="3">
        <v>0</v>
      </c>
      <c r="K19" s="3">
        <v>0</v>
      </c>
      <c r="L19" s="3">
        <v>0</v>
      </c>
      <c r="M19" s="3">
        <v>0</v>
      </c>
      <c r="N19" s="3">
        <v>33</v>
      </c>
      <c r="O19" s="3">
        <v>0</v>
      </c>
      <c r="P19" s="4">
        <f t="shared" si="0"/>
        <v>25</v>
      </c>
      <c r="Q19" s="1" t="s">
        <v>14</v>
      </c>
      <c r="R19" s="44">
        <v>20</v>
      </c>
      <c r="S19" s="47">
        <v>50</v>
      </c>
      <c r="T19" s="4"/>
    </row>
    <row r="20" spans="1:20" x14ac:dyDescent="0.25">
      <c r="A20" s="7">
        <v>17</v>
      </c>
      <c r="D20" s="16" t="s">
        <v>30</v>
      </c>
      <c r="E20" s="17"/>
      <c r="F20" s="17"/>
      <c r="G20" s="18"/>
      <c r="H20" s="12">
        <v>0</v>
      </c>
      <c r="I20" s="7" t="s">
        <v>2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4">
        <f t="shared" si="0"/>
        <v>0</v>
      </c>
      <c r="Q20" s="1" t="s">
        <v>14</v>
      </c>
      <c r="R20" s="44">
        <v>20</v>
      </c>
      <c r="S20" s="47">
        <v>50</v>
      </c>
      <c r="T20" s="4"/>
    </row>
    <row r="21" spans="1:20" x14ac:dyDescent="0.25">
      <c r="A21" s="7">
        <v>18</v>
      </c>
      <c r="D21" s="9" t="s">
        <v>129</v>
      </c>
      <c r="E21" s="10"/>
      <c r="F21" s="10"/>
      <c r="G21" s="11"/>
      <c r="H21" s="12">
        <v>9</v>
      </c>
      <c r="I21" s="7" t="s">
        <v>2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4">
        <f t="shared" si="0"/>
        <v>9</v>
      </c>
      <c r="Q21" s="1" t="s">
        <v>14</v>
      </c>
      <c r="R21" s="44">
        <v>10</v>
      </c>
      <c r="S21" s="46">
        <v>50</v>
      </c>
      <c r="T21" s="4"/>
    </row>
    <row r="22" spans="1:20" x14ac:dyDescent="0.25">
      <c r="A22" s="7">
        <v>19</v>
      </c>
      <c r="D22" s="55" t="s">
        <v>164</v>
      </c>
      <c r="E22" s="56"/>
      <c r="F22" s="56"/>
      <c r="G22" s="57"/>
      <c r="H22" s="12">
        <v>140</v>
      </c>
      <c r="I22" s="59" t="s">
        <v>1</v>
      </c>
      <c r="J22" s="3">
        <v>500</v>
      </c>
      <c r="K22" s="3">
        <v>50</v>
      </c>
      <c r="L22" s="3">
        <v>10</v>
      </c>
      <c r="M22" s="3">
        <v>40</v>
      </c>
      <c r="N22" s="3">
        <v>120</v>
      </c>
      <c r="O22" s="3">
        <v>50</v>
      </c>
      <c r="P22" s="46">
        <f t="shared" si="0"/>
        <v>370</v>
      </c>
      <c r="Q22" s="1" t="s">
        <v>14</v>
      </c>
      <c r="R22" s="44">
        <v>50</v>
      </c>
      <c r="S22" s="47">
        <v>200</v>
      </c>
      <c r="T22" s="4"/>
    </row>
    <row r="23" spans="1:20" x14ac:dyDescent="0.25">
      <c r="A23" s="7">
        <v>20</v>
      </c>
      <c r="D23" s="9" t="s">
        <v>32</v>
      </c>
      <c r="E23" s="10"/>
      <c r="F23" s="10"/>
      <c r="G23" s="11"/>
      <c r="H23" s="12">
        <v>800</v>
      </c>
      <c r="I23" s="7" t="s">
        <v>2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4">
        <f t="shared" si="0"/>
        <v>800</v>
      </c>
      <c r="Q23" s="1" t="s">
        <v>14</v>
      </c>
      <c r="R23" s="44">
        <v>50</v>
      </c>
      <c r="S23" s="46">
        <v>200</v>
      </c>
      <c r="T23" s="4"/>
    </row>
    <row r="24" spans="1:20" x14ac:dyDescent="0.25">
      <c r="A24" s="7">
        <v>21</v>
      </c>
      <c r="D24" s="16" t="s">
        <v>140</v>
      </c>
      <c r="E24" s="17"/>
      <c r="F24" s="17"/>
      <c r="G24" s="18"/>
      <c r="H24" s="12">
        <v>102</v>
      </c>
      <c r="I24" s="7" t="s">
        <v>2</v>
      </c>
      <c r="J24" s="3">
        <v>0</v>
      </c>
      <c r="K24" s="3">
        <v>2</v>
      </c>
      <c r="L24" s="3">
        <v>0</v>
      </c>
      <c r="M24" s="3">
        <v>0</v>
      </c>
      <c r="N24" s="3">
        <v>0</v>
      </c>
      <c r="O24" s="3">
        <v>0</v>
      </c>
      <c r="P24" s="4">
        <f t="shared" si="0"/>
        <v>100</v>
      </c>
      <c r="Q24" s="1" t="s">
        <v>14</v>
      </c>
      <c r="R24" s="44">
        <v>10</v>
      </c>
      <c r="S24" s="46">
        <v>100</v>
      </c>
      <c r="T24" s="4"/>
    </row>
    <row r="25" spans="1:20" x14ac:dyDescent="0.25">
      <c r="A25" s="7">
        <v>22</v>
      </c>
      <c r="D25" s="9" t="s">
        <v>34</v>
      </c>
      <c r="E25" s="10"/>
      <c r="F25" s="10"/>
      <c r="G25" s="11"/>
      <c r="H25" s="12">
        <v>6</v>
      </c>
      <c r="I25" s="7" t="s">
        <v>2</v>
      </c>
      <c r="J25" s="3">
        <v>54</v>
      </c>
      <c r="K25" s="3">
        <v>1</v>
      </c>
      <c r="L25" s="3">
        <v>0</v>
      </c>
      <c r="M25" s="3">
        <v>0</v>
      </c>
      <c r="N25" s="3">
        <v>5</v>
      </c>
      <c r="O25" s="3">
        <v>0</v>
      </c>
      <c r="P25" s="4">
        <f t="shared" si="0"/>
        <v>54</v>
      </c>
      <c r="Q25" s="1" t="s">
        <v>14</v>
      </c>
      <c r="R25" s="44">
        <v>10</v>
      </c>
      <c r="S25" s="46">
        <v>50</v>
      </c>
      <c r="T25" s="4"/>
    </row>
    <row r="26" spans="1:20" x14ac:dyDescent="0.25">
      <c r="A26" s="7">
        <v>23</v>
      </c>
      <c r="D26" s="16" t="s">
        <v>142</v>
      </c>
      <c r="E26" s="17"/>
      <c r="F26" s="17"/>
      <c r="G26" s="18"/>
      <c r="H26" s="12">
        <v>55</v>
      </c>
      <c r="I26" s="7" t="s">
        <v>2</v>
      </c>
      <c r="J26" s="3">
        <v>0</v>
      </c>
      <c r="K26" s="3">
        <v>1</v>
      </c>
      <c r="L26" s="3">
        <v>0</v>
      </c>
      <c r="M26" s="3">
        <v>0</v>
      </c>
      <c r="N26" s="3">
        <v>0</v>
      </c>
      <c r="O26" s="3">
        <v>0</v>
      </c>
      <c r="P26" s="4">
        <f t="shared" si="0"/>
        <v>54</v>
      </c>
      <c r="Q26" s="1" t="s">
        <v>14</v>
      </c>
      <c r="R26" s="44">
        <v>20</v>
      </c>
      <c r="S26" s="47">
        <v>50</v>
      </c>
      <c r="T26" s="4"/>
    </row>
    <row r="27" spans="1:20" x14ac:dyDescent="0.25">
      <c r="A27" s="7">
        <v>24</v>
      </c>
      <c r="D27" s="9" t="s">
        <v>141</v>
      </c>
      <c r="E27" s="10"/>
      <c r="F27" s="10"/>
      <c r="G27" s="11"/>
      <c r="H27" s="12">
        <v>0</v>
      </c>
      <c r="I27" s="7" t="s">
        <v>2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  <c r="P27" s="4">
        <f t="shared" si="0"/>
        <v>0</v>
      </c>
      <c r="Q27" s="1"/>
      <c r="R27" s="44">
        <v>20</v>
      </c>
      <c r="S27" s="47">
        <v>50</v>
      </c>
      <c r="T27" s="4"/>
    </row>
    <row r="28" spans="1:20" x14ac:dyDescent="0.25">
      <c r="A28" s="7">
        <v>25</v>
      </c>
      <c r="D28" s="9" t="s">
        <v>137</v>
      </c>
      <c r="E28" s="10"/>
      <c r="F28" s="10"/>
      <c r="G28" s="11"/>
      <c r="H28" s="12">
        <v>80</v>
      </c>
      <c r="I28" s="7" t="s">
        <v>2</v>
      </c>
      <c r="J28" s="3">
        <v>0</v>
      </c>
      <c r="K28" s="3">
        <v>1</v>
      </c>
      <c r="L28" s="3">
        <v>0</v>
      </c>
      <c r="M28" s="3">
        <v>0</v>
      </c>
      <c r="N28" s="3">
        <v>20</v>
      </c>
      <c r="O28" s="3">
        <v>0</v>
      </c>
      <c r="P28" s="4">
        <f t="shared" si="0"/>
        <v>59</v>
      </c>
      <c r="Q28" s="1" t="s">
        <v>14</v>
      </c>
      <c r="R28" s="44">
        <v>20</v>
      </c>
      <c r="S28" s="47">
        <v>50</v>
      </c>
      <c r="T28" s="4"/>
    </row>
    <row r="29" spans="1:20" x14ac:dyDescent="0.25">
      <c r="A29" s="7">
        <v>26</v>
      </c>
      <c r="D29" s="9" t="s">
        <v>138</v>
      </c>
      <c r="E29" s="10"/>
      <c r="F29" s="10"/>
      <c r="G29" s="11"/>
      <c r="H29" s="12">
        <v>21</v>
      </c>
      <c r="I29" s="7" t="s">
        <v>2</v>
      </c>
      <c r="J29" s="3">
        <v>0</v>
      </c>
      <c r="K29" s="3">
        <v>1</v>
      </c>
      <c r="L29" s="3">
        <v>0</v>
      </c>
      <c r="M29" s="3">
        <v>0</v>
      </c>
      <c r="N29" s="3">
        <v>20</v>
      </c>
      <c r="O29" s="3">
        <v>0</v>
      </c>
      <c r="P29" s="4">
        <f t="shared" si="0"/>
        <v>0</v>
      </c>
      <c r="Q29" s="1"/>
      <c r="R29" s="44">
        <v>10</v>
      </c>
      <c r="S29" s="47">
        <v>50</v>
      </c>
      <c r="T29" s="4"/>
    </row>
    <row r="30" spans="1:20" x14ac:dyDescent="0.25">
      <c r="A30" s="7">
        <v>27</v>
      </c>
      <c r="D30" s="16" t="s">
        <v>35</v>
      </c>
      <c r="E30" s="17"/>
      <c r="F30" s="17"/>
      <c r="G30" s="18"/>
      <c r="H30" s="12">
        <v>198</v>
      </c>
      <c r="I30" s="7" t="s">
        <v>2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4">
        <f t="shared" si="0"/>
        <v>198</v>
      </c>
      <c r="Q30" s="1" t="s">
        <v>14</v>
      </c>
      <c r="R30" s="44">
        <v>50</v>
      </c>
      <c r="S30" s="47">
        <v>100</v>
      </c>
      <c r="T30" s="4"/>
    </row>
    <row r="31" spans="1:20" x14ac:dyDescent="0.25">
      <c r="A31" s="7">
        <v>28</v>
      </c>
      <c r="D31" s="9" t="s">
        <v>36</v>
      </c>
      <c r="E31" s="10"/>
      <c r="F31" s="10"/>
      <c r="G31" s="11"/>
      <c r="H31" s="12">
        <v>20</v>
      </c>
      <c r="I31" s="7" t="s">
        <v>2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4">
        <f t="shared" si="0"/>
        <v>20</v>
      </c>
      <c r="Q31" s="1" t="s">
        <v>14</v>
      </c>
      <c r="R31" s="44">
        <v>50</v>
      </c>
      <c r="S31" s="47">
        <v>100</v>
      </c>
      <c r="T31" s="4"/>
    </row>
    <row r="32" spans="1:20" x14ac:dyDescent="0.25">
      <c r="A32" s="7">
        <v>29</v>
      </c>
      <c r="D32" s="16" t="s">
        <v>37</v>
      </c>
      <c r="E32" s="17"/>
      <c r="F32" s="17"/>
      <c r="G32" s="18"/>
      <c r="H32" s="12">
        <v>150</v>
      </c>
      <c r="I32" s="7" t="s">
        <v>2</v>
      </c>
      <c r="J32" s="3">
        <v>0</v>
      </c>
      <c r="K32" s="3">
        <v>1</v>
      </c>
      <c r="L32" s="3">
        <v>0</v>
      </c>
      <c r="M32" s="3">
        <v>0</v>
      </c>
      <c r="N32" s="3">
        <v>0</v>
      </c>
      <c r="O32" s="3">
        <v>0</v>
      </c>
      <c r="P32" s="4">
        <f t="shared" si="0"/>
        <v>149</v>
      </c>
      <c r="Q32" s="1" t="s">
        <v>14</v>
      </c>
      <c r="R32" s="44">
        <v>20</v>
      </c>
      <c r="S32" s="47">
        <v>50</v>
      </c>
      <c r="T32" s="4"/>
    </row>
    <row r="33" spans="1:20" x14ac:dyDescent="0.25">
      <c r="A33" s="7">
        <v>30</v>
      </c>
      <c r="D33" s="9" t="s">
        <v>38</v>
      </c>
      <c r="E33" s="10"/>
      <c r="F33" s="10"/>
      <c r="G33" s="11"/>
      <c r="H33" s="12">
        <v>230</v>
      </c>
      <c r="I33" s="7" t="s">
        <v>2</v>
      </c>
      <c r="J33" s="3">
        <v>0</v>
      </c>
      <c r="K33" s="3">
        <v>30</v>
      </c>
      <c r="L33" s="3">
        <v>0</v>
      </c>
      <c r="M33" s="3">
        <v>0</v>
      </c>
      <c r="N33" s="3">
        <v>150</v>
      </c>
      <c r="O33" s="3">
        <v>0</v>
      </c>
      <c r="P33" s="4">
        <f t="shared" si="0"/>
        <v>50</v>
      </c>
      <c r="Q33" s="1" t="s">
        <v>14</v>
      </c>
      <c r="R33" s="44">
        <v>50</v>
      </c>
      <c r="S33" s="47">
        <v>100</v>
      </c>
      <c r="T33" s="4"/>
    </row>
    <row r="34" spans="1:20" x14ac:dyDescent="0.25">
      <c r="A34" s="7">
        <v>31</v>
      </c>
      <c r="D34" s="16" t="s">
        <v>39</v>
      </c>
      <c r="E34" s="17"/>
      <c r="F34" s="17"/>
      <c r="G34" s="18"/>
      <c r="H34" s="12">
        <v>40</v>
      </c>
      <c r="I34" s="7" t="s">
        <v>2</v>
      </c>
      <c r="J34" s="3">
        <v>0</v>
      </c>
      <c r="K34" s="3">
        <v>1</v>
      </c>
      <c r="L34" s="3">
        <v>0</v>
      </c>
      <c r="M34" s="3">
        <v>0</v>
      </c>
      <c r="N34" s="3">
        <v>0</v>
      </c>
      <c r="O34" s="3">
        <v>0</v>
      </c>
      <c r="P34" s="4">
        <f t="shared" si="0"/>
        <v>39</v>
      </c>
      <c r="Q34" s="1" t="s">
        <v>14</v>
      </c>
      <c r="R34" s="44">
        <v>20</v>
      </c>
      <c r="S34" s="47">
        <v>50</v>
      </c>
      <c r="T34" s="4"/>
    </row>
    <row r="35" spans="1:20" x14ac:dyDescent="0.25">
      <c r="A35" s="7">
        <v>32</v>
      </c>
      <c r="D35" s="9" t="s">
        <v>40</v>
      </c>
      <c r="E35" s="10"/>
      <c r="F35" s="10"/>
      <c r="G35" s="11"/>
      <c r="H35" s="12">
        <v>1050</v>
      </c>
      <c r="I35" s="7" t="s">
        <v>2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4">
        <f t="shared" si="0"/>
        <v>1050</v>
      </c>
      <c r="Q35" s="1" t="s">
        <v>14</v>
      </c>
      <c r="R35" s="44">
        <v>100</v>
      </c>
      <c r="S35" s="46">
        <v>300</v>
      </c>
      <c r="T35" s="4"/>
    </row>
    <row r="36" spans="1:20" x14ac:dyDescent="0.25">
      <c r="A36" s="7">
        <v>33</v>
      </c>
      <c r="D36" s="9" t="s">
        <v>9</v>
      </c>
      <c r="E36" s="10"/>
      <c r="F36" s="10"/>
      <c r="G36" s="11"/>
      <c r="H36" s="83">
        <v>103</v>
      </c>
      <c r="I36" s="7" t="s">
        <v>132</v>
      </c>
      <c r="J36" s="3">
        <v>0</v>
      </c>
      <c r="K36" s="3">
        <v>15</v>
      </c>
      <c r="L36" s="3">
        <v>1</v>
      </c>
      <c r="M36" s="3">
        <v>0</v>
      </c>
      <c r="N36" s="3">
        <v>0</v>
      </c>
      <c r="O36" s="3">
        <v>12</v>
      </c>
      <c r="P36" s="4">
        <f t="shared" si="0"/>
        <v>75</v>
      </c>
      <c r="Q36" s="1" t="s">
        <v>14</v>
      </c>
      <c r="R36" s="44">
        <v>50</v>
      </c>
      <c r="S36" s="47">
        <v>100</v>
      </c>
      <c r="T36" s="4"/>
    </row>
    <row r="37" spans="1:20" x14ac:dyDescent="0.25">
      <c r="A37" s="7">
        <v>34</v>
      </c>
      <c r="D37" s="19" t="s">
        <v>166</v>
      </c>
      <c r="E37" s="20"/>
      <c r="F37" s="20"/>
      <c r="G37" s="21"/>
      <c r="H37" s="69">
        <v>65</v>
      </c>
      <c r="I37" s="7" t="s">
        <v>2</v>
      </c>
      <c r="J37" s="3">
        <v>50</v>
      </c>
      <c r="K37" s="3">
        <v>15</v>
      </c>
      <c r="L37" s="3">
        <v>1</v>
      </c>
      <c r="M37" s="3">
        <v>0</v>
      </c>
      <c r="N37" s="3">
        <v>0</v>
      </c>
      <c r="O37" s="3">
        <v>12</v>
      </c>
      <c r="P37" s="4">
        <f t="shared" si="0"/>
        <v>87</v>
      </c>
      <c r="Q37" s="1" t="s">
        <v>14</v>
      </c>
      <c r="R37" s="44">
        <v>50</v>
      </c>
      <c r="S37" s="46">
        <v>200</v>
      </c>
      <c r="T37" s="4"/>
    </row>
    <row r="38" spans="1:20" x14ac:dyDescent="0.25">
      <c r="A38" s="7">
        <v>35</v>
      </c>
      <c r="D38" s="16" t="s">
        <v>143</v>
      </c>
      <c r="E38" s="17"/>
      <c r="F38" s="17"/>
      <c r="G38" s="18"/>
      <c r="H38" s="12">
        <v>108</v>
      </c>
      <c r="I38" s="7" t="s">
        <v>2</v>
      </c>
      <c r="J38" s="3">
        <v>0</v>
      </c>
      <c r="K38" s="3">
        <v>15</v>
      </c>
      <c r="L38" s="3">
        <v>1</v>
      </c>
      <c r="M38" s="3">
        <v>0</v>
      </c>
      <c r="N38" s="3">
        <v>0</v>
      </c>
      <c r="O38" s="3">
        <v>12</v>
      </c>
      <c r="P38" s="4">
        <f t="shared" si="0"/>
        <v>80</v>
      </c>
      <c r="Q38" s="1" t="s">
        <v>14</v>
      </c>
      <c r="R38" s="44">
        <v>50</v>
      </c>
      <c r="S38" s="46">
        <v>100</v>
      </c>
      <c r="T38" s="4"/>
    </row>
    <row r="39" spans="1:20" x14ac:dyDescent="0.25">
      <c r="A39" s="7">
        <v>36</v>
      </c>
      <c r="D39" s="9" t="s">
        <v>144</v>
      </c>
      <c r="E39" s="10"/>
      <c r="F39" s="10"/>
      <c r="G39" s="11"/>
      <c r="H39" s="12">
        <v>100</v>
      </c>
      <c r="I39" s="7" t="s">
        <v>2</v>
      </c>
      <c r="J39" s="3">
        <v>0</v>
      </c>
      <c r="K39" s="3">
        <v>15</v>
      </c>
      <c r="L39" s="3">
        <v>1</v>
      </c>
      <c r="M39" s="3">
        <v>0</v>
      </c>
      <c r="N39" s="3">
        <v>0</v>
      </c>
      <c r="O39" s="3">
        <v>12</v>
      </c>
      <c r="P39" s="4">
        <f t="shared" si="0"/>
        <v>72</v>
      </c>
      <c r="Q39" s="1" t="s">
        <v>14</v>
      </c>
      <c r="R39" s="44">
        <v>50</v>
      </c>
      <c r="S39" s="47">
        <v>100</v>
      </c>
      <c r="T39" s="4"/>
    </row>
    <row r="40" spans="1:20" x14ac:dyDescent="0.25">
      <c r="A40" s="7">
        <v>37</v>
      </c>
      <c r="D40" s="16" t="s">
        <v>42</v>
      </c>
      <c r="E40" s="17"/>
      <c r="F40" s="17"/>
      <c r="G40" s="18"/>
      <c r="H40" s="12">
        <v>100</v>
      </c>
      <c r="I40" s="7" t="s">
        <v>2</v>
      </c>
      <c r="J40" s="3">
        <v>0</v>
      </c>
      <c r="K40" s="3">
        <v>15</v>
      </c>
      <c r="L40" s="3">
        <v>1</v>
      </c>
      <c r="M40" s="3">
        <v>0</v>
      </c>
      <c r="N40" s="3">
        <v>0</v>
      </c>
      <c r="O40" s="3">
        <v>12</v>
      </c>
      <c r="P40" s="4">
        <f t="shared" si="0"/>
        <v>72</v>
      </c>
      <c r="Q40" s="1" t="s">
        <v>14</v>
      </c>
      <c r="R40" s="44">
        <v>50</v>
      </c>
      <c r="S40" s="47">
        <v>100</v>
      </c>
      <c r="T40" s="4"/>
    </row>
    <row r="41" spans="1:20" x14ac:dyDescent="0.25">
      <c r="A41" s="7">
        <v>38</v>
      </c>
      <c r="D41" s="9" t="s">
        <v>133</v>
      </c>
      <c r="E41" s="10"/>
      <c r="F41" s="10"/>
      <c r="G41" s="11"/>
      <c r="H41" s="12">
        <v>54</v>
      </c>
      <c r="I41" s="7" t="s">
        <v>2</v>
      </c>
      <c r="J41" s="3">
        <v>0</v>
      </c>
      <c r="K41" s="3">
        <v>0</v>
      </c>
      <c r="L41" s="3">
        <v>1</v>
      </c>
      <c r="M41" s="3">
        <v>0</v>
      </c>
      <c r="N41" s="3">
        <v>0</v>
      </c>
      <c r="O41" s="3">
        <v>0</v>
      </c>
      <c r="P41" s="4">
        <f t="shared" si="0"/>
        <v>53</v>
      </c>
      <c r="Q41" s="1" t="s">
        <v>14</v>
      </c>
      <c r="R41" s="44">
        <v>20</v>
      </c>
      <c r="S41" s="47">
        <v>50</v>
      </c>
      <c r="T41" s="4"/>
    </row>
    <row r="42" spans="1:20" x14ac:dyDescent="0.25">
      <c r="A42" s="7">
        <v>39</v>
      </c>
      <c r="D42" s="16" t="s">
        <v>145</v>
      </c>
      <c r="E42" s="17"/>
      <c r="F42" s="17"/>
      <c r="G42" s="18"/>
      <c r="H42" s="12">
        <v>54</v>
      </c>
      <c r="I42" s="7" t="s">
        <v>2</v>
      </c>
      <c r="J42" s="3">
        <v>0</v>
      </c>
      <c r="K42" s="3">
        <v>0</v>
      </c>
      <c r="L42" s="3">
        <v>1</v>
      </c>
      <c r="M42" s="3">
        <v>0</v>
      </c>
      <c r="N42" s="3">
        <v>0</v>
      </c>
      <c r="O42" s="3">
        <v>0</v>
      </c>
      <c r="P42" s="4">
        <f t="shared" si="0"/>
        <v>53</v>
      </c>
      <c r="Q42" s="1" t="s">
        <v>14</v>
      </c>
      <c r="R42" s="44">
        <v>20</v>
      </c>
      <c r="S42" s="46">
        <v>50</v>
      </c>
      <c r="T42" s="4"/>
    </row>
    <row r="43" spans="1:20" x14ac:dyDescent="0.25">
      <c r="A43" s="7">
        <v>40</v>
      </c>
      <c r="D43" s="9" t="s">
        <v>71</v>
      </c>
      <c r="E43" s="10"/>
      <c r="F43" s="10"/>
      <c r="G43" s="11"/>
      <c r="H43" s="12">
        <v>0</v>
      </c>
      <c r="I43" s="7" t="s">
        <v>2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4">
        <f t="shared" si="0"/>
        <v>0</v>
      </c>
      <c r="Q43" s="1" t="s">
        <v>14</v>
      </c>
      <c r="R43" s="44">
        <v>5</v>
      </c>
      <c r="S43" s="47">
        <v>10</v>
      </c>
      <c r="T43" s="4"/>
    </row>
    <row r="44" spans="1:20" x14ac:dyDescent="0.25">
      <c r="A44" s="7">
        <v>41</v>
      </c>
      <c r="D44" s="16" t="s">
        <v>10</v>
      </c>
      <c r="E44" s="17"/>
      <c r="F44" s="17"/>
      <c r="G44" s="18"/>
      <c r="H44" s="12">
        <v>55</v>
      </c>
      <c r="I44" s="7" t="s">
        <v>2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4">
        <f t="shared" si="0"/>
        <v>55</v>
      </c>
      <c r="Q44" s="1" t="s">
        <v>14</v>
      </c>
      <c r="R44" s="44">
        <v>40</v>
      </c>
      <c r="S44" s="47">
        <v>100</v>
      </c>
      <c r="T44" s="4"/>
    </row>
    <row r="45" spans="1:20" x14ac:dyDescent="0.25">
      <c r="A45" s="7">
        <v>42</v>
      </c>
      <c r="D45" s="9" t="s">
        <v>45</v>
      </c>
      <c r="E45" s="10"/>
      <c r="F45" s="10"/>
      <c r="G45" s="11"/>
      <c r="H45" s="12">
        <v>25</v>
      </c>
      <c r="I45" s="7" t="s">
        <v>2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4">
        <f t="shared" si="0"/>
        <v>25</v>
      </c>
      <c r="Q45" s="1" t="s">
        <v>14</v>
      </c>
      <c r="R45" s="44">
        <v>20</v>
      </c>
      <c r="S45" s="47">
        <v>50</v>
      </c>
      <c r="T45" s="4"/>
    </row>
    <row r="46" spans="1:20" x14ac:dyDescent="0.25">
      <c r="A46" s="7">
        <v>43</v>
      </c>
      <c r="D46" s="16" t="s">
        <v>46</v>
      </c>
      <c r="E46" s="17"/>
      <c r="F46" s="17"/>
      <c r="G46" s="18"/>
      <c r="H46" s="12">
        <v>30</v>
      </c>
      <c r="I46" s="7" t="s">
        <v>2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4">
        <f t="shared" si="0"/>
        <v>30</v>
      </c>
      <c r="Q46" s="1" t="s">
        <v>14</v>
      </c>
      <c r="R46" s="44">
        <v>20</v>
      </c>
      <c r="S46" s="47">
        <v>50</v>
      </c>
      <c r="T46" s="4"/>
    </row>
    <row r="47" spans="1:20" x14ac:dyDescent="0.25">
      <c r="A47" s="7">
        <v>44</v>
      </c>
      <c r="D47" s="9" t="s">
        <v>47</v>
      </c>
      <c r="E47" s="10"/>
      <c r="F47" s="10"/>
      <c r="G47" s="11"/>
      <c r="H47" s="12">
        <v>20</v>
      </c>
      <c r="I47" s="7" t="s">
        <v>2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4">
        <f t="shared" si="0"/>
        <v>20</v>
      </c>
      <c r="Q47" s="1" t="s">
        <v>14</v>
      </c>
      <c r="R47" s="44">
        <v>20</v>
      </c>
      <c r="S47" s="47">
        <v>50</v>
      </c>
      <c r="T47" s="4"/>
    </row>
    <row r="48" spans="1:20" x14ac:dyDescent="0.25">
      <c r="A48" s="7">
        <v>45</v>
      </c>
      <c r="D48" s="16" t="s">
        <v>175</v>
      </c>
      <c r="E48" s="17"/>
      <c r="F48" s="17"/>
      <c r="G48" s="18"/>
      <c r="H48" s="12">
        <v>1644</v>
      </c>
      <c r="I48" s="7" t="s">
        <v>2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4">
        <f t="shared" si="0"/>
        <v>1644</v>
      </c>
      <c r="Q48" s="1" t="s">
        <v>14</v>
      </c>
      <c r="R48" s="44">
        <v>10</v>
      </c>
      <c r="S48" s="47">
        <v>20</v>
      </c>
      <c r="T48" s="4"/>
    </row>
    <row r="49" spans="1:20" x14ac:dyDescent="0.25">
      <c r="A49" s="7">
        <v>46</v>
      </c>
      <c r="D49" s="9" t="s">
        <v>48</v>
      </c>
      <c r="E49" s="10"/>
      <c r="F49" s="10"/>
      <c r="G49" s="11"/>
      <c r="H49" s="12">
        <v>21</v>
      </c>
      <c r="I49" s="7" t="s">
        <v>2</v>
      </c>
      <c r="J49" s="3">
        <v>0</v>
      </c>
      <c r="K49" s="3">
        <v>0</v>
      </c>
      <c r="L49" s="3">
        <v>1</v>
      </c>
      <c r="M49" s="3">
        <v>0</v>
      </c>
      <c r="N49" s="3">
        <v>0</v>
      </c>
      <c r="O49" s="3">
        <v>0</v>
      </c>
      <c r="P49" s="4">
        <f t="shared" si="0"/>
        <v>20</v>
      </c>
      <c r="Q49" s="1" t="s">
        <v>14</v>
      </c>
      <c r="R49" s="44">
        <v>10</v>
      </c>
      <c r="S49" s="47">
        <v>20</v>
      </c>
      <c r="T49" s="4" t="s">
        <v>14</v>
      </c>
    </row>
    <row r="50" spans="1:20" x14ac:dyDescent="0.25">
      <c r="A50" s="7">
        <v>47</v>
      </c>
      <c r="D50" s="16" t="s">
        <v>49</v>
      </c>
      <c r="E50" s="17"/>
      <c r="F50" s="17"/>
      <c r="G50" s="18"/>
      <c r="H50" s="12">
        <v>88</v>
      </c>
      <c r="I50" s="7" t="s">
        <v>2</v>
      </c>
      <c r="J50" s="3">
        <v>0</v>
      </c>
      <c r="K50" s="3">
        <v>0</v>
      </c>
      <c r="L50" s="3">
        <v>1</v>
      </c>
      <c r="M50" s="3">
        <v>0</v>
      </c>
      <c r="N50" s="3">
        <v>0</v>
      </c>
      <c r="O50" s="3">
        <v>0</v>
      </c>
      <c r="P50" s="4">
        <f t="shared" si="0"/>
        <v>87</v>
      </c>
      <c r="Q50" s="1" t="s">
        <v>14</v>
      </c>
      <c r="R50" s="44">
        <v>10</v>
      </c>
      <c r="S50" s="47">
        <v>20</v>
      </c>
      <c r="T50" s="4"/>
    </row>
    <row r="51" spans="1:20" x14ac:dyDescent="0.25">
      <c r="A51" s="7">
        <v>48</v>
      </c>
      <c r="D51" s="9" t="s">
        <v>169</v>
      </c>
      <c r="E51" s="10"/>
      <c r="F51" s="10"/>
      <c r="G51" s="11"/>
      <c r="H51" s="12">
        <v>30</v>
      </c>
      <c r="I51" s="7" t="s">
        <v>1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4">
        <f t="shared" si="0"/>
        <v>30</v>
      </c>
      <c r="Q51" s="1" t="s">
        <v>14</v>
      </c>
      <c r="R51" s="44">
        <v>20</v>
      </c>
      <c r="S51" s="47">
        <v>100</v>
      </c>
      <c r="T51" s="4"/>
    </row>
    <row r="52" spans="1:20" x14ac:dyDescent="0.25">
      <c r="A52" s="7">
        <v>49</v>
      </c>
      <c r="D52" s="88"/>
      <c r="E52" s="89"/>
      <c r="F52" s="90" t="s">
        <v>111</v>
      </c>
      <c r="G52" s="87"/>
      <c r="H52" s="12">
        <v>245</v>
      </c>
      <c r="I52" s="7" t="s">
        <v>2</v>
      </c>
      <c r="J52" s="3">
        <v>0</v>
      </c>
      <c r="K52" s="3">
        <v>0</v>
      </c>
      <c r="L52" s="3">
        <v>0</v>
      </c>
      <c r="M52" s="3">
        <v>0</v>
      </c>
      <c r="N52" s="3">
        <v>40</v>
      </c>
      <c r="O52" s="3">
        <v>62</v>
      </c>
      <c r="P52" s="4">
        <f t="shared" si="0"/>
        <v>143</v>
      </c>
      <c r="Q52" s="1" t="s">
        <v>14</v>
      </c>
      <c r="R52" s="44">
        <v>30</v>
      </c>
      <c r="S52" s="47">
        <v>100</v>
      </c>
      <c r="T52" s="4"/>
    </row>
    <row r="53" spans="1:20" x14ac:dyDescent="0.25">
      <c r="A53" s="7">
        <v>50</v>
      </c>
      <c r="D53" s="9" t="s">
        <v>51</v>
      </c>
      <c r="E53" s="10"/>
      <c r="F53" s="10"/>
      <c r="G53" s="11"/>
      <c r="H53" s="12">
        <v>40</v>
      </c>
      <c r="I53" s="7" t="s">
        <v>2</v>
      </c>
      <c r="J53" s="3">
        <v>50</v>
      </c>
      <c r="K53" s="3">
        <v>12</v>
      </c>
      <c r="L53" s="3">
        <v>0</v>
      </c>
      <c r="M53" s="3">
        <v>0</v>
      </c>
      <c r="N53" s="3">
        <v>20</v>
      </c>
      <c r="O53" s="3">
        <v>0</v>
      </c>
      <c r="P53" s="4">
        <f t="shared" si="0"/>
        <v>58</v>
      </c>
      <c r="Q53" s="1" t="s">
        <v>14</v>
      </c>
      <c r="R53" s="44">
        <v>20</v>
      </c>
      <c r="S53" s="47">
        <v>50</v>
      </c>
      <c r="T53" s="4"/>
    </row>
    <row r="54" spans="1:20" x14ac:dyDescent="0.25">
      <c r="A54" s="7">
        <v>51</v>
      </c>
      <c r="D54" s="16" t="s">
        <v>52</v>
      </c>
      <c r="E54" s="17"/>
      <c r="F54" s="17"/>
      <c r="G54" s="18"/>
      <c r="H54" s="12">
        <v>40</v>
      </c>
      <c r="I54" s="7" t="s">
        <v>2</v>
      </c>
      <c r="J54" s="3">
        <v>50</v>
      </c>
      <c r="K54" s="3">
        <v>12</v>
      </c>
      <c r="L54" s="3">
        <v>0</v>
      </c>
      <c r="M54" s="3">
        <v>0</v>
      </c>
      <c r="N54" s="3">
        <v>20</v>
      </c>
      <c r="O54" s="3">
        <v>0</v>
      </c>
      <c r="P54" s="4">
        <f t="shared" si="0"/>
        <v>58</v>
      </c>
      <c r="Q54" s="1" t="s">
        <v>14</v>
      </c>
      <c r="R54" s="44">
        <v>20</v>
      </c>
      <c r="S54" s="47">
        <v>50</v>
      </c>
      <c r="T54" s="4" t="s">
        <v>14</v>
      </c>
    </row>
    <row r="55" spans="1:20" x14ac:dyDescent="0.25">
      <c r="A55" s="7">
        <v>52</v>
      </c>
      <c r="D55" s="9" t="s">
        <v>53</v>
      </c>
      <c r="E55" s="10"/>
      <c r="F55" s="10"/>
      <c r="G55" s="11"/>
      <c r="H55" s="12">
        <v>40</v>
      </c>
      <c r="I55" s="7" t="s">
        <v>2</v>
      </c>
      <c r="J55" s="3">
        <v>50</v>
      </c>
      <c r="K55" s="3">
        <v>12</v>
      </c>
      <c r="L55" s="3">
        <v>0</v>
      </c>
      <c r="M55" s="3">
        <v>0</v>
      </c>
      <c r="N55" s="3">
        <v>20</v>
      </c>
      <c r="O55" s="3">
        <v>0</v>
      </c>
      <c r="P55" s="4">
        <f t="shared" si="0"/>
        <v>58</v>
      </c>
      <c r="Q55" s="1" t="s">
        <v>14</v>
      </c>
      <c r="R55" s="44">
        <v>20</v>
      </c>
      <c r="S55" s="47">
        <v>50</v>
      </c>
      <c r="T55" s="4"/>
    </row>
    <row r="56" spans="1:20" x14ac:dyDescent="0.25">
      <c r="A56" s="7">
        <v>53</v>
      </c>
      <c r="D56" s="70" t="s">
        <v>54</v>
      </c>
      <c r="E56" s="71"/>
      <c r="F56" s="71"/>
      <c r="G56" s="72"/>
      <c r="H56" s="12">
        <v>675</v>
      </c>
      <c r="I56" s="7" t="s">
        <v>1</v>
      </c>
      <c r="J56" s="3">
        <v>900</v>
      </c>
      <c r="K56" s="3">
        <v>120</v>
      </c>
      <c r="L56" s="3">
        <v>195</v>
      </c>
      <c r="M56" s="3">
        <v>60</v>
      </c>
      <c r="N56" s="3">
        <v>135</v>
      </c>
      <c r="O56" s="3">
        <v>165</v>
      </c>
      <c r="P56" s="4">
        <f t="shared" si="0"/>
        <v>900</v>
      </c>
      <c r="Q56" s="1" t="s">
        <v>120</v>
      </c>
      <c r="R56" s="44">
        <v>250</v>
      </c>
      <c r="S56" s="47">
        <v>750</v>
      </c>
      <c r="T56" s="4"/>
    </row>
    <row r="57" spans="1:20" x14ac:dyDescent="0.25">
      <c r="A57" s="7">
        <v>54</v>
      </c>
      <c r="D57" s="16" t="s">
        <v>61</v>
      </c>
      <c r="E57" s="17"/>
      <c r="F57" s="17"/>
      <c r="G57" s="18"/>
      <c r="H57" s="12">
        <v>205</v>
      </c>
      <c r="I57" s="7" t="s">
        <v>2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  <c r="P57" s="4">
        <f t="shared" si="0"/>
        <v>205</v>
      </c>
      <c r="Q57" s="1" t="s">
        <v>14</v>
      </c>
      <c r="R57" s="44">
        <v>10</v>
      </c>
      <c r="S57" s="46">
        <v>200</v>
      </c>
      <c r="T57" s="4"/>
    </row>
    <row r="58" spans="1:20" x14ac:dyDescent="0.25">
      <c r="A58" s="7">
        <v>55</v>
      </c>
      <c r="D58" s="9" t="s">
        <v>62</v>
      </c>
      <c r="E58" s="10"/>
      <c r="F58" s="10"/>
      <c r="G58" s="11"/>
      <c r="H58" s="12">
        <v>570</v>
      </c>
      <c r="I58" s="7" t="s">
        <v>2</v>
      </c>
      <c r="J58" s="3">
        <v>998</v>
      </c>
      <c r="K58" s="3">
        <v>260</v>
      </c>
      <c r="L58" s="3">
        <v>155</v>
      </c>
      <c r="M58" s="3">
        <v>13</v>
      </c>
      <c r="N58" s="3">
        <v>0</v>
      </c>
      <c r="O58" s="3">
        <v>0</v>
      </c>
      <c r="P58" s="4">
        <f t="shared" si="0"/>
        <v>1140</v>
      </c>
      <c r="Q58" s="1" t="s">
        <v>14</v>
      </c>
      <c r="R58" s="44">
        <v>200</v>
      </c>
      <c r="S58" s="47">
        <v>1000</v>
      </c>
      <c r="T58" s="4"/>
    </row>
    <row r="59" spans="1:20" x14ac:dyDescent="0.25">
      <c r="A59" s="7">
        <v>56</v>
      </c>
      <c r="D59" s="16" t="s">
        <v>13</v>
      </c>
      <c r="E59" s="17"/>
      <c r="F59" s="17"/>
      <c r="G59" s="18"/>
      <c r="H59" s="12">
        <v>405</v>
      </c>
      <c r="I59" s="7" t="s">
        <v>2</v>
      </c>
      <c r="J59" s="3">
        <v>0</v>
      </c>
      <c r="K59" s="3">
        <v>16</v>
      </c>
      <c r="L59" s="3">
        <v>105</v>
      </c>
      <c r="M59" s="3">
        <v>0</v>
      </c>
      <c r="N59" s="3">
        <v>13</v>
      </c>
      <c r="O59" s="3">
        <v>30</v>
      </c>
      <c r="P59" s="4">
        <f t="shared" si="0"/>
        <v>241</v>
      </c>
      <c r="Q59" s="1" t="s">
        <v>14</v>
      </c>
      <c r="R59" s="44">
        <v>100</v>
      </c>
      <c r="S59" s="47">
        <v>300</v>
      </c>
      <c r="T59" s="4"/>
    </row>
    <row r="60" spans="1:20" x14ac:dyDescent="0.25">
      <c r="A60" s="7">
        <v>57</v>
      </c>
      <c r="D60" s="9" t="s">
        <v>72</v>
      </c>
      <c r="E60" s="10"/>
      <c r="F60" s="10"/>
      <c r="G60" s="11"/>
      <c r="H60" s="12">
        <v>130</v>
      </c>
      <c r="I60" s="7" t="s">
        <v>2</v>
      </c>
      <c r="J60" s="3">
        <v>0</v>
      </c>
      <c r="K60" s="3">
        <v>0</v>
      </c>
      <c r="L60" s="3">
        <v>0</v>
      </c>
      <c r="M60" s="3">
        <v>0</v>
      </c>
      <c r="N60" s="3">
        <v>6</v>
      </c>
      <c r="O60" s="3">
        <v>0</v>
      </c>
      <c r="P60" s="4">
        <f t="shared" si="0"/>
        <v>124</v>
      </c>
      <c r="Q60" s="1" t="s">
        <v>14</v>
      </c>
      <c r="R60" s="44">
        <v>100</v>
      </c>
      <c r="S60" s="47">
        <v>300</v>
      </c>
      <c r="T60" s="4"/>
    </row>
    <row r="61" spans="1:20" x14ac:dyDescent="0.25">
      <c r="A61" s="7">
        <v>58</v>
      </c>
      <c r="D61" s="16" t="s">
        <v>63</v>
      </c>
      <c r="E61" s="17"/>
      <c r="F61" s="17"/>
      <c r="G61" s="18"/>
      <c r="H61" s="12">
        <v>81</v>
      </c>
      <c r="I61" s="7" t="s">
        <v>2</v>
      </c>
      <c r="J61" s="3">
        <v>0</v>
      </c>
      <c r="K61" s="3">
        <v>0</v>
      </c>
      <c r="L61" s="3">
        <v>0</v>
      </c>
      <c r="M61" s="3">
        <v>40</v>
      </c>
      <c r="N61" s="3">
        <v>0</v>
      </c>
      <c r="O61" s="3">
        <v>0</v>
      </c>
      <c r="P61" s="4">
        <f t="shared" si="0"/>
        <v>41</v>
      </c>
      <c r="Q61" s="1" t="s">
        <v>14</v>
      </c>
      <c r="R61" s="44">
        <v>100</v>
      </c>
      <c r="S61" s="47">
        <v>300</v>
      </c>
      <c r="T61" s="4"/>
    </row>
    <row r="62" spans="1:20" x14ac:dyDescent="0.25">
      <c r="A62" s="7">
        <v>59</v>
      </c>
      <c r="D62" s="9" t="s">
        <v>181</v>
      </c>
      <c r="E62" s="10"/>
      <c r="F62" s="10"/>
      <c r="G62" s="11"/>
      <c r="H62" s="12">
        <v>400</v>
      </c>
      <c r="I62" s="7" t="s">
        <v>2</v>
      </c>
      <c r="J62" s="3">
        <v>0</v>
      </c>
      <c r="K62" s="3">
        <v>0</v>
      </c>
      <c r="L62" s="3">
        <v>20</v>
      </c>
      <c r="M62" s="3">
        <v>0</v>
      </c>
      <c r="N62" s="3">
        <v>0</v>
      </c>
      <c r="O62" s="3">
        <v>0</v>
      </c>
      <c r="P62" s="4">
        <f t="shared" si="0"/>
        <v>380</v>
      </c>
      <c r="Q62" s="1" t="s">
        <v>14</v>
      </c>
      <c r="R62" s="44">
        <v>100</v>
      </c>
      <c r="S62" s="47">
        <v>300</v>
      </c>
      <c r="T62" s="4"/>
    </row>
    <row r="63" spans="1:20" x14ac:dyDescent="0.25">
      <c r="A63" s="7">
        <v>60</v>
      </c>
      <c r="D63" s="16" t="s">
        <v>130</v>
      </c>
      <c r="E63" s="17"/>
      <c r="F63" s="17"/>
      <c r="G63" s="18"/>
      <c r="H63" s="12">
        <v>173</v>
      </c>
      <c r="I63" s="7" t="s">
        <v>2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4">
        <f t="shared" si="0"/>
        <v>173</v>
      </c>
      <c r="Q63" s="1" t="s">
        <v>14</v>
      </c>
      <c r="R63" s="44">
        <v>20</v>
      </c>
      <c r="S63" s="46">
        <v>200</v>
      </c>
      <c r="T63" s="4"/>
    </row>
    <row r="64" spans="1:20" x14ac:dyDescent="0.25">
      <c r="A64" s="7">
        <v>61</v>
      </c>
      <c r="D64" s="26" t="s">
        <v>146</v>
      </c>
      <c r="E64" s="27"/>
      <c r="F64" s="27"/>
      <c r="G64" s="28"/>
      <c r="H64" s="12">
        <v>0</v>
      </c>
      <c r="I64" s="30" t="s">
        <v>2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4">
        <f t="shared" si="0"/>
        <v>0</v>
      </c>
      <c r="Q64" s="1" t="s">
        <v>14</v>
      </c>
      <c r="R64" s="44">
        <v>50</v>
      </c>
      <c r="S64" s="47">
        <v>100</v>
      </c>
      <c r="T64" s="4"/>
    </row>
    <row r="65" spans="1:20" x14ac:dyDescent="0.25">
      <c r="A65" s="7">
        <v>62</v>
      </c>
      <c r="D65" s="16" t="s">
        <v>65</v>
      </c>
      <c r="E65" s="17"/>
      <c r="F65" s="17"/>
      <c r="G65" s="18"/>
      <c r="H65" s="12">
        <v>35</v>
      </c>
      <c r="I65" s="7" t="s">
        <v>2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4">
        <f t="shared" si="0"/>
        <v>35</v>
      </c>
      <c r="Q65" s="1" t="s">
        <v>14</v>
      </c>
      <c r="R65" s="44">
        <v>10</v>
      </c>
      <c r="S65" s="46">
        <v>50</v>
      </c>
      <c r="T65" s="4"/>
    </row>
    <row r="66" spans="1:20" x14ac:dyDescent="0.25">
      <c r="A66" s="7">
        <v>63</v>
      </c>
      <c r="D66" s="9" t="s">
        <v>66</v>
      </c>
      <c r="E66" s="10"/>
      <c r="F66" s="10"/>
      <c r="G66" s="11"/>
      <c r="H66" s="12">
        <v>50</v>
      </c>
      <c r="I66" s="7" t="s">
        <v>2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  <c r="P66" s="4">
        <f t="shared" si="0"/>
        <v>50</v>
      </c>
      <c r="Q66" s="1" t="s">
        <v>14</v>
      </c>
      <c r="R66" s="44">
        <v>300</v>
      </c>
      <c r="S66" s="47">
        <v>1000</v>
      </c>
      <c r="T66" s="4"/>
    </row>
    <row r="67" spans="1:20" x14ac:dyDescent="0.25">
      <c r="A67" s="7">
        <v>64</v>
      </c>
      <c r="D67" s="19" t="s">
        <v>165</v>
      </c>
      <c r="E67" s="20"/>
      <c r="F67" s="20"/>
      <c r="G67" s="21"/>
      <c r="H67" s="12">
        <v>50</v>
      </c>
      <c r="I67" s="7" t="s">
        <v>2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  <c r="P67" s="4">
        <f t="shared" si="0"/>
        <v>50</v>
      </c>
      <c r="Q67" s="1" t="s">
        <v>14</v>
      </c>
      <c r="R67" s="44">
        <v>50</v>
      </c>
      <c r="S67" s="47">
        <v>150</v>
      </c>
      <c r="T67" s="4"/>
    </row>
    <row r="68" spans="1:20" x14ac:dyDescent="0.25">
      <c r="A68" s="7">
        <v>65</v>
      </c>
      <c r="D68" s="22" t="s">
        <v>74</v>
      </c>
      <c r="E68" s="10"/>
      <c r="F68" s="10"/>
      <c r="G68" s="11"/>
      <c r="H68" s="12">
        <v>109</v>
      </c>
      <c r="I68" s="8" t="s">
        <v>75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4">
        <f t="shared" ref="P68:P89" si="1">+H68+J68-K68-L68-M68-N68-O68</f>
        <v>109</v>
      </c>
      <c r="Q68" s="1" t="s">
        <v>91</v>
      </c>
      <c r="R68" s="44">
        <v>65</v>
      </c>
      <c r="S68" s="47">
        <v>150</v>
      </c>
      <c r="T68" s="4"/>
    </row>
    <row r="69" spans="1:20" x14ac:dyDescent="0.25">
      <c r="A69" s="7">
        <v>66</v>
      </c>
      <c r="C69" s="1" t="s">
        <v>14</v>
      </c>
      <c r="D69" s="22" t="s">
        <v>76</v>
      </c>
      <c r="E69" s="10"/>
      <c r="F69" s="10"/>
      <c r="G69" s="11"/>
      <c r="H69" s="12">
        <v>215</v>
      </c>
      <c r="I69" s="8" t="s">
        <v>2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4">
        <f t="shared" si="1"/>
        <v>215</v>
      </c>
      <c r="Q69" s="1" t="s">
        <v>14</v>
      </c>
      <c r="R69" s="44">
        <v>50</v>
      </c>
      <c r="S69" s="47">
        <v>100</v>
      </c>
      <c r="T69" s="4"/>
    </row>
    <row r="70" spans="1:20" x14ac:dyDescent="0.25">
      <c r="A70" s="7">
        <v>67</v>
      </c>
      <c r="D70" s="25" t="s">
        <v>147</v>
      </c>
      <c r="H70" s="12">
        <v>792</v>
      </c>
      <c r="I70" s="30" t="s">
        <v>2</v>
      </c>
      <c r="J70" s="3">
        <v>0</v>
      </c>
      <c r="K70" s="3">
        <v>54</v>
      </c>
      <c r="L70" s="3">
        <v>1</v>
      </c>
      <c r="M70" s="3">
        <v>0</v>
      </c>
      <c r="N70" s="3">
        <v>450</v>
      </c>
      <c r="O70" s="3">
        <v>0</v>
      </c>
      <c r="P70" s="4">
        <f t="shared" si="1"/>
        <v>287</v>
      </c>
      <c r="Q70" s="1" t="s">
        <v>14</v>
      </c>
      <c r="R70" s="44">
        <v>50</v>
      </c>
      <c r="S70" s="47">
        <v>100</v>
      </c>
      <c r="T70" s="4"/>
    </row>
    <row r="71" spans="1:20" x14ac:dyDescent="0.25">
      <c r="A71" s="7">
        <v>68</v>
      </c>
      <c r="D71" s="26" t="s">
        <v>80</v>
      </c>
      <c r="E71" s="27"/>
      <c r="F71" s="27"/>
      <c r="G71" s="28"/>
      <c r="H71" s="12">
        <v>43</v>
      </c>
      <c r="I71" s="8" t="s">
        <v>2</v>
      </c>
      <c r="J71" s="3">
        <v>0</v>
      </c>
      <c r="K71" s="3">
        <v>12</v>
      </c>
      <c r="L71" s="3">
        <v>0</v>
      </c>
      <c r="M71" s="3">
        <v>0</v>
      </c>
      <c r="N71" s="3">
        <v>0</v>
      </c>
      <c r="O71" s="3">
        <v>0</v>
      </c>
      <c r="P71" s="4">
        <f t="shared" si="1"/>
        <v>31</v>
      </c>
      <c r="Q71" s="1" t="s">
        <v>14</v>
      </c>
      <c r="R71" s="44">
        <v>20</v>
      </c>
      <c r="S71" s="46">
        <v>200</v>
      </c>
      <c r="T71" s="4"/>
    </row>
    <row r="72" spans="1:20" x14ac:dyDescent="0.25">
      <c r="A72" s="7">
        <v>69</v>
      </c>
      <c r="D72" s="26" t="s">
        <v>84</v>
      </c>
      <c r="E72" s="27"/>
      <c r="F72" s="27"/>
      <c r="G72" s="28"/>
      <c r="H72" s="12">
        <v>0</v>
      </c>
      <c r="I72" s="8" t="s">
        <v>2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  <c r="P72" s="4">
        <f t="shared" si="1"/>
        <v>0</v>
      </c>
      <c r="Q72" s="1" t="s">
        <v>14</v>
      </c>
      <c r="R72" s="44">
        <v>100</v>
      </c>
      <c r="S72" s="47">
        <v>200</v>
      </c>
      <c r="T72" s="4"/>
    </row>
    <row r="73" spans="1:20" x14ac:dyDescent="0.25">
      <c r="A73" s="7">
        <v>70</v>
      </c>
      <c r="D73" s="26" t="s">
        <v>167</v>
      </c>
      <c r="E73" s="27"/>
      <c r="F73" s="27"/>
      <c r="G73" s="28"/>
      <c r="H73" s="12">
        <v>62</v>
      </c>
      <c r="I73" s="8" t="s">
        <v>2</v>
      </c>
      <c r="J73" s="3">
        <v>0</v>
      </c>
      <c r="K73" s="3">
        <v>12</v>
      </c>
      <c r="L73" s="3">
        <v>0</v>
      </c>
      <c r="M73" s="3">
        <v>0</v>
      </c>
      <c r="N73" s="3">
        <v>0</v>
      </c>
      <c r="O73" s="3">
        <v>0</v>
      </c>
      <c r="P73" s="4">
        <f t="shared" si="1"/>
        <v>50</v>
      </c>
      <c r="R73" s="44">
        <v>20</v>
      </c>
      <c r="S73" s="46">
        <v>200</v>
      </c>
      <c r="T73" s="4"/>
    </row>
    <row r="74" spans="1:20" x14ac:dyDescent="0.25">
      <c r="A74" s="7">
        <v>71</v>
      </c>
      <c r="D74" s="37" t="s">
        <v>176</v>
      </c>
      <c r="E74" s="17"/>
      <c r="F74" s="33"/>
      <c r="G74" s="33"/>
      <c r="H74" s="12">
        <v>2000</v>
      </c>
      <c r="I74" s="8" t="s">
        <v>2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4">
        <f t="shared" si="1"/>
        <v>2000</v>
      </c>
      <c r="Q74" s="1" t="s">
        <v>14</v>
      </c>
      <c r="R74" s="44">
        <v>100</v>
      </c>
      <c r="S74" s="47">
        <v>500</v>
      </c>
      <c r="T74" s="4"/>
    </row>
    <row r="75" spans="1:20" x14ac:dyDescent="0.25">
      <c r="A75" s="7">
        <v>72</v>
      </c>
      <c r="D75" s="22" t="s">
        <v>100</v>
      </c>
      <c r="E75" s="10"/>
      <c r="F75" s="10"/>
      <c r="G75" s="28"/>
      <c r="H75" s="12">
        <v>0</v>
      </c>
      <c r="I75" s="8" t="s">
        <v>2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4">
        <f t="shared" si="1"/>
        <v>0</v>
      </c>
      <c r="R75" s="44">
        <v>0</v>
      </c>
      <c r="S75" s="46"/>
      <c r="T75" s="4"/>
    </row>
    <row r="76" spans="1:20" x14ac:dyDescent="0.25">
      <c r="A76" s="7">
        <v>73</v>
      </c>
      <c r="D76" s="37" t="s">
        <v>113</v>
      </c>
      <c r="E76" s="17"/>
      <c r="F76" s="17"/>
      <c r="G76" s="33"/>
      <c r="H76" s="12">
        <v>210</v>
      </c>
      <c r="I76" s="8" t="s">
        <v>97</v>
      </c>
      <c r="J76" s="3">
        <v>1104</v>
      </c>
      <c r="K76" s="3">
        <v>42</v>
      </c>
      <c r="L76" s="3">
        <v>46</v>
      </c>
      <c r="M76" s="3">
        <v>110</v>
      </c>
      <c r="N76" s="3">
        <v>106</v>
      </c>
      <c r="O76" s="3">
        <v>87</v>
      </c>
      <c r="P76" s="4">
        <f t="shared" si="1"/>
        <v>923</v>
      </c>
      <c r="Q76" s="65" t="s">
        <v>121</v>
      </c>
      <c r="R76" s="44">
        <v>100</v>
      </c>
      <c r="S76" s="47">
        <v>800</v>
      </c>
      <c r="T76" s="4"/>
    </row>
    <row r="77" spans="1:20" x14ac:dyDescent="0.25">
      <c r="A77" s="7">
        <v>74</v>
      </c>
      <c r="D77" s="22" t="s">
        <v>103</v>
      </c>
      <c r="E77" s="10"/>
      <c r="F77" s="10"/>
      <c r="G77" s="28"/>
      <c r="H77" s="12">
        <v>102</v>
      </c>
      <c r="I77" s="8" t="s">
        <v>132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4">
        <f t="shared" si="1"/>
        <v>102</v>
      </c>
      <c r="R77" s="44">
        <v>60</v>
      </c>
      <c r="S77" s="47">
        <v>100</v>
      </c>
      <c r="T77" s="4"/>
    </row>
    <row r="78" spans="1:20" x14ac:dyDescent="0.25">
      <c r="A78" s="8">
        <v>75</v>
      </c>
      <c r="D78" s="49" t="s">
        <v>108</v>
      </c>
      <c r="E78" s="20"/>
      <c r="F78" s="20"/>
      <c r="G78" s="20"/>
      <c r="H78" s="12">
        <v>36500</v>
      </c>
      <c r="I78" s="8" t="s">
        <v>110</v>
      </c>
      <c r="J78" s="3">
        <v>0</v>
      </c>
      <c r="K78" s="3">
        <v>1500</v>
      </c>
      <c r="L78" s="3">
        <v>1000</v>
      </c>
      <c r="M78" s="3">
        <v>1500</v>
      </c>
      <c r="N78" s="3">
        <v>1500</v>
      </c>
      <c r="O78" s="3">
        <v>500</v>
      </c>
      <c r="P78" s="4">
        <f t="shared" si="1"/>
        <v>30500</v>
      </c>
      <c r="R78" s="43">
        <v>1000</v>
      </c>
      <c r="S78" s="46">
        <v>10000</v>
      </c>
      <c r="T78" s="4"/>
    </row>
    <row r="79" spans="1:20" x14ac:dyDescent="0.25">
      <c r="A79" s="48">
        <v>76</v>
      </c>
      <c r="B79" s="41"/>
      <c r="C79" s="41"/>
      <c r="D79" s="22" t="s">
        <v>115</v>
      </c>
      <c r="E79" s="10"/>
      <c r="F79" s="10"/>
      <c r="G79" s="11"/>
      <c r="H79" s="12">
        <v>805</v>
      </c>
      <c r="I79" s="62" t="s">
        <v>2</v>
      </c>
      <c r="J79" s="3">
        <v>0</v>
      </c>
      <c r="K79" s="3">
        <v>54</v>
      </c>
      <c r="L79" s="3">
        <v>1</v>
      </c>
      <c r="M79" s="3">
        <v>0</v>
      </c>
      <c r="N79" s="3">
        <v>2</v>
      </c>
      <c r="O79" s="3">
        <v>447</v>
      </c>
      <c r="P79" s="64">
        <f t="shared" si="1"/>
        <v>301</v>
      </c>
      <c r="R79" s="64">
        <v>50</v>
      </c>
      <c r="S79" s="64">
        <v>100</v>
      </c>
      <c r="T79" s="4" t="s">
        <v>14</v>
      </c>
    </row>
    <row r="80" spans="1:20" x14ac:dyDescent="0.25">
      <c r="A80" s="73">
        <v>77</v>
      </c>
      <c r="B80" s="41"/>
      <c r="C80" s="41"/>
      <c r="D80" s="49" t="s">
        <v>134</v>
      </c>
      <c r="E80" s="35"/>
      <c r="F80" s="35"/>
      <c r="G80" s="60"/>
      <c r="H80" s="12">
        <v>115</v>
      </c>
      <c r="I80" s="8" t="s">
        <v>2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  <c r="P80" s="4">
        <f t="shared" si="1"/>
        <v>115</v>
      </c>
      <c r="Q80" s="4"/>
      <c r="R80" s="4">
        <v>20</v>
      </c>
      <c r="S80" s="4">
        <v>50</v>
      </c>
      <c r="T80" s="4"/>
    </row>
    <row r="81" spans="1:20" x14ac:dyDescent="0.25">
      <c r="A81" s="8">
        <v>78</v>
      </c>
      <c r="D81" s="22" t="s">
        <v>123</v>
      </c>
      <c r="E81" s="10"/>
      <c r="F81" s="10"/>
      <c r="G81" s="11"/>
      <c r="H81" s="12">
        <v>750</v>
      </c>
      <c r="I81" s="8" t="s">
        <v>2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  <c r="P81" s="4">
        <f t="shared" si="1"/>
        <v>750</v>
      </c>
      <c r="Q81" s="4"/>
      <c r="R81" s="4">
        <v>100</v>
      </c>
      <c r="S81" s="4">
        <v>500</v>
      </c>
      <c r="T81" s="4"/>
    </row>
    <row r="82" spans="1:20" x14ac:dyDescent="0.25">
      <c r="A82" s="48">
        <v>79</v>
      </c>
      <c r="B82" s="41"/>
      <c r="C82" s="41"/>
      <c r="D82" s="22" t="s">
        <v>177</v>
      </c>
      <c r="E82" s="10"/>
      <c r="F82" s="10"/>
      <c r="G82" s="11"/>
      <c r="H82" s="4">
        <v>700</v>
      </c>
      <c r="I82" s="8" t="s">
        <v>110</v>
      </c>
      <c r="J82" s="3">
        <v>0</v>
      </c>
      <c r="K82" s="3">
        <v>100</v>
      </c>
      <c r="L82" s="3">
        <v>0</v>
      </c>
      <c r="M82" s="3">
        <v>0</v>
      </c>
      <c r="N82" s="3">
        <v>0</v>
      </c>
      <c r="O82" s="3">
        <v>0</v>
      </c>
      <c r="P82" s="4">
        <f t="shared" si="1"/>
        <v>600</v>
      </c>
      <c r="Q82" s="4"/>
      <c r="R82" s="4">
        <v>10</v>
      </c>
      <c r="S82" s="4">
        <v>50</v>
      </c>
      <c r="T82" s="4"/>
    </row>
    <row r="83" spans="1:20" x14ac:dyDescent="0.25">
      <c r="A83" s="48">
        <v>80</v>
      </c>
      <c r="B83" s="41"/>
      <c r="C83" s="41"/>
      <c r="D83" s="37" t="s">
        <v>178</v>
      </c>
      <c r="E83" s="17"/>
      <c r="F83" s="17"/>
      <c r="G83" s="18"/>
      <c r="H83" s="64">
        <v>9000</v>
      </c>
      <c r="I83" s="62" t="s">
        <v>110</v>
      </c>
      <c r="J83" s="3">
        <v>0</v>
      </c>
      <c r="K83" s="3">
        <v>100</v>
      </c>
      <c r="L83" s="3">
        <v>0</v>
      </c>
      <c r="M83" s="3">
        <v>0</v>
      </c>
      <c r="N83" s="3">
        <v>0</v>
      </c>
      <c r="O83" s="3">
        <v>0</v>
      </c>
      <c r="P83" s="64">
        <f t="shared" si="1"/>
        <v>8900</v>
      </c>
      <c r="Q83" s="64"/>
      <c r="R83" s="64">
        <v>10</v>
      </c>
      <c r="S83" s="64">
        <v>50</v>
      </c>
      <c r="T83" s="4"/>
    </row>
    <row r="84" spans="1:20" x14ac:dyDescent="0.25">
      <c r="A84" s="48">
        <v>81</v>
      </c>
      <c r="B84" s="11"/>
      <c r="C84" s="23"/>
      <c r="D84" s="23" t="s">
        <v>149</v>
      </c>
      <c r="E84" s="23"/>
      <c r="F84" s="23"/>
      <c r="G84" s="23"/>
      <c r="H84" s="23">
        <v>10</v>
      </c>
      <c r="I84" s="8" t="s">
        <v>2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4">
        <f t="shared" si="1"/>
        <v>10</v>
      </c>
      <c r="Q84" s="4"/>
      <c r="R84" s="4">
        <v>10</v>
      </c>
      <c r="S84" s="4">
        <v>50</v>
      </c>
      <c r="T84" s="4"/>
    </row>
    <row r="85" spans="1:20" x14ac:dyDescent="0.25">
      <c r="A85" s="8">
        <v>82</v>
      </c>
      <c r="D85" s="68" t="s">
        <v>148</v>
      </c>
      <c r="E85" s="27"/>
      <c r="F85" s="27"/>
      <c r="G85" s="28"/>
      <c r="H85" s="4">
        <v>0</v>
      </c>
      <c r="I85" s="8" t="s">
        <v>2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4">
        <f t="shared" si="1"/>
        <v>0</v>
      </c>
      <c r="Q85" s="4"/>
      <c r="R85" s="4">
        <v>50</v>
      </c>
      <c r="S85" s="4">
        <v>200</v>
      </c>
      <c r="T85" s="4"/>
    </row>
    <row r="86" spans="1:20" ht="15.75" customHeight="1" x14ac:dyDescent="0.25">
      <c r="A86" s="8">
        <v>83</v>
      </c>
      <c r="D86" s="79" t="s">
        <v>150</v>
      </c>
      <c r="E86" s="80"/>
      <c r="F86" s="81"/>
      <c r="G86" s="82"/>
      <c r="H86" s="4">
        <v>150</v>
      </c>
      <c r="I86" s="8" t="s">
        <v>2</v>
      </c>
      <c r="J86" s="3">
        <v>0</v>
      </c>
      <c r="K86" s="3">
        <v>40</v>
      </c>
      <c r="L86" s="3">
        <v>25</v>
      </c>
      <c r="M86" s="3">
        <v>42</v>
      </c>
      <c r="N86" s="3">
        <v>0</v>
      </c>
      <c r="O86" s="3">
        <v>12</v>
      </c>
      <c r="P86" s="4">
        <f t="shared" si="1"/>
        <v>31</v>
      </c>
      <c r="Q86" s="4"/>
      <c r="R86" s="4">
        <v>50</v>
      </c>
      <c r="S86" s="4">
        <v>300</v>
      </c>
      <c r="T86" s="4"/>
    </row>
    <row r="87" spans="1:20" x14ac:dyDescent="0.25">
      <c r="A87" s="8">
        <v>84</v>
      </c>
      <c r="D87" s="22" t="s">
        <v>160</v>
      </c>
      <c r="E87" s="10"/>
      <c r="F87" s="10"/>
      <c r="G87" s="11"/>
      <c r="H87" s="23">
        <v>603</v>
      </c>
      <c r="I87" s="8" t="s">
        <v>2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4">
        <f t="shared" si="1"/>
        <v>603</v>
      </c>
      <c r="Q87" s="4"/>
      <c r="R87" s="4">
        <v>20</v>
      </c>
      <c r="S87" s="4">
        <v>300</v>
      </c>
      <c r="T87" s="4"/>
    </row>
    <row r="88" spans="1:20" x14ac:dyDescent="0.25">
      <c r="A88" s="8">
        <v>85</v>
      </c>
      <c r="D88" s="49" t="s">
        <v>153</v>
      </c>
      <c r="E88" s="20"/>
      <c r="F88" s="20"/>
      <c r="G88" s="21"/>
      <c r="H88" s="23">
        <v>8</v>
      </c>
      <c r="I88" s="8" t="s">
        <v>2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4">
        <f t="shared" si="1"/>
        <v>8</v>
      </c>
      <c r="Q88" s="4"/>
      <c r="R88" s="4">
        <v>10</v>
      </c>
      <c r="S88" s="4">
        <v>200</v>
      </c>
      <c r="T88" s="4"/>
    </row>
    <row r="89" spans="1:20" x14ac:dyDescent="0.25">
      <c r="A89" s="77">
        <v>86</v>
      </c>
      <c r="D89" s="68" t="s">
        <v>179</v>
      </c>
      <c r="E89" s="27"/>
      <c r="F89" s="27"/>
      <c r="G89" s="28"/>
      <c r="H89" s="74">
        <v>500</v>
      </c>
      <c r="I89" s="75" t="s">
        <v>110</v>
      </c>
      <c r="J89" s="3">
        <v>0</v>
      </c>
      <c r="K89" s="3">
        <v>0</v>
      </c>
      <c r="L89" s="3">
        <v>0</v>
      </c>
      <c r="M89" s="3">
        <v>0</v>
      </c>
      <c r="N89" s="3">
        <v>0</v>
      </c>
      <c r="O89" s="3">
        <v>0</v>
      </c>
      <c r="P89" s="4">
        <f t="shared" si="1"/>
        <v>500</v>
      </c>
      <c r="Q89" s="4"/>
      <c r="R89" s="4">
        <v>10</v>
      </c>
      <c r="S89" s="4">
        <v>50</v>
      </c>
      <c r="T89" s="4"/>
    </row>
  </sheetData>
  <pageMargins left="0.75" right="0.75" top="1" bottom="1" header="0.5" footer="0.5"/>
  <pageSetup paperSize="9" orientation="portrait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T89"/>
  <sheetViews>
    <sheetView topLeftCell="A73" workbookViewId="0">
      <selection activeCell="A82" sqref="A82:XFD82"/>
    </sheetView>
  </sheetViews>
  <sheetFormatPr defaultRowHeight="15" x14ac:dyDescent="0.25"/>
  <cols>
    <col min="1" max="1" width="5.5703125" customWidth="1"/>
    <col min="2" max="3" width="9.140625" hidden="1" customWidth="1"/>
    <col min="6" max="6" width="12.7109375" customWidth="1"/>
    <col min="8" max="8" width="10.140625" customWidth="1"/>
    <col min="9" max="9" width="10" customWidth="1"/>
    <col min="10" max="10" width="7.7109375" customWidth="1"/>
    <col min="11" max="11" width="10.7109375" customWidth="1"/>
    <col min="12" max="12" width="10.140625" customWidth="1"/>
    <col min="13" max="13" width="11.85546875" customWidth="1"/>
    <col min="14" max="15" width="11.7109375" customWidth="1"/>
    <col min="16" max="16" width="10.140625" customWidth="1"/>
    <col min="17" max="17" width="4.7109375" customWidth="1"/>
    <col min="18" max="18" width="10.140625" customWidth="1"/>
    <col min="19" max="19" width="11.5703125" customWidth="1"/>
    <col min="20" max="20" width="0.28515625" customWidth="1"/>
  </cols>
  <sheetData>
    <row r="1" spans="1:20" x14ac:dyDescent="0.25">
      <c r="G1" s="1"/>
      <c r="P1">
        <f>+H1+J1-K1-L1-M1-N1-O1</f>
        <v>0</v>
      </c>
    </row>
    <row r="2" spans="1:20" x14ac:dyDescent="0.25">
      <c r="A2" t="s">
        <v>14</v>
      </c>
      <c r="D2" s="78">
        <v>45689</v>
      </c>
      <c r="O2" s="38" t="s">
        <v>14</v>
      </c>
      <c r="S2" s="50">
        <v>45656</v>
      </c>
    </row>
    <row r="3" spans="1:20" x14ac:dyDescent="0.25">
      <c r="A3" s="3" t="s">
        <v>15</v>
      </c>
      <c r="D3" s="9" t="s">
        <v>17</v>
      </c>
      <c r="E3" s="10"/>
      <c r="F3" s="10"/>
      <c r="G3" s="11"/>
      <c r="H3" s="12" t="s">
        <v>18</v>
      </c>
      <c r="I3" s="4" t="s">
        <v>19</v>
      </c>
      <c r="J3" s="3" t="s">
        <v>20</v>
      </c>
      <c r="K3" s="5">
        <v>45695</v>
      </c>
      <c r="L3" s="6">
        <v>45702</v>
      </c>
      <c r="M3" s="5">
        <v>45709</v>
      </c>
      <c r="N3" s="5">
        <v>45716</v>
      </c>
      <c r="O3" s="6">
        <v>0</v>
      </c>
      <c r="P3" s="3" t="s">
        <v>21</v>
      </c>
      <c r="R3" s="42" t="s">
        <v>105</v>
      </c>
      <c r="S3" s="45" t="s">
        <v>104</v>
      </c>
      <c r="T3" s="4"/>
    </row>
    <row r="4" spans="1:20" x14ac:dyDescent="0.25">
      <c r="A4" s="7">
        <v>1</v>
      </c>
      <c r="D4" s="13" t="s">
        <v>16</v>
      </c>
      <c r="E4" s="14"/>
      <c r="F4" s="14"/>
      <c r="G4" s="15"/>
      <c r="H4" s="12">
        <v>92</v>
      </c>
      <c r="I4" s="7" t="s">
        <v>1</v>
      </c>
      <c r="J4" s="3">
        <v>0</v>
      </c>
      <c r="K4" s="3">
        <v>0</v>
      </c>
      <c r="L4" s="3">
        <v>0</v>
      </c>
      <c r="M4" s="3">
        <v>46</v>
      </c>
      <c r="N4" s="3">
        <v>0</v>
      </c>
      <c r="O4" s="3">
        <v>0</v>
      </c>
      <c r="P4" s="4">
        <f t="shared" ref="P4:P67" si="0">+H4+J4-K4-L4-M4-N4-O4</f>
        <v>46</v>
      </c>
      <c r="Q4" t="s">
        <v>173</v>
      </c>
      <c r="R4" s="43">
        <v>100</v>
      </c>
      <c r="S4" s="46">
        <v>500</v>
      </c>
      <c r="T4" s="4" t="s">
        <v>14</v>
      </c>
    </row>
    <row r="5" spans="1:20" x14ac:dyDescent="0.25">
      <c r="A5" s="7">
        <v>2</v>
      </c>
      <c r="D5" s="9" t="s">
        <v>14</v>
      </c>
      <c r="E5" s="10"/>
      <c r="F5" s="10"/>
      <c r="G5" s="11"/>
      <c r="H5" s="12">
        <v>0</v>
      </c>
      <c r="I5" s="7" t="s">
        <v>2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4">
        <f t="shared" si="0"/>
        <v>0</v>
      </c>
      <c r="Q5" s="1" t="s">
        <v>14</v>
      </c>
      <c r="R5" s="44">
        <v>6</v>
      </c>
      <c r="S5" s="47">
        <v>10</v>
      </c>
      <c r="T5" s="4"/>
    </row>
    <row r="6" spans="1:20" x14ac:dyDescent="0.25">
      <c r="A6" s="7">
        <v>3</v>
      </c>
      <c r="D6" s="16" t="s">
        <v>23</v>
      </c>
      <c r="E6" s="17"/>
      <c r="F6" s="17"/>
      <c r="G6" s="18"/>
      <c r="H6" s="12">
        <v>34</v>
      </c>
      <c r="I6" s="7" t="s">
        <v>2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4">
        <f t="shared" si="0"/>
        <v>34</v>
      </c>
      <c r="Q6" s="1" t="s">
        <v>14</v>
      </c>
      <c r="R6" s="44">
        <v>6</v>
      </c>
      <c r="S6" s="47">
        <v>10</v>
      </c>
      <c r="T6" s="4"/>
    </row>
    <row r="7" spans="1:20" x14ac:dyDescent="0.25">
      <c r="A7" s="7">
        <v>4</v>
      </c>
      <c r="D7" s="9" t="s">
        <v>3</v>
      </c>
      <c r="E7" s="10"/>
      <c r="F7" s="10"/>
      <c r="G7" s="11"/>
      <c r="H7" s="12">
        <v>22</v>
      </c>
      <c r="I7" s="7" t="s">
        <v>2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4">
        <f t="shared" si="0"/>
        <v>22</v>
      </c>
      <c r="Q7" s="1" t="s">
        <v>14</v>
      </c>
      <c r="R7" s="44">
        <v>6</v>
      </c>
      <c r="S7" s="47">
        <v>10</v>
      </c>
      <c r="T7" s="4"/>
    </row>
    <row r="8" spans="1:20" x14ac:dyDescent="0.25">
      <c r="A8" s="7">
        <v>5</v>
      </c>
      <c r="D8" s="16" t="s">
        <v>139</v>
      </c>
      <c r="E8" s="17"/>
      <c r="F8" s="17"/>
      <c r="G8" s="18"/>
      <c r="H8" s="12">
        <v>98</v>
      </c>
      <c r="I8" s="7" t="s">
        <v>2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4">
        <f t="shared" si="0"/>
        <v>98</v>
      </c>
      <c r="Q8" s="1" t="s">
        <v>14</v>
      </c>
      <c r="R8" s="44">
        <v>100</v>
      </c>
      <c r="S8" s="47">
        <v>400</v>
      </c>
      <c r="T8" s="4"/>
    </row>
    <row r="9" spans="1:20" x14ac:dyDescent="0.25">
      <c r="A9" s="7">
        <v>6</v>
      </c>
      <c r="D9" s="9" t="s">
        <v>24</v>
      </c>
      <c r="E9" s="10"/>
      <c r="F9" s="10"/>
      <c r="G9" s="11"/>
      <c r="H9" s="12">
        <v>340</v>
      </c>
      <c r="I9" s="7" t="s">
        <v>2</v>
      </c>
      <c r="J9" s="3">
        <v>200</v>
      </c>
      <c r="K9" s="3">
        <v>0</v>
      </c>
      <c r="L9" s="3">
        <v>20</v>
      </c>
      <c r="M9" s="3">
        <v>0</v>
      </c>
      <c r="N9" s="3">
        <v>0</v>
      </c>
      <c r="O9" s="3">
        <v>0</v>
      </c>
      <c r="P9" s="4">
        <f t="shared" si="0"/>
        <v>520</v>
      </c>
      <c r="Q9" s="1" t="s">
        <v>14</v>
      </c>
      <c r="R9" s="44">
        <v>60</v>
      </c>
      <c r="S9" s="47">
        <v>200</v>
      </c>
      <c r="T9" s="4"/>
    </row>
    <row r="10" spans="1:20" x14ac:dyDescent="0.25">
      <c r="A10" s="7">
        <v>7</v>
      </c>
      <c r="D10" s="16" t="s">
        <v>101</v>
      </c>
      <c r="E10" s="17"/>
      <c r="F10" s="17"/>
      <c r="G10" s="18"/>
      <c r="H10" s="12">
        <v>1324</v>
      </c>
      <c r="I10" s="7" t="s">
        <v>2</v>
      </c>
      <c r="J10" s="3">
        <v>0</v>
      </c>
      <c r="K10" s="3">
        <v>900</v>
      </c>
      <c r="L10" s="3">
        <v>24</v>
      </c>
      <c r="M10" s="3">
        <v>20</v>
      </c>
      <c r="N10" s="3">
        <v>0</v>
      </c>
      <c r="O10" s="3">
        <v>0</v>
      </c>
      <c r="P10" s="4">
        <f t="shared" si="0"/>
        <v>380</v>
      </c>
      <c r="Q10" s="1" t="s">
        <v>14</v>
      </c>
      <c r="R10" s="44">
        <v>200</v>
      </c>
      <c r="S10" s="47">
        <v>500</v>
      </c>
      <c r="T10" s="4"/>
    </row>
    <row r="11" spans="1:20" x14ac:dyDescent="0.25">
      <c r="A11" s="7">
        <v>8</v>
      </c>
      <c r="D11" s="9" t="s">
        <v>25</v>
      </c>
      <c r="E11" s="10"/>
      <c r="F11" s="10"/>
      <c r="G11" s="11"/>
      <c r="H11" s="12">
        <v>290</v>
      </c>
      <c r="I11" s="7" t="s">
        <v>2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4">
        <f t="shared" si="0"/>
        <v>290</v>
      </c>
      <c r="Q11" s="1" t="s">
        <v>14</v>
      </c>
      <c r="R11" s="44">
        <v>50</v>
      </c>
      <c r="S11" s="47">
        <v>300</v>
      </c>
      <c r="T11" s="4"/>
    </row>
    <row r="12" spans="1:20" x14ac:dyDescent="0.25">
      <c r="A12" s="7">
        <v>9</v>
      </c>
      <c r="D12" s="16" t="s">
        <v>174</v>
      </c>
      <c r="E12" s="17"/>
      <c r="F12" s="17"/>
      <c r="G12" s="18"/>
      <c r="H12" s="12">
        <v>80</v>
      </c>
      <c r="I12" s="7" t="s">
        <v>2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4">
        <f t="shared" si="0"/>
        <v>80</v>
      </c>
      <c r="Q12" s="1" t="s">
        <v>14</v>
      </c>
      <c r="R12" s="44">
        <v>200</v>
      </c>
      <c r="S12" s="47">
        <v>400</v>
      </c>
      <c r="T12" s="4"/>
    </row>
    <row r="13" spans="1:20" x14ac:dyDescent="0.25">
      <c r="A13" s="7">
        <v>10</v>
      </c>
      <c r="D13" s="9" t="s">
        <v>6</v>
      </c>
      <c r="E13" s="10"/>
      <c r="F13" s="10"/>
      <c r="G13" s="11"/>
      <c r="H13" s="12">
        <v>30</v>
      </c>
      <c r="I13" s="7" t="s">
        <v>2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4">
        <f t="shared" si="0"/>
        <v>30</v>
      </c>
      <c r="Q13" s="1" t="s">
        <v>14</v>
      </c>
      <c r="R13" s="44">
        <v>10</v>
      </c>
      <c r="S13" s="46">
        <v>100</v>
      </c>
      <c r="T13" s="4"/>
    </row>
    <row r="14" spans="1:20" x14ac:dyDescent="0.25">
      <c r="A14" s="7">
        <v>11</v>
      </c>
      <c r="D14" s="16" t="s">
        <v>7</v>
      </c>
      <c r="E14" s="17"/>
      <c r="F14" s="17"/>
      <c r="G14" s="18"/>
      <c r="H14" s="12">
        <v>4</v>
      </c>
      <c r="I14" s="7" t="s">
        <v>171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4">
        <f t="shared" si="0"/>
        <v>4</v>
      </c>
      <c r="Q14" s="1" t="s">
        <v>14</v>
      </c>
      <c r="R14" s="44">
        <v>20</v>
      </c>
      <c r="S14" s="47">
        <v>50</v>
      </c>
      <c r="T14" s="4"/>
    </row>
    <row r="15" spans="1:20" x14ac:dyDescent="0.25">
      <c r="A15" s="7">
        <v>12</v>
      </c>
      <c r="D15" s="9" t="s">
        <v>69</v>
      </c>
      <c r="E15" s="10"/>
      <c r="F15" s="10"/>
      <c r="G15" s="11"/>
      <c r="H15" s="12">
        <v>0</v>
      </c>
      <c r="I15" s="7" t="s">
        <v>171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4">
        <f t="shared" si="0"/>
        <v>0</v>
      </c>
      <c r="Q15" s="1" t="s">
        <v>14</v>
      </c>
      <c r="R15" s="44">
        <v>100</v>
      </c>
      <c r="S15" s="47">
        <v>200</v>
      </c>
      <c r="T15" s="4"/>
    </row>
    <row r="16" spans="1:20" x14ac:dyDescent="0.25">
      <c r="A16" s="7">
        <v>13</v>
      </c>
      <c r="D16" s="16" t="s">
        <v>180</v>
      </c>
      <c r="E16" s="17"/>
      <c r="F16" s="17"/>
      <c r="G16" s="18"/>
      <c r="H16" s="12">
        <v>42</v>
      </c>
      <c r="I16" s="7" t="s">
        <v>2</v>
      </c>
      <c r="J16" s="3">
        <v>100</v>
      </c>
      <c r="K16" s="3">
        <v>19</v>
      </c>
      <c r="L16" s="3">
        <v>101</v>
      </c>
      <c r="M16" s="3">
        <v>5</v>
      </c>
      <c r="N16" s="3">
        <v>0</v>
      </c>
      <c r="O16" s="3">
        <v>0</v>
      </c>
      <c r="P16" s="4">
        <f t="shared" si="0"/>
        <v>17</v>
      </c>
      <c r="Q16" s="1" t="s">
        <v>14</v>
      </c>
      <c r="R16" s="44">
        <v>0</v>
      </c>
      <c r="S16" s="46"/>
      <c r="T16" s="4"/>
    </row>
    <row r="17" spans="1:20" x14ac:dyDescent="0.25">
      <c r="A17" s="7">
        <v>14</v>
      </c>
      <c r="D17" s="9" t="s">
        <v>73</v>
      </c>
      <c r="E17" s="10"/>
      <c r="F17" s="10"/>
      <c r="G17" s="11"/>
      <c r="H17" s="12">
        <v>690</v>
      </c>
      <c r="I17" s="7" t="s">
        <v>2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4">
        <f t="shared" si="0"/>
        <v>690</v>
      </c>
      <c r="Q17" s="1" t="s">
        <v>14</v>
      </c>
      <c r="R17" s="44">
        <v>0</v>
      </c>
      <c r="S17" s="46"/>
      <c r="T17" s="4"/>
    </row>
    <row r="18" spans="1:20" x14ac:dyDescent="0.25">
      <c r="A18" s="7">
        <v>15</v>
      </c>
      <c r="D18" s="16" t="s">
        <v>28</v>
      </c>
      <c r="E18" s="17"/>
      <c r="F18" s="17"/>
      <c r="G18" s="18"/>
      <c r="H18" s="12">
        <v>52</v>
      </c>
      <c r="I18" s="7" t="s">
        <v>2</v>
      </c>
      <c r="J18" s="3">
        <v>0</v>
      </c>
      <c r="K18" s="3">
        <v>0</v>
      </c>
      <c r="L18" s="3">
        <v>7</v>
      </c>
      <c r="M18" s="3">
        <v>0</v>
      </c>
      <c r="N18" s="3">
        <v>5</v>
      </c>
      <c r="O18" s="3">
        <v>0</v>
      </c>
      <c r="P18" s="4">
        <f t="shared" si="0"/>
        <v>40</v>
      </c>
      <c r="Q18" s="1" t="s">
        <v>14</v>
      </c>
      <c r="R18" s="44">
        <v>20</v>
      </c>
      <c r="S18" s="47">
        <v>50</v>
      </c>
      <c r="T18" s="4"/>
    </row>
    <row r="19" spans="1:20" x14ac:dyDescent="0.25">
      <c r="A19" s="7">
        <v>16</v>
      </c>
      <c r="D19" s="9" t="s">
        <v>29</v>
      </c>
      <c r="E19" s="10"/>
      <c r="F19" s="10"/>
      <c r="G19" s="11"/>
      <c r="H19" s="12">
        <v>52</v>
      </c>
      <c r="I19" s="7" t="s">
        <v>2</v>
      </c>
      <c r="J19" s="3">
        <v>0</v>
      </c>
      <c r="K19" s="3">
        <v>0</v>
      </c>
      <c r="L19" s="3">
        <v>7</v>
      </c>
      <c r="M19" s="3">
        <v>0</v>
      </c>
      <c r="N19" s="3">
        <v>5</v>
      </c>
      <c r="O19" s="3">
        <v>0</v>
      </c>
      <c r="P19" s="4">
        <f t="shared" si="0"/>
        <v>40</v>
      </c>
      <c r="Q19" s="1" t="s">
        <v>14</v>
      </c>
      <c r="R19" s="44">
        <v>20</v>
      </c>
      <c r="S19" s="47">
        <v>50</v>
      </c>
      <c r="T19" s="4"/>
    </row>
    <row r="20" spans="1:20" x14ac:dyDescent="0.25">
      <c r="A20" s="7">
        <v>17</v>
      </c>
      <c r="D20" s="16" t="s">
        <v>30</v>
      </c>
      <c r="E20" s="17"/>
      <c r="F20" s="17"/>
      <c r="G20" s="18"/>
      <c r="H20" s="12">
        <v>0</v>
      </c>
      <c r="I20" s="7" t="s">
        <v>2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4">
        <f t="shared" si="0"/>
        <v>0</v>
      </c>
      <c r="Q20" s="1" t="s">
        <v>14</v>
      </c>
      <c r="R20" s="44">
        <v>20</v>
      </c>
      <c r="S20" s="47">
        <v>50</v>
      </c>
      <c r="T20" s="4"/>
    </row>
    <row r="21" spans="1:20" x14ac:dyDescent="0.25">
      <c r="A21" s="7">
        <v>18</v>
      </c>
      <c r="D21" s="9" t="s">
        <v>129</v>
      </c>
      <c r="E21" s="10"/>
      <c r="F21" s="10"/>
      <c r="G21" s="11"/>
      <c r="H21" s="12">
        <v>6</v>
      </c>
      <c r="I21" s="7" t="s">
        <v>2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4">
        <f t="shared" si="0"/>
        <v>6</v>
      </c>
      <c r="Q21" s="1" t="s">
        <v>14</v>
      </c>
      <c r="R21" s="44">
        <v>10</v>
      </c>
      <c r="S21" s="46">
        <v>50</v>
      </c>
      <c r="T21" s="4"/>
    </row>
    <row r="22" spans="1:20" x14ac:dyDescent="0.25">
      <c r="A22" s="7">
        <v>19</v>
      </c>
      <c r="D22" s="55" t="s">
        <v>164</v>
      </c>
      <c r="E22" s="56"/>
      <c r="F22" s="56"/>
      <c r="G22" s="57"/>
      <c r="H22" s="12">
        <v>370</v>
      </c>
      <c r="I22" s="59" t="s">
        <v>1</v>
      </c>
      <c r="J22" s="3">
        <v>0</v>
      </c>
      <c r="K22" s="3">
        <v>50</v>
      </c>
      <c r="L22" s="3">
        <v>30</v>
      </c>
      <c r="M22" s="3">
        <v>10</v>
      </c>
      <c r="N22" s="3">
        <v>0</v>
      </c>
      <c r="O22" s="3">
        <v>0</v>
      </c>
      <c r="P22" s="46">
        <f t="shared" si="0"/>
        <v>280</v>
      </c>
      <c r="Q22" s="1" t="s">
        <v>14</v>
      </c>
      <c r="R22" s="44">
        <v>50</v>
      </c>
      <c r="S22" s="47">
        <v>200</v>
      </c>
      <c r="T22" s="4"/>
    </row>
    <row r="23" spans="1:20" x14ac:dyDescent="0.25">
      <c r="A23" s="7">
        <v>20</v>
      </c>
      <c r="D23" s="9" t="s">
        <v>32</v>
      </c>
      <c r="E23" s="10"/>
      <c r="F23" s="10"/>
      <c r="G23" s="11"/>
      <c r="H23" s="12">
        <v>800</v>
      </c>
      <c r="I23" s="7" t="s">
        <v>2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4">
        <f t="shared" si="0"/>
        <v>800</v>
      </c>
      <c r="Q23" s="1" t="s">
        <v>14</v>
      </c>
      <c r="R23" s="44">
        <v>50</v>
      </c>
      <c r="S23" s="46">
        <v>200</v>
      </c>
      <c r="T23" s="4"/>
    </row>
    <row r="24" spans="1:20" x14ac:dyDescent="0.25">
      <c r="A24" s="7">
        <v>21</v>
      </c>
      <c r="D24" s="16" t="s">
        <v>140</v>
      </c>
      <c r="E24" s="17"/>
      <c r="F24" s="17"/>
      <c r="G24" s="18"/>
      <c r="H24" s="12">
        <v>100</v>
      </c>
      <c r="I24" s="7" t="s">
        <v>2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4">
        <f t="shared" si="0"/>
        <v>100</v>
      </c>
      <c r="Q24" s="1" t="s">
        <v>14</v>
      </c>
      <c r="R24" s="44">
        <v>10</v>
      </c>
      <c r="S24" s="46">
        <v>100</v>
      </c>
      <c r="T24" s="4"/>
    </row>
    <row r="25" spans="1:20" x14ac:dyDescent="0.25">
      <c r="A25" s="7">
        <v>22</v>
      </c>
      <c r="D25" s="9" t="s">
        <v>34</v>
      </c>
      <c r="E25" s="10"/>
      <c r="F25" s="10"/>
      <c r="G25" s="11"/>
      <c r="H25" s="12">
        <v>54</v>
      </c>
      <c r="I25" s="7" t="s">
        <v>2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4">
        <f t="shared" si="0"/>
        <v>54</v>
      </c>
      <c r="Q25" s="1" t="s">
        <v>14</v>
      </c>
      <c r="R25" s="44">
        <v>10</v>
      </c>
      <c r="S25" s="46">
        <v>50</v>
      </c>
      <c r="T25" s="4"/>
    </row>
    <row r="26" spans="1:20" x14ac:dyDescent="0.25">
      <c r="A26" s="7">
        <v>23</v>
      </c>
      <c r="D26" s="16" t="s">
        <v>142</v>
      </c>
      <c r="E26" s="17"/>
      <c r="F26" s="17"/>
      <c r="G26" s="18"/>
      <c r="H26" s="12">
        <v>54</v>
      </c>
      <c r="I26" s="7" t="s">
        <v>2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4">
        <f t="shared" si="0"/>
        <v>54</v>
      </c>
      <c r="Q26" s="1" t="s">
        <v>14</v>
      </c>
      <c r="R26" s="44">
        <v>20</v>
      </c>
      <c r="S26" s="47">
        <v>50</v>
      </c>
      <c r="T26" s="4"/>
    </row>
    <row r="27" spans="1:20" x14ac:dyDescent="0.25">
      <c r="A27" s="7">
        <v>24</v>
      </c>
      <c r="D27" s="9" t="s">
        <v>141</v>
      </c>
      <c r="E27" s="10"/>
      <c r="F27" s="10"/>
      <c r="G27" s="11"/>
      <c r="H27" s="12">
        <v>0</v>
      </c>
      <c r="I27" s="7" t="s">
        <v>2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  <c r="P27" s="4">
        <f t="shared" si="0"/>
        <v>0</v>
      </c>
      <c r="Q27" s="1"/>
      <c r="R27" s="44">
        <v>20</v>
      </c>
      <c r="S27" s="47">
        <v>50</v>
      </c>
      <c r="T27" s="4"/>
    </row>
    <row r="28" spans="1:20" x14ac:dyDescent="0.25">
      <c r="A28" s="7">
        <v>25</v>
      </c>
      <c r="D28" s="9" t="s">
        <v>137</v>
      </c>
      <c r="E28" s="10"/>
      <c r="F28" s="10"/>
      <c r="G28" s="11"/>
      <c r="H28" s="12">
        <v>59</v>
      </c>
      <c r="I28" s="7" t="s">
        <v>2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4">
        <f t="shared" si="0"/>
        <v>59</v>
      </c>
      <c r="Q28" s="1" t="s">
        <v>14</v>
      </c>
      <c r="R28" s="44">
        <v>20</v>
      </c>
      <c r="S28" s="47">
        <v>50</v>
      </c>
      <c r="T28" s="4"/>
    </row>
    <row r="29" spans="1:20" x14ac:dyDescent="0.25">
      <c r="A29" s="7">
        <v>26</v>
      </c>
      <c r="D29" s="9" t="s">
        <v>138</v>
      </c>
      <c r="E29" s="10"/>
      <c r="F29" s="10"/>
      <c r="G29" s="11"/>
      <c r="H29" s="12">
        <v>0</v>
      </c>
      <c r="I29" s="7" t="s">
        <v>2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4">
        <f t="shared" si="0"/>
        <v>0</v>
      </c>
      <c r="Q29" s="1"/>
      <c r="R29" s="44">
        <v>10</v>
      </c>
      <c r="S29" s="47">
        <v>50</v>
      </c>
      <c r="T29" s="4"/>
    </row>
    <row r="30" spans="1:20" x14ac:dyDescent="0.25">
      <c r="A30" s="7">
        <v>27</v>
      </c>
      <c r="D30" s="16" t="s">
        <v>35</v>
      </c>
      <c r="E30" s="17"/>
      <c r="F30" s="17"/>
      <c r="G30" s="18"/>
      <c r="H30" s="12">
        <v>198</v>
      </c>
      <c r="I30" s="7" t="s">
        <v>2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4">
        <f t="shared" si="0"/>
        <v>198</v>
      </c>
      <c r="Q30" s="1" t="s">
        <v>14</v>
      </c>
      <c r="R30" s="44">
        <v>50</v>
      </c>
      <c r="S30" s="47">
        <v>100</v>
      </c>
      <c r="T30" s="4"/>
    </row>
    <row r="31" spans="1:20" x14ac:dyDescent="0.25">
      <c r="A31" s="7">
        <v>28</v>
      </c>
      <c r="D31" s="9" t="s">
        <v>36</v>
      </c>
      <c r="E31" s="10"/>
      <c r="F31" s="10"/>
      <c r="G31" s="11"/>
      <c r="H31" s="12">
        <v>20</v>
      </c>
      <c r="I31" s="7" t="s">
        <v>2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4">
        <f t="shared" si="0"/>
        <v>20</v>
      </c>
      <c r="Q31" s="1" t="s">
        <v>14</v>
      </c>
      <c r="R31" s="44">
        <v>50</v>
      </c>
      <c r="S31" s="47">
        <v>100</v>
      </c>
      <c r="T31" s="4"/>
    </row>
    <row r="32" spans="1:20" x14ac:dyDescent="0.25">
      <c r="A32" s="7">
        <v>29</v>
      </c>
      <c r="D32" s="16" t="s">
        <v>37</v>
      </c>
      <c r="E32" s="17"/>
      <c r="F32" s="17"/>
      <c r="G32" s="18"/>
      <c r="H32" s="12">
        <v>149</v>
      </c>
      <c r="I32" s="7" t="s">
        <v>2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4">
        <f t="shared" si="0"/>
        <v>149</v>
      </c>
      <c r="Q32" s="1" t="s">
        <v>14</v>
      </c>
      <c r="R32" s="44">
        <v>20</v>
      </c>
      <c r="S32" s="47">
        <v>50</v>
      </c>
      <c r="T32" s="4"/>
    </row>
    <row r="33" spans="1:20" x14ac:dyDescent="0.25">
      <c r="A33" s="7">
        <v>30</v>
      </c>
      <c r="D33" s="9" t="s">
        <v>38</v>
      </c>
      <c r="E33" s="10"/>
      <c r="F33" s="10"/>
      <c r="G33" s="11"/>
      <c r="H33" s="12">
        <v>120</v>
      </c>
      <c r="I33" s="7" t="s">
        <v>2</v>
      </c>
      <c r="J33" s="3">
        <v>0</v>
      </c>
      <c r="K33" s="3">
        <v>0</v>
      </c>
      <c r="L33" s="3">
        <v>0</v>
      </c>
      <c r="M33" s="3">
        <v>10</v>
      </c>
      <c r="N33" s="3">
        <v>0</v>
      </c>
      <c r="O33" s="3">
        <v>0</v>
      </c>
      <c r="P33" s="4">
        <f t="shared" si="0"/>
        <v>110</v>
      </c>
      <c r="Q33" s="1" t="s">
        <v>14</v>
      </c>
      <c r="R33" s="44">
        <v>50</v>
      </c>
      <c r="S33" s="47">
        <v>100</v>
      </c>
      <c r="T33" s="4"/>
    </row>
    <row r="34" spans="1:20" x14ac:dyDescent="0.25">
      <c r="A34" s="7">
        <v>31</v>
      </c>
      <c r="D34" s="16" t="s">
        <v>39</v>
      </c>
      <c r="E34" s="17"/>
      <c r="F34" s="17"/>
      <c r="G34" s="18"/>
      <c r="H34" s="12">
        <v>39</v>
      </c>
      <c r="I34" s="7" t="s">
        <v>2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4">
        <f t="shared" si="0"/>
        <v>39</v>
      </c>
      <c r="Q34" s="1" t="s">
        <v>14</v>
      </c>
      <c r="R34" s="44">
        <v>20</v>
      </c>
      <c r="S34" s="47">
        <v>50</v>
      </c>
      <c r="T34" s="4"/>
    </row>
    <row r="35" spans="1:20" x14ac:dyDescent="0.25">
      <c r="A35" s="7">
        <v>32</v>
      </c>
      <c r="D35" s="9" t="s">
        <v>40</v>
      </c>
      <c r="E35" s="10"/>
      <c r="F35" s="10"/>
      <c r="G35" s="11"/>
      <c r="H35" s="12">
        <v>1050</v>
      </c>
      <c r="I35" s="7" t="s">
        <v>2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4">
        <f t="shared" si="0"/>
        <v>1050</v>
      </c>
      <c r="Q35" s="1" t="s">
        <v>14</v>
      </c>
      <c r="R35" s="44">
        <v>100</v>
      </c>
      <c r="S35" s="46">
        <v>300</v>
      </c>
      <c r="T35" s="4"/>
    </row>
    <row r="36" spans="1:20" x14ac:dyDescent="0.25">
      <c r="A36" s="7">
        <v>33</v>
      </c>
      <c r="D36" s="9" t="s">
        <v>9</v>
      </c>
      <c r="E36" s="10"/>
      <c r="F36" s="10"/>
      <c r="G36" s="11"/>
      <c r="H36" s="83">
        <v>92</v>
      </c>
      <c r="I36" s="7" t="s">
        <v>132</v>
      </c>
      <c r="J36" s="3">
        <v>0</v>
      </c>
      <c r="K36" s="3">
        <v>4</v>
      </c>
      <c r="L36" s="3">
        <v>4</v>
      </c>
      <c r="M36" s="3">
        <v>1</v>
      </c>
      <c r="N36" s="3">
        <v>8</v>
      </c>
      <c r="O36" s="3">
        <v>0</v>
      </c>
      <c r="P36" s="4">
        <f t="shared" si="0"/>
        <v>75</v>
      </c>
      <c r="Q36" s="1" t="s">
        <v>14</v>
      </c>
      <c r="R36" s="44">
        <v>50</v>
      </c>
      <c r="S36" s="47">
        <v>100</v>
      </c>
      <c r="T36" s="4"/>
    </row>
    <row r="37" spans="1:20" x14ac:dyDescent="0.25">
      <c r="A37" s="7">
        <v>34</v>
      </c>
      <c r="D37" s="19" t="s">
        <v>166</v>
      </c>
      <c r="E37" s="20"/>
      <c r="F37" s="20"/>
      <c r="G37" s="21"/>
      <c r="H37" s="69">
        <v>108</v>
      </c>
      <c r="I37" s="7" t="s">
        <v>2</v>
      </c>
      <c r="J37" s="3">
        <v>0</v>
      </c>
      <c r="K37" s="3">
        <v>4</v>
      </c>
      <c r="L37" s="3">
        <v>4</v>
      </c>
      <c r="M37" s="3">
        <v>1</v>
      </c>
      <c r="N37" s="3">
        <v>8</v>
      </c>
      <c r="O37" s="3">
        <v>0</v>
      </c>
      <c r="P37" s="4">
        <f t="shared" si="0"/>
        <v>91</v>
      </c>
      <c r="Q37" s="1" t="s">
        <v>14</v>
      </c>
      <c r="R37" s="44">
        <v>50</v>
      </c>
      <c r="S37" s="46">
        <v>200</v>
      </c>
      <c r="T37" s="4"/>
    </row>
    <row r="38" spans="1:20" x14ac:dyDescent="0.25">
      <c r="A38" s="7">
        <v>35</v>
      </c>
      <c r="D38" s="16" t="s">
        <v>143</v>
      </c>
      <c r="E38" s="17"/>
      <c r="F38" s="17"/>
      <c r="G38" s="18"/>
      <c r="H38" s="12">
        <v>73</v>
      </c>
      <c r="I38" s="7" t="s">
        <v>2</v>
      </c>
      <c r="J38" s="3">
        <v>0</v>
      </c>
      <c r="K38" s="3">
        <v>4</v>
      </c>
      <c r="L38" s="3">
        <v>4</v>
      </c>
      <c r="M38" s="3">
        <v>1</v>
      </c>
      <c r="N38" s="3">
        <v>8</v>
      </c>
      <c r="O38" s="3">
        <v>0</v>
      </c>
      <c r="P38" s="4">
        <f t="shared" si="0"/>
        <v>56</v>
      </c>
      <c r="Q38" s="1" t="s">
        <v>14</v>
      </c>
      <c r="R38" s="44">
        <v>50</v>
      </c>
      <c r="S38" s="46">
        <v>100</v>
      </c>
      <c r="T38" s="4"/>
    </row>
    <row r="39" spans="1:20" x14ac:dyDescent="0.25">
      <c r="A39" s="7">
        <v>36</v>
      </c>
      <c r="D39" s="9" t="s">
        <v>144</v>
      </c>
      <c r="E39" s="10"/>
      <c r="F39" s="10"/>
      <c r="G39" s="11"/>
      <c r="H39" s="12">
        <v>68</v>
      </c>
      <c r="I39" s="7" t="s">
        <v>2</v>
      </c>
      <c r="J39" s="3">
        <v>0</v>
      </c>
      <c r="K39" s="3">
        <v>4</v>
      </c>
      <c r="L39" s="3">
        <v>4</v>
      </c>
      <c r="M39" s="3">
        <v>1</v>
      </c>
      <c r="N39" s="3">
        <v>8</v>
      </c>
      <c r="O39" s="3">
        <v>0</v>
      </c>
      <c r="P39" s="4">
        <f t="shared" si="0"/>
        <v>51</v>
      </c>
      <c r="Q39" s="1" t="s">
        <v>14</v>
      </c>
      <c r="R39" s="44">
        <v>50</v>
      </c>
      <c r="S39" s="47">
        <v>100</v>
      </c>
      <c r="T39" s="4"/>
    </row>
    <row r="40" spans="1:20" x14ac:dyDescent="0.25">
      <c r="A40" s="7">
        <v>37</v>
      </c>
      <c r="D40" s="16" t="s">
        <v>42</v>
      </c>
      <c r="E40" s="17"/>
      <c r="F40" s="17"/>
      <c r="G40" s="18"/>
      <c r="H40" s="12">
        <v>88</v>
      </c>
      <c r="I40" s="7" t="s">
        <v>2</v>
      </c>
      <c r="J40" s="3">
        <v>0</v>
      </c>
      <c r="K40" s="3">
        <v>4</v>
      </c>
      <c r="L40" s="3">
        <v>4</v>
      </c>
      <c r="M40" s="3">
        <v>1</v>
      </c>
      <c r="N40" s="3">
        <v>8</v>
      </c>
      <c r="O40" s="3">
        <v>0</v>
      </c>
      <c r="P40" s="4">
        <f t="shared" si="0"/>
        <v>71</v>
      </c>
      <c r="Q40" s="1" t="s">
        <v>14</v>
      </c>
      <c r="R40" s="44">
        <v>50</v>
      </c>
      <c r="S40" s="47">
        <v>100</v>
      </c>
      <c r="T40" s="4"/>
    </row>
    <row r="41" spans="1:20" x14ac:dyDescent="0.25">
      <c r="A41" s="7">
        <v>38</v>
      </c>
      <c r="D41" s="9" t="s">
        <v>133</v>
      </c>
      <c r="E41" s="10"/>
      <c r="F41" s="10"/>
      <c r="G41" s="11"/>
      <c r="H41" s="12">
        <v>53</v>
      </c>
      <c r="I41" s="7" t="s">
        <v>2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4">
        <f t="shared" si="0"/>
        <v>53</v>
      </c>
      <c r="Q41" s="1" t="s">
        <v>14</v>
      </c>
      <c r="R41" s="44">
        <v>20</v>
      </c>
      <c r="S41" s="47">
        <v>50</v>
      </c>
      <c r="T41" s="4"/>
    </row>
    <row r="42" spans="1:20" x14ac:dyDescent="0.25">
      <c r="A42" s="7">
        <v>39</v>
      </c>
      <c r="D42" s="16" t="s">
        <v>145</v>
      </c>
      <c r="E42" s="17"/>
      <c r="F42" s="17"/>
      <c r="G42" s="18"/>
      <c r="H42" s="12">
        <v>53</v>
      </c>
      <c r="I42" s="7" t="s">
        <v>2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4">
        <f t="shared" si="0"/>
        <v>53</v>
      </c>
      <c r="Q42" s="1" t="s">
        <v>14</v>
      </c>
      <c r="R42" s="44">
        <v>20</v>
      </c>
      <c r="S42" s="46">
        <v>50</v>
      </c>
      <c r="T42" s="4"/>
    </row>
    <row r="43" spans="1:20" x14ac:dyDescent="0.25">
      <c r="A43" s="7">
        <v>40</v>
      </c>
      <c r="D43" s="9" t="s">
        <v>71</v>
      </c>
      <c r="E43" s="10"/>
      <c r="F43" s="10"/>
      <c r="G43" s="11"/>
      <c r="H43" s="12">
        <v>0</v>
      </c>
      <c r="I43" s="7" t="s">
        <v>2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4">
        <f t="shared" si="0"/>
        <v>0</v>
      </c>
      <c r="Q43" s="1" t="s">
        <v>14</v>
      </c>
      <c r="R43" s="44">
        <v>5</v>
      </c>
      <c r="S43" s="47">
        <v>10</v>
      </c>
      <c r="T43" s="4"/>
    </row>
    <row r="44" spans="1:20" x14ac:dyDescent="0.25">
      <c r="A44" s="7">
        <v>41</v>
      </c>
      <c r="D44" s="16" t="s">
        <v>10</v>
      </c>
      <c r="E44" s="17"/>
      <c r="F44" s="17"/>
      <c r="G44" s="18"/>
      <c r="H44" s="12">
        <v>20</v>
      </c>
      <c r="I44" s="7" t="s">
        <v>2</v>
      </c>
      <c r="J44" s="3">
        <v>0</v>
      </c>
      <c r="K44" s="3">
        <v>12</v>
      </c>
      <c r="L44" s="3">
        <v>0</v>
      </c>
      <c r="M44" s="3">
        <v>0</v>
      </c>
      <c r="N44" s="3">
        <v>0</v>
      </c>
      <c r="O44" s="3">
        <v>0</v>
      </c>
      <c r="P44" s="4">
        <f t="shared" si="0"/>
        <v>8</v>
      </c>
      <c r="Q44" s="1" t="s">
        <v>14</v>
      </c>
      <c r="R44" s="44">
        <v>40</v>
      </c>
      <c r="S44" s="47">
        <v>100</v>
      </c>
      <c r="T44" s="4"/>
    </row>
    <row r="45" spans="1:20" x14ac:dyDescent="0.25">
      <c r="A45" s="7">
        <v>42</v>
      </c>
      <c r="D45" s="9" t="s">
        <v>45</v>
      </c>
      <c r="E45" s="10"/>
      <c r="F45" s="10"/>
      <c r="G45" s="11"/>
      <c r="H45" s="12">
        <v>25</v>
      </c>
      <c r="I45" s="7" t="s">
        <v>2</v>
      </c>
      <c r="J45" s="3">
        <v>0</v>
      </c>
      <c r="K45" s="3">
        <v>6</v>
      </c>
      <c r="L45" s="3">
        <v>0</v>
      </c>
      <c r="M45" s="3">
        <v>0</v>
      </c>
      <c r="N45" s="3">
        <v>0</v>
      </c>
      <c r="O45" s="3">
        <v>0</v>
      </c>
      <c r="P45" s="4">
        <f t="shared" si="0"/>
        <v>19</v>
      </c>
      <c r="Q45" s="1" t="s">
        <v>14</v>
      </c>
      <c r="R45" s="44">
        <v>20</v>
      </c>
      <c r="S45" s="47">
        <v>50</v>
      </c>
      <c r="T45" s="4"/>
    </row>
    <row r="46" spans="1:20" x14ac:dyDescent="0.25">
      <c r="A46" s="7">
        <v>43</v>
      </c>
      <c r="D46" s="16" t="s">
        <v>46</v>
      </c>
      <c r="E46" s="17"/>
      <c r="F46" s="17"/>
      <c r="G46" s="18"/>
      <c r="H46" s="12">
        <v>26</v>
      </c>
      <c r="I46" s="7" t="s">
        <v>2</v>
      </c>
      <c r="J46" s="3">
        <v>0</v>
      </c>
      <c r="K46" s="3">
        <v>6</v>
      </c>
      <c r="L46" s="3">
        <v>0</v>
      </c>
      <c r="M46" s="3">
        <v>0</v>
      </c>
      <c r="N46" s="3">
        <v>0</v>
      </c>
      <c r="O46" s="3">
        <v>0</v>
      </c>
      <c r="P46" s="4">
        <f t="shared" si="0"/>
        <v>20</v>
      </c>
      <c r="Q46" s="1" t="s">
        <v>14</v>
      </c>
      <c r="R46" s="44">
        <v>20</v>
      </c>
      <c r="S46" s="47">
        <v>50</v>
      </c>
      <c r="T46" s="4"/>
    </row>
    <row r="47" spans="1:20" x14ac:dyDescent="0.25">
      <c r="A47" s="7">
        <v>44</v>
      </c>
      <c r="D47" s="9" t="s">
        <v>47</v>
      </c>
      <c r="E47" s="10"/>
      <c r="F47" s="10"/>
      <c r="G47" s="11"/>
      <c r="H47" s="12">
        <v>22</v>
      </c>
      <c r="I47" s="7" t="s">
        <v>2</v>
      </c>
      <c r="J47" s="3">
        <v>0</v>
      </c>
      <c r="K47" s="3">
        <v>6</v>
      </c>
      <c r="L47" s="3">
        <v>0</v>
      </c>
      <c r="M47" s="3">
        <v>0</v>
      </c>
      <c r="N47" s="3">
        <v>0</v>
      </c>
      <c r="O47" s="3">
        <v>0</v>
      </c>
      <c r="P47" s="4">
        <f t="shared" si="0"/>
        <v>16</v>
      </c>
      <c r="Q47" s="1" t="s">
        <v>14</v>
      </c>
      <c r="R47" s="44">
        <v>20</v>
      </c>
      <c r="S47" s="47">
        <v>50</v>
      </c>
      <c r="T47" s="4"/>
    </row>
    <row r="48" spans="1:20" x14ac:dyDescent="0.25">
      <c r="A48" s="7">
        <v>45</v>
      </c>
      <c r="D48" s="16" t="s">
        <v>175</v>
      </c>
      <c r="E48" s="17"/>
      <c r="F48" s="17"/>
      <c r="G48" s="18"/>
      <c r="H48" s="12">
        <v>1100</v>
      </c>
      <c r="I48" s="7" t="s">
        <v>2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4">
        <f t="shared" si="0"/>
        <v>1100</v>
      </c>
      <c r="Q48" s="1" t="s">
        <v>14</v>
      </c>
      <c r="R48" s="44">
        <v>10</v>
      </c>
      <c r="S48" s="47">
        <v>20</v>
      </c>
      <c r="T48" s="4"/>
    </row>
    <row r="49" spans="1:20" x14ac:dyDescent="0.25">
      <c r="A49" s="7">
        <v>46</v>
      </c>
      <c r="D49" s="9" t="s">
        <v>48</v>
      </c>
      <c r="E49" s="10"/>
      <c r="F49" s="10"/>
      <c r="G49" s="11"/>
      <c r="H49" s="12">
        <v>20</v>
      </c>
      <c r="I49" s="7" t="s">
        <v>2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4">
        <f t="shared" si="0"/>
        <v>20</v>
      </c>
      <c r="Q49" s="1" t="s">
        <v>14</v>
      </c>
      <c r="R49" s="44">
        <v>10</v>
      </c>
      <c r="S49" s="47">
        <v>20</v>
      </c>
      <c r="T49" s="4" t="s">
        <v>14</v>
      </c>
    </row>
    <row r="50" spans="1:20" x14ac:dyDescent="0.25">
      <c r="A50" s="7">
        <v>47</v>
      </c>
      <c r="D50" s="16" t="s">
        <v>49</v>
      </c>
      <c r="E50" s="17"/>
      <c r="F50" s="17"/>
      <c r="G50" s="18"/>
      <c r="H50" s="12">
        <v>87</v>
      </c>
      <c r="I50" s="7" t="s">
        <v>2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4">
        <f t="shared" si="0"/>
        <v>87</v>
      </c>
      <c r="Q50" s="1" t="s">
        <v>14</v>
      </c>
      <c r="R50" s="44">
        <v>10</v>
      </c>
      <c r="S50" s="47">
        <v>20</v>
      </c>
      <c r="T50" s="4"/>
    </row>
    <row r="51" spans="1:20" x14ac:dyDescent="0.25">
      <c r="A51" s="7">
        <v>48</v>
      </c>
      <c r="D51" s="9" t="s">
        <v>169</v>
      </c>
      <c r="E51" s="10"/>
      <c r="F51" s="10"/>
      <c r="G51" s="11"/>
      <c r="H51" s="12">
        <v>30</v>
      </c>
      <c r="I51" s="7" t="s">
        <v>1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4">
        <f t="shared" si="0"/>
        <v>30</v>
      </c>
      <c r="Q51" s="1" t="s">
        <v>14</v>
      </c>
      <c r="R51" s="44">
        <v>20</v>
      </c>
      <c r="S51" s="47">
        <v>100</v>
      </c>
      <c r="T51" s="4"/>
    </row>
    <row r="52" spans="1:20" x14ac:dyDescent="0.25">
      <c r="A52" s="7">
        <v>49</v>
      </c>
      <c r="D52" s="88"/>
      <c r="E52" s="89"/>
      <c r="F52" s="90" t="s">
        <v>111</v>
      </c>
      <c r="G52" s="87"/>
      <c r="H52" s="12">
        <v>123</v>
      </c>
      <c r="I52" s="7" t="s">
        <v>2</v>
      </c>
      <c r="J52" s="3">
        <v>0</v>
      </c>
      <c r="K52" s="3">
        <v>0</v>
      </c>
      <c r="L52" s="3">
        <v>0</v>
      </c>
      <c r="M52" s="3">
        <v>0</v>
      </c>
      <c r="N52" s="3">
        <v>13</v>
      </c>
      <c r="O52" s="3">
        <v>0</v>
      </c>
      <c r="P52" s="4">
        <f t="shared" si="0"/>
        <v>110</v>
      </c>
      <c r="Q52" s="1" t="s">
        <v>14</v>
      </c>
      <c r="R52" s="44">
        <v>30</v>
      </c>
      <c r="S52" s="47">
        <v>100</v>
      </c>
      <c r="T52" s="4"/>
    </row>
    <row r="53" spans="1:20" x14ac:dyDescent="0.25">
      <c r="A53" s="7">
        <v>50</v>
      </c>
      <c r="D53" s="9" t="s">
        <v>51</v>
      </c>
      <c r="E53" s="10"/>
      <c r="F53" s="10"/>
      <c r="G53" s="11"/>
      <c r="H53" s="12">
        <v>36</v>
      </c>
      <c r="I53" s="7" t="s">
        <v>2</v>
      </c>
      <c r="J53" s="3">
        <v>100</v>
      </c>
      <c r="K53" s="3">
        <v>19</v>
      </c>
      <c r="L53" s="3">
        <v>101</v>
      </c>
      <c r="M53" s="3">
        <v>5</v>
      </c>
      <c r="N53" s="3">
        <v>6</v>
      </c>
      <c r="O53" s="3">
        <v>0</v>
      </c>
      <c r="P53" s="4">
        <f t="shared" si="0"/>
        <v>5</v>
      </c>
      <c r="Q53" s="1" t="s">
        <v>14</v>
      </c>
      <c r="R53" s="44">
        <v>20</v>
      </c>
      <c r="S53" s="47">
        <v>50</v>
      </c>
      <c r="T53" s="4"/>
    </row>
    <row r="54" spans="1:20" x14ac:dyDescent="0.25">
      <c r="A54" s="7">
        <v>51</v>
      </c>
      <c r="D54" s="16" t="s">
        <v>52</v>
      </c>
      <c r="E54" s="17"/>
      <c r="F54" s="17"/>
      <c r="G54" s="18"/>
      <c r="H54" s="12">
        <v>52</v>
      </c>
      <c r="I54" s="7" t="s">
        <v>2</v>
      </c>
      <c r="J54" s="3">
        <v>100</v>
      </c>
      <c r="K54" s="3">
        <v>19</v>
      </c>
      <c r="L54" s="3">
        <v>101</v>
      </c>
      <c r="M54" s="3">
        <v>5</v>
      </c>
      <c r="N54" s="3">
        <v>6</v>
      </c>
      <c r="O54" s="3">
        <v>0</v>
      </c>
      <c r="P54" s="4">
        <f t="shared" si="0"/>
        <v>21</v>
      </c>
      <c r="Q54" s="1" t="s">
        <v>14</v>
      </c>
      <c r="R54" s="44">
        <v>20</v>
      </c>
      <c r="S54" s="47">
        <v>50</v>
      </c>
      <c r="T54" s="4" t="s">
        <v>14</v>
      </c>
    </row>
    <row r="55" spans="1:20" x14ac:dyDescent="0.25">
      <c r="A55" s="7">
        <v>52</v>
      </c>
      <c r="D55" s="9" t="s">
        <v>53</v>
      </c>
      <c r="E55" s="10"/>
      <c r="F55" s="10"/>
      <c r="G55" s="11"/>
      <c r="H55" s="12">
        <v>58</v>
      </c>
      <c r="I55" s="7" t="s">
        <v>2</v>
      </c>
      <c r="J55" s="3">
        <v>100</v>
      </c>
      <c r="K55" s="3">
        <v>19</v>
      </c>
      <c r="L55" s="3">
        <v>101</v>
      </c>
      <c r="M55" s="3">
        <v>5</v>
      </c>
      <c r="N55" s="3">
        <v>6</v>
      </c>
      <c r="O55" s="3">
        <v>0</v>
      </c>
      <c r="P55" s="4">
        <f t="shared" si="0"/>
        <v>27</v>
      </c>
      <c r="Q55" s="1" t="s">
        <v>14</v>
      </c>
      <c r="R55" s="44">
        <v>20</v>
      </c>
      <c r="S55" s="47">
        <v>50</v>
      </c>
      <c r="T55" s="4"/>
    </row>
    <row r="56" spans="1:20" x14ac:dyDescent="0.25">
      <c r="A56" s="7">
        <v>53</v>
      </c>
      <c r="D56" s="70" t="s">
        <v>54</v>
      </c>
      <c r="E56" s="71"/>
      <c r="F56" s="71"/>
      <c r="G56" s="72"/>
      <c r="H56" s="12">
        <v>940</v>
      </c>
      <c r="I56" s="7" t="s">
        <v>1</v>
      </c>
      <c r="J56" s="3">
        <v>1185</v>
      </c>
      <c r="K56" s="3">
        <v>195</v>
      </c>
      <c r="L56" s="3">
        <v>165</v>
      </c>
      <c r="M56" s="3">
        <v>135</v>
      </c>
      <c r="N56" s="3">
        <v>105</v>
      </c>
      <c r="O56" s="3">
        <v>0</v>
      </c>
      <c r="P56" s="4">
        <f t="shared" si="0"/>
        <v>1525</v>
      </c>
      <c r="Q56" s="1" t="s">
        <v>120</v>
      </c>
      <c r="R56" s="44">
        <v>250</v>
      </c>
      <c r="S56" s="47">
        <v>750</v>
      </c>
      <c r="T56" s="4"/>
    </row>
    <row r="57" spans="1:20" x14ac:dyDescent="0.25">
      <c r="A57" s="7">
        <v>54</v>
      </c>
      <c r="D57" s="16" t="s">
        <v>61</v>
      </c>
      <c r="E57" s="17"/>
      <c r="F57" s="17"/>
      <c r="G57" s="18"/>
      <c r="H57" s="12">
        <v>150</v>
      </c>
      <c r="I57" s="7" t="s">
        <v>2</v>
      </c>
      <c r="J57" s="3">
        <v>0</v>
      </c>
      <c r="K57" s="3">
        <v>0</v>
      </c>
      <c r="L57" s="3">
        <v>0</v>
      </c>
      <c r="M57" s="3">
        <v>5</v>
      </c>
      <c r="N57" s="3">
        <v>0</v>
      </c>
      <c r="O57" s="3">
        <v>0</v>
      </c>
      <c r="P57" s="4">
        <f t="shared" si="0"/>
        <v>145</v>
      </c>
      <c r="Q57" s="1" t="s">
        <v>14</v>
      </c>
      <c r="R57" s="44">
        <v>10</v>
      </c>
      <c r="S57" s="46">
        <v>200</v>
      </c>
      <c r="T57" s="4"/>
    </row>
    <row r="58" spans="1:20" x14ac:dyDescent="0.25">
      <c r="A58" s="7">
        <v>55</v>
      </c>
      <c r="D58" s="9" t="s">
        <v>62</v>
      </c>
      <c r="E58" s="10"/>
      <c r="F58" s="10"/>
      <c r="G58" s="11"/>
      <c r="H58" s="12">
        <v>1130</v>
      </c>
      <c r="I58" s="7" t="s">
        <v>2</v>
      </c>
      <c r="J58" s="3">
        <v>0</v>
      </c>
      <c r="K58" s="3">
        <v>19</v>
      </c>
      <c r="L58" s="3">
        <v>6</v>
      </c>
      <c r="M58" s="3">
        <v>16</v>
      </c>
      <c r="N58" s="3">
        <v>8</v>
      </c>
      <c r="O58" s="3">
        <v>0</v>
      </c>
      <c r="P58" s="4">
        <f t="shared" si="0"/>
        <v>1081</v>
      </c>
      <c r="Q58" s="1" t="s">
        <v>14</v>
      </c>
      <c r="R58" s="44">
        <v>200</v>
      </c>
      <c r="S58" s="47">
        <v>1000</v>
      </c>
      <c r="T58" s="4"/>
    </row>
    <row r="59" spans="1:20" x14ac:dyDescent="0.25">
      <c r="A59" s="7">
        <v>56</v>
      </c>
      <c r="D59" s="16" t="s">
        <v>13</v>
      </c>
      <c r="E59" s="17"/>
      <c r="F59" s="17"/>
      <c r="G59" s="18"/>
      <c r="H59" s="12">
        <v>241</v>
      </c>
      <c r="I59" s="7" t="s">
        <v>2</v>
      </c>
      <c r="J59" s="3">
        <v>0</v>
      </c>
      <c r="K59" s="3">
        <v>12</v>
      </c>
      <c r="L59" s="3">
        <v>0</v>
      </c>
      <c r="M59" s="3">
        <v>0</v>
      </c>
      <c r="N59" s="3">
        <v>0</v>
      </c>
      <c r="O59" s="3">
        <v>0</v>
      </c>
      <c r="P59" s="4">
        <f t="shared" si="0"/>
        <v>229</v>
      </c>
      <c r="Q59" s="1" t="s">
        <v>14</v>
      </c>
      <c r="R59" s="44">
        <v>100</v>
      </c>
      <c r="S59" s="47">
        <v>300</v>
      </c>
      <c r="T59" s="4"/>
    </row>
    <row r="60" spans="1:20" x14ac:dyDescent="0.25">
      <c r="A60" s="7">
        <v>57</v>
      </c>
      <c r="D60" s="9" t="s">
        <v>72</v>
      </c>
      <c r="E60" s="10"/>
      <c r="F60" s="10"/>
      <c r="G60" s="11"/>
      <c r="H60" s="12">
        <v>50</v>
      </c>
      <c r="I60" s="7" t="s">
        <v>2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4">
        <f t="shared" si="0"/>
        <v>50</v>
      </c>
      <c r="Q60" s="1" t="s">
        <v>14</v>
      </c>
      <c r="R60" s="44">
        <v>100</v>
      </c>
      <c r="S60" s="47">
        <v>300</v>
      </c>
      <c r="T60" s="4"/>
    </row>
    <row r="61" spans="1:20" x14ac:dyDescent="0.25">
      <c r="A61" s="7">
        <v>58</v>
      </c>
      <c r="D61" s="16" t="s">
        <v>182</v>
      </c>
      <c r="E61" s="17"/>
      <c r="F61" s="17"/>
      <c r="G61" s="18"/>
      <c r="H61" s="12">
        <v>41</v>
      </c>
      <c r="I61" s="7" t="s">
        <v>2</v>
      </c>
      <c r="J61" s="3">
        <v>50</v>
      </c>
      <c r="K61" s="3">
        <v>41</v>
      </c>
      <c r="L61" s="3">
        <v>0</v>
      </c>
      <c r="M61" s="3">
        <v>7</v>
      </c>
      <c r="N61" s="3">
        <v>28</v>
      </c>
      <c r="O61" s="3">
        <v>0</v>
      </c>
      <c r="P61" s="4">
        <f t="shared" si="0"/>
        <v>15</v>
      </c>
      <c r="Q61" s="1" t="s">
        <v>14</v>
      </c>
      <c r="R61" s="44">
        <v>100</v>
      </c>
      <c r="S61" s="47">
        <v>300</v>
      </c>
      <c r="T61" s="4"/>
    </row>
    <row r="62" spans="1:20" x14ac:dyDescent="0.25">
      <c r="A62" s="7">
        <v>59</v>
      </c>
      <c r="D62" s="9" t="s">
        <v>181</v>
      </c>
      <c r="E62" s="10"/>
      <c r="F62" s="10"/>
      <c r="G62" s="11"/>
      <c r="H62" s="12">
        <v>380</v>
      </c>
      <c r="I62" s="7" t="s">
        <v>2</v>
      </c>
      <c r="J62" s="3">
        <v>0</v>
      </c>
      <c r="K62" s="3">
        <v>340</v>
      </c>
      <c r="L62" s="3">
        <v>0</v>
      </c>
      <c r="M62" s="3">
        <v>0</v>
      </c>
      <c r="N62" s="3">
        <v>0</v>
      </c>
      <c r="O62" s="3">
        <v>0</v>
      </c>
      <c r="P62" s="4">
        <f t="shared" si="0"/>
        <v>40</v>
      </c>
      <c r="Q62" s="1" t="s">
        <v>14</v>
      </c>
      <c r="R62" s="44">
        <v>100</v>
      </c>
      <c r="S62" s="47">
        <v>300</v>
      </c>
      <c r="T62" s="4"/>
    </row>
    <row r="63" spans="1:20" x14ac:dyDescent="0.25">
      <c r="A63" s="7">
        <v>60</v>
      </c>
      <c r="D63" s="16" t="s">
        <v>130</v>
      </c>
      <c r="E63" s="17"/>
      <c r="F63" s="17"/>
      <c r="G63" s="18"/>
      <c r="H63" s="12">
        <v>173</v>
      </c>
      <c r="I63" s="7" t="s">
        <v>2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4">
        <f t="shared" si="0"/>
        <v>173</v>
      </c>
      <c r="Q63" s="1" t="s">
        <v>14</v>
      </c>
      <c r="R63" s="44">
        <v>20</v>
      </c>
      <c r="S63" s="46">
        <v>200</v>
      </c>
      <c r="T63" s="4"/>
    </row>
    <row r="64" spans="1:20" x14ac:dyDescent="0.25">
      <c r="A64" s="7">
        <v>61</v>
      </c>
      <c r="D64" s="26" t="s">
        <v>146</v>
      </c>
      <c r="E64" s="27"/>
      <c r="F64" s="27"/>
      <c r="G64" s="28"/>
      <c r="H64" s="12">
        <v>0</v>
      </c>
      <c r="I64" s="30" t="s">
        <v>2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4">
        <f t="shared" si="0"/>
        <v>0</v>
      </c>
      <c r="Q64" s="1" t="s">
        <v>14</v>
      </c>
      <c r="R64" s="44">
        <v>50</v>
      </c>
      <c r="S64" s="47">
        <v>100</v>
      </c>
      <c r="T64" s="4"/>
    </row>
    <row r="65" spans="1:20" x14ac:dyDescent="0.25">
      <c r="A65" s="7">
        <v>62</v>
      </c>
      <c r="D65" s="16" t="s">
        <v>65</v>
      </c>
      <c r="E65" s="17"/>
      <c r="F65" s="17"/>
      <c r="G65" s="18"/>
      <c r="H65" s="12">
        <v>25</v>
      </c>
      <c r="I65" s="7" t="s">
        <v>2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4">
        <f t="shared" si="0"/>
        <v>25</v>
      </c>
      <c r="Q65" s="1" t="s">
        <v>14</v>
      </c>
      <c r="R65" s="44">
        <v>10</v>
      </c>
      <c r="S65" s="46">
        <v>50</v>
      </c>
      <c r="T65" s="4"/>
    </row>
    <row r="66" spans="1:20" x14ac:dyDescent="0.25">
      <c r="A66" s="7">
        <v>63</v>
      </c>
      <c r="D66" s="9" t="s">
        <v>66</v>
      </c>
      <c r="E66" s="10"/>
      <c r="F66" s="10"/>
      <c r="G66" s="11"/>
      <c r="H66" s="12">
        <v>50</v>
      </c>
      <c r="I66" s="7" t="s">
        <v>2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  <c r="P66" s="4">
        <f t="shared" si="0"/>
        <v>50</v>
      </c>
      <c r="Q66" s="1" t="s">
        <v>14</v>
      </c>
      <c r="R66" s="44">
        <v>300</v>
      </c>
      <c r="S66" s="47">
        <v>1000</v>
      </c>
      <c r="T66" s="4"/>
    </row>
    <row r="67" spans="1:20" x14ac:dyDescent="0.25">
      <c r="A67" s="7">
        <v>64</v>
      </c>
      <c r="D67" s="19" t="s">
        <v>165</v>
      </c>
      <c r="E67" s="20"/>
      <c r="F67" s="20"/>
      <c r="G67" s="21"/>
      <c r="H67" s="12">
        <v>50</v>
      </c>
      <c r="I67" s="7" t="s">
        <v>2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  <c r="P67" s="4">
        <f t="shared" si="0"/>
        <v>50</v>
      </c>
      <c r="Q67" s="1" t="s">
        <v>14</v>
      </c>
      <c r="R67" s="44">
        <v>50</v>
      </c>
      <c r="S67" s="47">
        <v>150</v>
      </c>
      <c r="T67" s="4"/>
    </row>
    <row r="68" spans="1:20" x14ac:dyDescent="0.25">
      <c r="A68" s="7">
        <v>65</v>
      </c>
      <c r="D68" s="22" t="s">
        <v>74</v>
      </c>
      <c r="E68" s="10"/>
      <c r="F68" s="10"/>
      <c r="G68" s="11"/>
      <c r="H68" s="12">
        <v>140</v>
      </c>
      <c r="I68" s="8" t="s">
        <v>75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4">
        <f t="shared" ref="P68:P89" si="1">+H68+J68-K68-L68-M68-N68-O68</f>
        <v>140</v>
      </c>
      <c r="Q68" s="1">
        <v>22</v>
      </c>
      <c r="R68" s="44">
        <v>65</v>
      </c>
      <c r="S68" s="47">
        <v>150</v>
      </c>
      <c r="T68" s="4"/>
    </row>
    <row r="69" spans="1:20" x14ac:dyDescent="0.25">
      <c r="A69" s="7">
        <v>66</v>
      </c>
      <c r="C69" s="1" t="s">
        <v>14</v>
      </c>
      <c r="D69" s="22" t="s">
        <v>76</v>
      </c>
      <c r="E69" s="10"/>
      <c r="F69" s="10"/>
      <c r="G69" s="11"/>
      <c r="H69" s="12">
        <v>215</v>
      </c>
      <c r="I69" s="8" t="s">
        <v>2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4">
        <f t="shared" si="1"/>
        <v>215</v>
      </c>
      <c r="Q69" s="1" t="s">
        <v>14</v>
      </c>
      <c r="R69" s="44">
        <v>50</v>
      </c>
      <c r="S69" s="47">
        <v>100</v>
      </c>
      <c r="T69" s="4"/>
    </row>
    <row r="70" spans="1:20" x14ac:dyDescent="0.25">
      <c r="A70" s="7">
        <v>67</v>
      </c>
      <c r="D70" s="25" t="s">
        <v>147</v>
      </c>
      <c r="H70" s="12">
        <v>315</v>
      </c>
      <c r="I70" s="30" t="s">
        <v>2</v>
      </c>
      <c r="J70" s="3">
        <v>0</v>
      </c>
      <c r="K70" s="3">
        <v>5</v>
      </c>
      <c r="L70" s="3">
        <v>10</v>
      </c>
      <c r="M70" s="3">
        <v>10</v>
      </c>
      <c r="N70" s="3">
        <v>4</v>
      </c>
      <c r="O70" s="3">
        <v>0</v>
      </c>
      <c r="P70" s="4">
        <f t="shared" si="1"/>
        <v>286</v>
      </c>
      <c r="Q70" s="1" t="s">
        <v>14</v>
      </c>
      <c r="R70" s="44">
        <v>50</v>
      </c>
      <c r="S70" s="47">
        <v>100</v>
      </c>
      <c r="T70" s="4"/>
    </row>
    <row r="71" spans="1:20" x14ac:dyDescent="0.25">
      <c r="A71" s="7">
        <v>68</v>
      </c>
      <c r="D71" s="26" t="s">
        <v>80</v>
      </c>
      <c r="E71" s="27"/>
      <c r="F71" s="27"/>
      <c r="G71" s="28"/>
      <c r="H71" s="12">
        <v>31</v>
      </c>
      <c r="I71" s="8" t="s">
        <v>2</v>
      </c>
      <c r="J71" s="3">
        <v>0</v>
      </c>
      <c r="K71" s="3">
        <v>0</v>
      </c>
      <c r="L71" s="3">
        <v>0</v>
      </c>
      <c r="M71" s="3">
        <v>0</v>
      </c>
      <c r="N71" s="3">
        <v>1</v>
      </c>
      <c r="O71" s="3">
        <v>0</v>
      </c>
      <c r="P71" s="4">
        <f t="shared" si="1"/>
        <v>30</v>
      </c>
      <c r="Q71" s="1" t="s">
        <v>14</v>
      </c>
      <c r="R71" s="44">
        <v>20</v>
      </c>
      <c r="S71" s="46">
        <v>200</v>
      </c>
      <c r="T71" s="4"/>
    </row>
    <row r="72" spans="1:20" x14ac:dyDescent="0.25">
      <c r="A72" s="7">
        <v>69</v>
      </c>
      <c r="D72" s="26" t="s">
        <v>84</v>
      </c>
      <c r="E72" s="27"/>
      <c r="F72" s="27"/>
      <c r="G72" s="28"/>
      <c r="H72" s="12">
        <v>0</v>
      </c>
      <c r="I72" s="8" t="s">
        <v>2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  <c r="P72" s="4">
        <f t="shared" si="1"/>
        <v>0</v>
      </c>
      <c r="Q72" s="1" t="s">
        <v>14</v>
      </c>
      <c r="R72" s="44">
        <v>100</v>
      </c>
      <c r="S72" s="47">
        <v>200</v>
      </c>
      <c r="T72" s="4"/>
    </row>
    <row r="73" spans="1:20" x14ac:dyDescent="0.25">
      <c r="A73" s="7">
        <v>70</v>
      </c>
      <c r="D73" s="26" t="s">
        <v>167</v>
      </c>
      <c r="E73" s="27"/>
      <c r="F73" s="27"/>
      <c r="G73" s="28"/>
      <c r="H73" s="12">
        <v>50</v>
      </c>
      <c r="I73" s="8" t="s">
        <v>2</v>
      </c>
      <c r="J73" s="3">
        <v>0</v>
      </c>
      <c r="K73" s="3">
        <v>0</v>
      </c>
      <c r="L73" s="3">
        <v>0</v>
      </c>
      <c r="M73" s="3">
        <v>0</v>
      </c>
      <c r="N73" s="3">
        <v>1</v>
      </c>
      <c r="O73" s="3">
        <v>0</v>
      </c>
      <c r="P73" s="4">
        <f t="shared" si="1"/>
        <v>49</v>
      </c>
      <c r="R73" s="44">
        <v>20</v>
      </c>
      <c r="S73" s="46">
        <v>200</v>
      </c>
      <c r="T73" s="4"/>
    </row>
    <row r="74" spans="1:20" x14ac:dyDescent="0.25">
      <c r="A74" s="7">
        <v>71</v>
      </c>
      <c r="D74" s="37" t="s">
        <v>176</v>
      </c>
      <c r="E74" s="17"/>
      <c r="F74" s="33"/>
      <c r="G74" s="33"/>
      <c r="H74" s="12">
        <v>2000</v>
      </c>
      <c r="I74" s="8" t="s">
        <v>2</v>
      </c>
      <c r="J74" s="3">
        <v>0</v>
      </c>
      <c r="K74" s="3">
        <v>0</v>
      </c>
      <c r="L74" s="3">
        <v>20</v>
      </c>
      <c r="M74" s="3">
        <v>20</v>
      </c>
      <c r="N74" s="3">
        <v>0</v>
      </c>
      <c r="O74" s="3">
        <v>0</v>
      </c>
      <c r="P74" s="4">
        <f t="shared" si="1"/>
        <v>1960</v>
      </c>
      <c r="Q74" s="1" t="s">
        <v>14</v>
      </c>
      <c r="R74" s="44">
        <v>100</v>
      </c>
      <c r="S74" s="47">
        <v>500</v>
      </c>
      <c r="T74" s="4"/>
    </row>
    <row r="75" spans="1:20" x14ac:dyDescent="0.25">
      <c r="A75" s="7">
        <v>72</v>
      </c>
      <c r="D75" s="22" t="s">
        <v>100</v>
      </c>
      <c r="E75" s="10"/>
      <c r="F75" s="10"/>
      <c r="G75" s="28"/>
      <c r="H75" s="12">
        <v>0</v>
      </c>
      <c r="I75" s="8" t="s">
        <v>2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4">
        <f t="shared" si="1"/>
        <v>0</v>
      </c>
      <c r="R75" s="44">
        <v>0</v>
      </c>
      <c r="S75" s="46"/>
      <c r="T75" s="4"/>
    </row>
    <row r="76" spans="1:20" x14ac:dyDescent="0.25">
      <c r="A76" s="7">
        <v>73</v>
      </c>
      <c r="D76" s="37" t="s">
        <v>113</v>
      </c>
      <c r="E76" s="17"/>
      <c r="F76" s="17"/>
      <c r="G76" s="33"/>
      <c r="H76" s="12">
        <v>923</v>
      </c>
      <c r="I76" s="8" t="s">
        <v>97</v>
      </c>
      <c r="J76" s="3">
        <v>0</v>
      </c>
      <c r="K76" s="3">
        <v>67</v>
      </c>
      <c r="L76" s="3">
        <v>142</v>
      </c>
      <c r="M76" s="3">
        <v>67</v>
      </c>
      <c r="N76" s="3">
        <v>37</v>
      </c>
      <c r="O76" s="3">
        <v>0</v>
      </c>
      <c r="P76" s="4">
        <f t="shared" si="1"/>
        <v>610</v>
      </c>
      <c r="Q76" s="65" t="s">
        <v>121</v>
      </c>
      <c r="R76" s="44">
        <v>100</v>
      </c>
      <c r="S76" s="47">
        <v>800</v>
      </c>
      <c r="T76" s="4"/>
    </row>
    <row r="77" spans="1:20" x14ac:dyDescent="0.25">
      <c r="A77" s="7">
        <v>74</v>
      </c>
      <c r="D77" s="22" t="s">
        <v>103</v>
      </c>
      <c r="E77" s="10"/>
      <c r="F77" s="10"/>
      <c r="G77" s="28"/>
      <c r="H77" s="12">
        <v>102</v>
      </c>
      <c r="I77" s="8" t="s">
        <v>132</v>
      </c>
      <c r="J77" s="3">
        <v>0</v>
      </c>
      <c r="K77" s="3">
        <v>0</v>
      </c>
      <c r="L77" s="3">
        <v>10</v>
      </c>
      <c r="M77" s="3">
        <v>0</v>
      </c>
      <c r="N77" s="3">
        <v>0</v>
      </c>
      <c r="O77" s="3">
        <v>0</v>
      </c>
      <c r="P77" s="4">
        <f t="shared" si="1"/>
        <v>92</v>
      </c>
      <c r="R77" s="44">
        <v>60</v>
      </c>
      <c r="S77" s="47">
        <v>100</v>
      </c>
      <c r="T77" s="4"/>
    </row>
    <row r="78" spans="1:20" x14ac:dyDescent="0.25">
      <c r="A78" s="8">
        <v>75</v>
      </c>
      <c r="D78" s="49" t="s">
        <v>108</v>
      </c>
      <c r="E78" s="20"/>
      <c r="F78" s="20"/>
      <c r="G78" s="20"/>
      <c r="H78" s="12">
        <v>30000</v>
      </c>
      <c r="I78" s="8" t="s">
        <v>110</v>
      </c>
      <c r="J78" s="3">
        <v>0</v>
      </c>
      <c r="K78" s="3">
        <v>1500</v>
      </c>
      <c r="L78" s="3">
        <v>1500</v>
      </c>
      <c r="M78" s="3">
        <v>3000</v>
      </c>
      <c r="N78" s="3">
        <v>500</v>
      </c>
      <c r="O78" s="3">
        <v>0</v>
      </c>
      <c r="P78" s="4">
        <f t="shared" si="1"/>
        <v>23500</v>
      </c>
      <c r="R78" s="43">
        <v>1000</v>
      </c>
      <c r="S78" s="46">
        <v>10000</v>
      </c>
      <c r="T78" s="4"/>
    </row>
    <row r="79" spans="1:20" x14ac:dyDescent="0.25">
      <c r="A79" s="48">
        <v>76</v>
      </c>
      <c r="B79" s="41"/>
      <c r="C79" s="41"/>
      <c r="D79" s="22" t="s">
        <v>115</v>
      </c>
      <c r="E79" s="10"/>
      <c r="F79" s="10"/>
      <c r="G79" s="11"/>
      <c r="H79" s="12">
        <v>310</v>
      </c>
      <c r="I79" s="62" t="s">
        <v>2</v>
      </c>
      <c r="J79" s="3">
        <v>0</v>
      </c>
      <c r="K79" s="3">
        <v>5</v>
      </c>
      <c r="L79" s="3">
        <v>10</v>
      </c>
      <c r="M79" s="3">
        <v>10</v>
      </c>
      <c r="N79" s="3">
        <v>4</v>
      </c>
      <c r="O79" s="3">
        <v>0</v>
      </c>
      <c r="P79" s="64">
        <f t="shared" si="1"/>
        <v>281</v>
      </c>
      <c r="R79" s="64">
        <v>50</v>
      </c>
      <c r="S79" s="64">
        <v>100</v>
      </c>
      <c r="T79" s="4" t="s">
        <v>14</v>
      </c>
    </row>
    <row r="80" spans="1:20" x14ac:dyDescent="0.25">
      <c r="A80" s="73">
        <v>77</v>
      </c>
      <c r="B80" s="41"/>
      <c r="C80" s="41"/>
      <c r="D80" s="49" t="s">
        <v>134</v>
      </c>
      <c r="E80" s="35"/>
      <c r="F80" s="35"/>
      <c r="G80" s="60"/>
      <c r="H80" s="12">
        <v>115</v>
      </c>
      <c r="I80" s="8" t="s">
        <v>2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  <c r="P80" s="4">
        <f t="shared" si="1"/>
        <v>115</v>
      </c>
      <c r="Q80" s="4"/>
      <c r="R80" s="4">
        <v>20</v>
      </c>
      <c r="S80" s="4">
        <v>50</v>
      </c>
      <c r="T80" s="4"/>
    </row>
    <row r="81" spans="1:20" x14ac:dyDescent="0.25">
      <c r="A81" s="8">
        <v>78</v>
      </c>
      <c r="D81" s="22" t="s">
        <v>123</v>
      </c>
      <c r="E81" s="10"/>
      <c r="F81" s="10"/>
      <c r="G81" s="11"/>
      <c r="H81" s="12">
        <v>750</v>
      </c>
      <c r="I81" s="8" t="s">
        <v>2</v>
      </c>
      <c r="J81" s="3">
        <v>0</v>
      </c>
      <c r="K81" s="3">
        <v>0</v>
      </c>
      <c r="L81" s="3">
        <v>0</v>
      </c>
      <c r="M81" s="3">
        <v>250</v>
      </c>
      <c r="N81" s="3">
        <v>0</v>
      </c>
      <c r="O81" s="3">
        <v>0</v>
      </c>
      <c r="P81" s="4">
        <f t="shared" si="1"/>
        <v>500</v>
      </c>
      <c r="Q81" s="4"/>
      <c r="R81" s="4">
        <v>100</v>
      </c>
      <c r="S81" s="4">
        <v>500</v>
      </c>
      <c r="T81" s="4"/>
    </row>
    <row r="82" spans="1:20" x14ac:dyDescent="0.25">
      <c r="A82" s="48">
        <v>79</v>
      </c>
      <c r="B82" s="41"/>
      <c r="C82" s="41"/>
      <c r="D82" s="22" t="s">
        <v>177</v>
      </c>
      <c r="E82" s="10"/>
      <c r="F82" s="10"/>
      <c r="G82" s="11"/>
      <c r="H82" s="4">
        <v>500</v>
      </c>
      <c r="I82" s="8" t="s">
        <v>110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  <c r="P82" s="4">
        <f t="shared" si="1"/>
        <v>500</v>
      </c>
      <c r="Q82" s="4"/>
      <c r="R82" s="4">
        <v>10</v>
      </c>
      <c r="S82" s="4">
        <v>50</v>
      </c>
      <c r="T82" s="4"/>
    </row>
    <row r="83" spans="1:20" x14ac:dyDescent="0.25">
      <c r="A83" s="48">
        <v>80</v>
      </c>
      <c r="B83" s="41"/>
      <c r="C83" s="41"/>
      <c r="D83" s="37" t="s">
        <v>178</v>
      </c>
      <c r="E83" s="17"/>
      <c r="F83" s="17"/>
      <c r="G83" s="18"/>
      <c r="H83" s="64">
        <v>6100</v>
      </c>
      <c r="I83" s="62" t="s">
        <v>110</v>
      </c>
      <c r="J83" s="3">
        <v>0</v>
      </c>
      <c r="K83" s="3">
        <v>0</v>
      </c>
      <c r="L83" s="3">
        <v>0</v>
      </c>
      <c r="M83" s="3">
        <v>1000</v>
      </c>
      <c r="N83" s="3">
        <v>0</v>
      </c>
      <c r="O83" s="3">
        <v>0</v>
      </c>
      <c r="P83" s="64">
        <f t="shared" si="1"/>
        <v>5100</v>
      </c>
      <c r="Q83" s="64"/>
      <c r="R83" s="64">
        <v>10</v>
      </c>
      <c r="S83" s="64">
        <v>50</v>
      </c>
      <c r="T83" s="4"/>
    </row>
    <row r="84" spans="1:20" x14ac:dyDescent="0.25">
      <c r="A84" s="48">
        <v>81</v>
      </c>
      <c r="B84" s="11"/>
      <c r="C84" s="23"/>
      <c r="D84" s="23" t="s">
        <v>149</v>
      </c>
      <c r="E84" s="23"/>
      <c r="F84" s="23"/>
      <c r="G84" s="23"/>
      <c r="H84" s="23">
        <v>10</v>
      </c>
      <c r="I84" s="8" t="s">
        <v>2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4">
        <f t="shared" si="1"/>
        <v>10</v>
      </c>
      <c r="Q84" s="4"/>
      <c r="R84" s="4">
        <v>10</v>
      </c>
      <c r="S84" s="4">
        <v>50</v>
      </c>
      <c r="T84" s="4"/>
    </row>
    <row r="85" spans="1:20" x14ac:dyDescent="0.25">
      <c r="A85" s="8">
        <v>82</v>
      </c>
      <c r="D85" s="68" t="s">
        <v>148</v>
      </c>
      <c r="E85" s="27"/>
      <c r="F85" s="27"/>
      <c r="G85" s="28"/>
      <c r="H85" s="4">
        <v>0</v>
      </c>
      <c r="I85" s="8" t="s">
        <v>2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4">
        <f t="shared" si="1"/>
        <v>0</v>
      </c>
      <c r="Q85" s="4"/>
      <c r="R85" s="4">
        <v>50</v>
      </c>
      <c r="S85" s="4">
        <v>200</v>
      </c>
      <c r="T85" s="4"/>
    </row>
    <row r="86" spans="1:20" ht="15.75" customHeight="1" x14ac:dyDescent="0.25">
      <c r="A86" s="8">
        <v>83</v>
      </c>
      <c r="D86" s="79" t="s">
        <v>150</v>
      </c>
      <c r="E86" s="80"/>
      <c r="F86" s="81"/>
      <c r="G86" s="82"/>
      <c r="H86" s="4">
        <v>60</v>
      </c>
      <c r="I86" s="8" t="s">
        <v>2</v>
      </c>
      <c r="J86" s="3">
        <v>350</v>
      </c>
      <c r="K86" s="3">
        <v>20</v>
      </c>
      <c r="L86" s="3">
        <v>22</v>
      </c>
      <c r="M86" s="3">
        <v>36</v>
      </c>
      <c r="N86" s="3">
        <v>81</v>
      </c>
      <c r="O86" s="3">
        <v>0</v>
      </c>
      <c r="P86" s="4">
        <f t="shared" si="1"/>
        <v>251</v>
      </c>
      <c r="Q86" s="4"/>
      <c r="R86" s="4">
        <v>50</v>
      </c>
      <c r="S86" s="4">
        <v>300</v>
      </c>
      <c r="T86" s="4"/>
    </row>
    <row r="87" spans="1:20" x14ac:dyDescent="0.25">
      <c r="A87" s="8">
        <v>84</v>
      </c>
      <c r="D87" s="22" t="s">
        <v>160</v>
      </c>
      <c r="E87" s="10"/>
      <c r="F87" s="10"/>
      <c r="G87" s="11"/>
      <c r="H87" s="23">
        <v>603</v>
      </c>
      <c r="I87" s="8" t="s">
        <v>2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4">
        <f t="shared" si="1"/>
        <v>603</v>
      </c>
      <c r="Q87" s="4"/>
      <c r="R87" s="4">
        <v>20</v>
      </c>
      <c r="S87" s="4">
        <v>300</v>
      </c>
      <c r="T87" s="4"/>
    </row>
    <row r="88" spans="1:20" x14ac:dyDescent="0.25">
      <c r="A88" s="8">
        <v>85</v>
      </c>
      <c r="D88" s="49" t="s">
        <v>153</v>
      </c>
      <c r="E88" s="20"/>
      <c r="F88" s="20"/>
      <c r="G88" s="21"/>
      <c r="H88" s="23">
        <v>8</v>
      </c>
      <c r="I88" s="8" t="s">
        <v>2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4">
        <f t="shared" si="1"/>
        <v>8</v>
      </c>
      <c r="Q88" s="4"/>
      <c r="R88" s="4">
        <v>10</v>
      </c>
      <c r="S88" s="4">
        <v>200</v>
      </c>
      <c r="T88" s="4"/>
    </row>
    <row r="89" spans="1:20" x14ac:dyDescent="0.25">
      <c r="A89" s="77">
        <v>86</v>
      </c>
      <c r="D89" s="68" t="s">
        <v>179</v>
      </c>
      <c r="E89" s="27"/>
      <c r="F89" s="27"/>
      <c r="G89" s="28"/>
      <c r="H89" s="74">
        <v>300</v>
      </c>
      <c r="I89" s="75" t="s">
        <v>110</v>
      </c>
      <c r="J89" s="3">
        <v>0</v>
      </c>
      <c r="K89" s="3">
        <v>0</v>
      </c>
      <c r="L89" s="3">
        <v>0</v>
      </c>
      <c r="M89" s="3">
        <v>0</v>
      </c>
      <c r="N89" s="3">
        <v>0</v>
      </c>
      <c r="O89" s="3">
        <v>0</v>
      </c>
      <c r="P89" s="4">
        <f t="shared" si="1"/>
        <v>300</v>
      </c>
      <c r="Q89" s="4"/>
      <c r="R89" s="4">
        <v>10</v>
      </c>
      <c r="S89" s="4">
        <v>50</v>
      </c>
      <c r="T89" s="4"/>
    </row>
  </sheetData>
  <pageMargins left="0.75" right="0.75" top="1" bottom="1" header="0.5" footer="0.5"/>
  <pageSetup paperSize="9" orientation="portrait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T89"/>
  <sheetViews>
    <sheetView workbookViewId="0">
      <selection activeCell="N9" sqref="N9"/>
    </sheetView>
  </sheetViews>
  <sheetFormatPr defaultRowHeight="15" x14ac:dyDescent="0.25"/>
  <cols>
    <col min="1" max="1" width="5.5703125" customWidth="1"/>
    <col min="2" max="3" width="9.140625" hidden="1" customWidth="1"/>
    <col min="6" max="6" width="12.7109375" customWidth="1"/>
    <col min="8" max="8" width="10.140625" customWidth="1"/>
    <col min="9" max="9" width="10" customWidth="1"/>
    <col min="10" max="10" width="7.7109375" customWidth="1"/>
    <col min="11" max="11" width="10.7109375" customWidth="1"/>
    <col min="12" max="12" width="10.140625" customWidth="1"/>
    <col min="13" max="13" width="11.85546875" customWidth="1"/>
    <col min="14" max="15" width="11.7109375" customWidth="1"/>
    <col min="16" max="16" width="10.140625" customWidth="1"/>
    <col min="17" max="17" width="4.7109375" customWidth="1"/>
    <col min="18" max="18" width="10.140625" customWidth="1"/>
    <col min="19" max="19" width="11.5703125" customWidth="1"/>
    <col min="20" max="20" width="0.28515625" customWidth="1"/>
  </cols>
  <sheetData>
    <row r="1" spans="1:20" x14ac:dyDescent="0.25">
      <c r="G1" s="1"/>
      <c r="P1">
        <f>+H1+J1-K1-L1-M1-N1-O1</f>
        <v>0</v>
      </c>
    </row>
    <row r="2" spans="1:20" x14ac:dyDescent="0.25">
      <c r="A2" t="s">
        <v>14</v>
      </c>
      <c r="D2" s="78">
        <v>45717</v>
      </c>
      <c r="O2" s="38" t="s">
        <v>14</v>
      </c>
      <c r="S2" s="50">
        <v>45656</v>
      </c>
    </row>
    <row r="3" spans="1:20" x14ac:dyDescent="0.25">
      <c r="A3" s="3" t="s">
        <v>15</v>
      </c>
      <c r="D3" s="9" t="s">
        <v>17</v>
      </c>
      <c r="E3" s="10"/>
      <c r="F3" s="10"/>
      <c r="G3" s="11"/>
      <c r="H3" s="12" t="s">
        <v>18</v>
      </c>
      <c r="I3" s="4" t="s">
        <v>19</v>
      </c>
      <c r="J3" s="3" t="s">
        <v>20</v>
      </c>
      <c r="K3" s="5">
        <v>45723</v>
      </c>
      <c r="L3" s="6">
        <v>45730</v>
      </c>
      <c r="M3" s="5">
        <v>45737</v>
      </c>
      <c r="N3" s="5">
        <v>45744</v>
      </c>
      <c r="O3" s="6">
        <v>0</v>
      </c>
      <c r="P3" s="3" t="s">
        <v>21</v>
      </c>
      <c r="R3" s="42" t="s">
        <v>105</v>
      </c>
      <c r="S3" s="45" t="s">
        <v>104</v>
      </c>
      <c r="T3" s="4"/>
    </row>
    <row r="4" spans="1:20" x14ac:dyDescent="0.25">
      <c r="A4" s="7">
        <v>1</v>
      </c>
      <c r="D4" s="13" t="s">
        <v>16</v>
      </c>
      <c r="E4" s="14"/>
      <c r="F4" s="14"/>
      <c r="G4" s="15"/>
      <c r="H4" s="12">
        <v>46</v>
      </c>
      <c r="I4" s="7" t="s">
        <v>1</v>
      </c>
      <c r="J4" s="3">
        <v>560.5</v>
      </c>
      <c r="K4" s="3">
        <v>23.5</v>
      </c>
      <c r="L4" s="3">
        <v>23</v>
      </c>
      <c r="M4" s="3">
        <v>46</v>
      </c>
      <c r="N4" s="3">
        <v>46</v>
      </c>
      <c r="O4" s="3">
        <v>0</v>
      </c>
      <c r="P4" s="4">
        <f t="shared" ref="P4:P67" si="0">+H4+J4-K4-L4-M4-N4-O4</f>
        <v>468</v>
      </c>
      <c r="Q4" t="s">
        <v>173</v>
      </c>
      <c r="R4" s="43">
        <v>150</v>
      </c>
      <c r="S4" s="46">
        <v>500</v>
      </c>
      <c r="T4" s="4" t="s">
        <v>14</v>
      </c>
    </row>
    <row r="5" spans="1:20" x14ac:dyDescent="0.25">
      <c r="A5" s="7">
        <v>2</v>
      </c>
      <c r="D5" s="9" t="s">
        <v>14</v>
      </c>
      <c r="E5" s="10"/>
      <c r="F5" s="10"/>
      <c r="G5" s="11"/>
      <c r="H5" s="12">
        <v>0</v>
      </c>
      <c r="I5" s="7" t="s">
        <v>2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4">
        <f t="shared" si="0"/>
        <v>0</v>
      </c>
      <c r="Q5" s="1" t="s">
        <v>14</v>
      </c>
      <c r="R5" s="44">
        <v>0</v>
      </c>
      <c r="S5" s="47">
        <v>0</v>
      </c>
      <c r="T5" s="4"/>
    </row>
    <row r="6" spans="1:20" x14ac:dyDescent="0.25">
      <c r="A6" s="7">
        <v>3</v>
      </c>
      <c r="D6" s="16" t="s">
        <v>23</v>
      </c>
      <c r="E6" s="17"/>
      <c r="F6" s="17"/>
      <c r="G6" s="18"/>
      <c r="H6" s="12">
        <v>34</v>
      </c>
      <c r="I6" s="7" t="s">
        <v>2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4">
        <f t="shared" si="0"/>
        <v>34</v>
      </c>
      <c r="Q6" s="1" t="s">
        <v>14</v>
      </c>
      <c r="R6" s="44">
        <v>6</v>
      </c>
      <c r="S6" s="47">
        <v>10</v>
      </c>
      <c r="T6" s="4"/>
    </row>
    <row r="7" spans="1:20" x14ac:dyDescent="0.25">
      <c r="A7" s="7">
        <v>4</v>
      </c>
      <c r="D7" s="9" t="s">
        <v>3</v>
      </c>
      <c r="E7" s="10"/>
      <c r="F7" s="10"/>
      <c r="G7" s="11"/>
      <c r="H7" s="12">
        <v>22</v>
      </c>
      <c r="I7" s="7" t="s">
        <v>2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4">
        <f t="shared" si="0"/>
        <v>22</v>
      </c>
      <c r="Q7" s="1" t="s">
        <v>14</v>
      </c>
      <c r="R7" s="44">
        <v>6</v>
      </c>
      <c r="S7" s="47">
        <v>10</v>
      </c>
      <c r="T7" s="4"/>
    </row>
    <row r="8" spans="1:20" x14ac:dyDescent="0.25">
      <c r="A8" s="7">
        <v>5</v>
      </c>
      <c r="D8" s="16" t="s">
        <v>139</v>
      </c>
      <c r="E8" s="17"/>
      <c r="F8" s="17"/>
      <c r="G8" s="18"/>
      <c r="H8" s="12">
        <v>98</v>
      </c>
      <c r="I8" s="7" t="s">
        <v>2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4">
        <f t="shared" si="0"/>
        <v>98</v>
      </c>
      <c r="Q8" s="1" t="s">
        <v>14</v>
      </c>
      <c r="R8" s="44">
        <v>50</v>
      </c>
      <c r="S8" s="47">
        <v>400</v>
      </c>
      <c r="T8" s="4"/>
    </row>
    <row r="9" spans="1:20" x14ac:dyDescent="0.25">
      <c r="A9" s="7">
        <v>6</v>
      </c>
      <c r="D9" s="9" t="s">
        <v>24</v>
      </c>
      <c r="E9" s="10"/>
      <c r="F9" s="10"/>
      <c r="G9" s="11"/>
      <c r="H9" s="12">
        <v>260</v>
      </c>
      <c r="I9" s="7" t="s">
        <v>171</v>
      </c>
      <c r="J9" s="3">
        <v>0</v>
      </c>
      <c r="K9" s="3">
        <v>0</v>
      </c>
      <c r="L9" s="3">
        <v>0</v>
      </c>
      <c r="M9" s="3">
        <v>10</v>
      </c>
      <c r="N9" s="3">
        <v>10</v>
      </c>
      <c r="O9" s="3">
        <v>0</v>
      </c>
      <c r="P9" s="4">
        <f t="shared" si="0"/>
        <v>240</v>
      </c>
      <c r="Q9" s="1" t="s">
        <v>132</v>
      </c>
      <c r="R9" s="44">
        <v>100</v>
      </c>
      <c r="S9" s="47">
        <v>400</v>
      </c>
      <c r="T9" s="4"/>
    </row>
    <row r="10" spans="1:20" x14ac:dyDescent="0.25">
      <c r="A10" s="7">
        <v>7</v>
      </c>
      <c r="D10" s="16" t="s">
        <v>101</v>
      </c>
      <c r="E10" s="17"/>
      <c r="F10" s="17"/>
      <c r="G10" s="18"/>
      <c r="H10" s="12">
        <v>380</v>
      </c>
      <c r="I10" s="7" t="s">
        <v>2</v>
      </c>
      <c r="J10" s="3">
        <v>0</v>
      </c>
      <c r="K10" s="3">
        <v>0</v>
      </c>
      <c r="L10" s="3">
        <v>20</v>
      </c>
      <c r="M10" s="3">
        <v>0</v>
      </c>
      <c r="N10" s="3">
        <v>40</v>
      </c>
      <c r="O10" s="3">
        <v>0</v>
      </c>
      <c r="P10" s="4">
        <f t="shared" si="0"/>
        <v>320</v>
      </c>
      <c r="Q10" s="1" t="s">
        <v>14</v>
      </c>
      <c r="R10" s="44">
        <v>200</v>
      </c>
      <c r="S10" s="47">
        <v>500</v>
      </c>
      <c r="T10" s="4"/>
    </row>
    <row r="11" spans="1:20" x14ac:dyDescent="0.25">
      <c r="A11" s="7">
        <v>8</v>
      </c>
      <c r="D11" s="9" t="s">
        <v>25</v>
      </c>
      <c r="E11" s="10"/>
      <c r="F11" s="10"/>
      <c r="G11" s="11"/>
      <c r="H11" s="12">
        <v>290</v>
      </c>
      <c r="I11" s="7" t="s">
        <v>2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4">
        <f t="shared" si="0"/>
        <v>290</v>
      </c>
      <c r="Q11" s="1" t="s">
        <v>14</v>
      </c>
      <c r="R11" s="44">
        <v>50</v>
      </c>
      <c r="S11" s="47">
        <v>300</v>
      </c>
      <c r="T11" s="4"/>
    </row>
    <row r="12" spans="1:20" x14ac:dyDescent="0.25">
      <c r="A12" s="7">
        <v>9</v>
      </c>
      <c r="D12" s="16" t="s">
        <v>174</v>
      </c>
      <c r="E12" s="17"/>
      <c r="F12" s="17"/>
      <c r="G12" s="18"/>
      <c r="H12" s="12">
        <v>80</v>
      </c>
      <c r="I12" s="7" t="s">
        <v>2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4">
        <f t="shared" si="0"/>
        <v>80</v>
      </c>
      <c r="Q12" s="1" t="s">
        <v>14</v>
      </c>
      <c r="R12" s="44">
        <v>45</v>
      </c>
      <c r="S12" s="47">
        <v>200</v>
      </c>
      <c r="T12" s="4"/>
    </row>
    <row r="13" spans="1:20" x14ac:dyDescent="0.25">
      <c r="A13" s="7">
        <v>10</v>
      </c>
      <c r="D13" s="9" t="s">
        <v>6</v>
      </c>
      <c r="E13" s="10"/>
      <c r="F13" s="10"/>
      <c r="G13" s="11"/>
      <c r="H13" s="12">
        <v>30</v>
      </c>
      <c r="I13" s="7" t="s">
        <v>2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4">
        <f t="shared" si="0"/>
        <v>30</v>
      </c>
      <c r="Q13" s="1" t="s">
        <v>14</v>
      </c>
      <c r="R13" s="44">
        <v>10</v>
      </c>
      <c r="S13" s="46">
        <v>100</v>
      </c>
      <c r="T13" s="4"/>
    </row>
    <row r="14" spans="1:20" x14ac:dyDescent="0.25">
      <c r="A14" s="7">
        <v>11</v>
      </c>
      <c r="D14" s="16" t="s">
        <v>7</v>
      </c>
      <c r="E14" s="17"/>
      <c r="F14" s="17"/>
      <c r="G14" s="18"/>
      <c r="H14" s="12">
        <v>4</v>
      </c>
      <c r="I14" s="7" t="s">
        <v>171</v>
      </c>
      <c r="J14" s="97">
        <v>10</v>
      </c>
      <c r="K14" s="3">
        <v>1</v>
      </c>
      <c r="L14" s="3">
        <v>0</v>
      </c>
      <c r="M14" s="3">
        <v>0</v>
      </c>
      <c r="N14" s="3">
        <v>0</v>
      </c>
      <c r="O14" s="3">
        <v>0</v>
      </c>
      <c r="P14" s="4">
        <f t="shared" si="0"/>
        <v>13</v>
      </c>
      <c r="Q14" s="1" t="s">
        <v>14</v>
      </c>
      <c r="R14" s="44">
        <v>10</v>
      </c>
      <c r="S14" s="47">
        <v>50</v>
      </c>
      <c r="T14" s="4"/>
    </row>
    <row r="15" spans="1:20" x14ac:dyDescent="0.25">
      <c r="A15" s="7">
        <v>12</v>
      </c>
      <c r="D15" s="9" t="s">
        <v>69</v>
      </c>
      <c r="E15" s="10"/>
      <c r="F15" s="10"/>
      <c r="G15" s="11"/>
      <c r="H15" s="12">
        <v>0</v>
      </c>
      <c r="I15" s="7" t="s">
        <v>171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4">
        <f t="shared" si="0"/>
        <v>0</v>
      </c>
      <c r="Q15" s="1" t="s">
        <v>132</v>
      </c>
      <c r="R15" s="44">
        <v>200</v>
      </c>
      <c r="S15" s="47">
        <v>400</v>
      </c>
      <c r="T15" s="4"/>
    </row>
    <row r="16" spans="1:20" x14ac:dyDescent="0.25">
      <c r="A16" s="7">
        <v>13</v>
      </c>
      <c r="D16" s="88"/>
      <c r="E16" s="89"/>
      <c r="F16" s="90" t="s">
        <v>111</v>
      </c>
      <c r="G16" s="87"/>
      <c r="H16" s="12">
        <v>110</v>
      </c>
      <c r="I16" s="7" t="s">
        <v>2</v>
      </c>
      <c r="J16" s="3">
        <v>0</v>
      </c>
      <c r="K16" s="3">
        <v>0</v>
      </c>
      <c r="L16" s="3">
        <v>5</v>
      </c>
      <c r="M16" s="3">
        <v>0</v>
      </c>
      <c r="N16" s="3">
        <v>0</v>
      </c>
      <c r="O16" s="3">
        <v>0</v>
      </c>
      <c r="P16" s="4">
        <f t="shared" ref="P16" si="1">+H16+J16-K16-L16-M16-N16-O16</f>
        <v>105</v>
      </c>
      <c r="Q16" s="1" t="s">
        <v>14</v>
      </c>
      <c r="R16" s="44">
        <v>100</v>
      </c>
      <c r="S16" s="46">
        <v>500</v>
      </c>
      <c r="T16" s="4"/>
    </row>
    <row r="17" spans="1:20" x14ac:dyDescent="0.25">
      <c r="A17" s="7">
        <v>14</v>
      </c>
      <c r="D17" s="9" t="s">
        <v>73</v>
      </c>
      <c r="E17" s="10"/>
      <c r="F17" s="10"/>
      <c r="G17" s="11"/>
      <c r="H17" s="12">
        <v>690</v>
      </c>
      <c r="I17" s="7" t="s">
        <v>2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4">
        <f t="shared" si="0"/>
        <v>690</v>
      </c>
      <c r="Q17" s="1" t="s">
        <v>14</v>
      </c>
      <c r="R17" s="44">
        <v>0</v>
      </c>
      <c r="S17" s="46"/>
      <c r="T17" s="4"/>
    </row>
    <row r="18" spans="1:20" x14ac:dyDescent="0.25">
      <c r="A18" s="7">
        <v>15</v>
      </c>
      <c r="D18" s="16" t="s">
        <v>28</v>
      </c>
      <c r="E18" s="17"/>
      <c r="F18" s="17"/>
      <c r="G18" s="18"/>
      <c r="H18" s="12">
        <v>40</v>
      </c>
      <c r="I18" s="7" t="s">
        <v>2</v>
      </c>
      <c r="J18" s="3">
        <v>50</v>
      </c>
      <c r="K18" s="3">
        <v>9</v>
      </c>
      <c r="L18" s="3">
        <v>8</v>
      </c>
      <c r="M18" s="3">
        <v>8</v>
      </c>
      <c r="N18" s="3">
        <v>0</v>
      </c>
      <c r="O18" s="3">
        <v>0</v>
      </c>
      <c r="P18" s="4">
        <f t="shared" si="0"/>
        <v>65</v>
      </c>
      <c r="Q18" s="1" t="s">
        <v>14</v>
      </c>
      <c r="R18" s="44">
        <v>50</v>
      </c>
      <c r="S18" s="47">
        <v>100</v>
      </c>
      <c r="T18" s="4"/>
    </row>
    <row r="19" spans="1:20" x14ac:dyDescent="0.25">
      <c r="A19" s="7">
        <v>16</v>
      </c>
      <c r="D19" s="9" t="s">
        <v>29</v>
      </c>
      <c r="E19" s="10"/>
      <c r="F19" s="10"/>
      <c r="G19" s="11"/>
      <c r="H19" s="12">
        <v>40</v>
      </c>
      <c r="I19" s="7" t="s">
        <v>2</v>
      </c>
      <c r="J19" s="3">
        <v>50</v>
      </c>
      <c r="K19" s="3">
        <v>9</v>
      </c>
      <c r="L19" s="3">
        <v>8</v>
      </c>
      <c r="M19" s="3">
        <v>8</v>
      </c>
      <c r="N19" s="3">
        <v>0</v>
      </c>
      <c r="O19" s="3">
        <v>0</v>
      </c>
      <c r="P19" s="4">
        <f t="shared" si="0"/>
        <v>65</v>
      </c>
      <c r="Q19" s="1" t="s">
        <v>14</v>
      </c>
      <c r="R19" s="44">
        <v>50</v>
      </c>
      <c r="S19" s="47">
        <v>100</v>
      </c>
      <c r="T19" s="4"/>
    </row>
    <row r="20" spans="1:20" x14ac:dyDescent="0.25">
      <c r="A20" s="7">
        <v>17</v>
      </c>
      <c r="D20" s="16" t="s">
        <v>14</v>
      </c>
      <c r="E20" s="17" t="s">
        <v>14</v>
      </c>
      <c r="F20" s="17" t="s">
        <v>14</v>
      </c>
      <c r="G20" s="18"/>
      <c r="H20" s="12">
        <v>0</v>
      </c>
      <c r="I20" s="7" t="s">
        <v>2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4">
        <f t="shared" si="0"/>
        <v>0</v>
      </c>
      <c r="Q20" s="1" t="s">
        <v>14</v>
      </c>
      <c r="R20" s="44" t="s">
        <v>14</v>
      </c>
      <c r="S20" s="47" t="s">
        <v>14</v>
      </c>
      <c r="T20" s="4"/>
    </row>
    <row r="21" spans="1:20" x14ac:dyDescent="0.25">
      <c r="A21" s="7">
        <v>18</v>
      </c>
      <c r="D21" s="9" t="s">
        <v>129</v>
      </c>
      <c r="E21" s="10"/>
      <c r="F21" s="10"/>
      <c r="G21" s="11"/>
      <c r="H21" s="12">
        <v>6</v>
      </c>
      <c r="I21" s="7" t="s">
        <v>2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4">
        <f t="shared" si="0"/>
        <v>6</v>
      </c>
      <c r="Q21" s="1" t="s">
        <v>14</v>
      </c>
      <c r="R21" s="44">
        <v>10</v>
      </c>
      <c r="S21" s="46">
        <v>50</v>
      </c>
      <c r="T21" s="4"/>
    </row>
    <row r="22" spans="1:20" x14ac:dyDescent="0.25">
      <c r="A22" s="7">
        <v>19</v>
      </c>
      <c r="D22" s="55" t="s">
        <v>184</v>
      </c>
      <c r="E22" s="56"/>
      <c r="F22" s="56"/>
      <c r="G22" s="57"/>
      <c r="H22" s="12">
        <v>280</v>
      </c>
      <c r="I22" s="59" t="s">
        <v>1</v>
      </c>
      <c r="J22" s="3">
        <v>500</v>
      </c>
      <c r="K22" s="3">
        <v>50</v>
      </c>
      <c r="L22" s="3">
        <v>70</v>
      </c>
      <c r="M22" s="3">
        <v>160</v>
      </c>
      <c r="N22" s="3">
        <v>80</v>
      </c>
      <c r="O22" s="3">
        <v>0</v>
      </c>
      <c r="P22" s="46">
        <f t="shared" si="0"/>
        <v>420</v>
      </c>
      <c r="Q22" s="1" t="s">
        <v>75</v>
      </c>
      <c r="R22" s="44">
        <v>200</v>
      </c>
      <c r="S22" s="47">
        <v>400</v>
      </c>
      <c r="T22" s="4"/>
    </row>
    <row r="23" spans="1:20" x14ac:dyDescent="0.25">
      <c r="A23" s="7">
        <v>20</v>
      </c>
      <c r="D23" s="9" t="s">
        <v>32</v>
      </c>
      <c r="E23" s="10"/>
      <c r="F23" s="10"/>
      <c r="G23" s="11"/>
      <c r="H23" s="12">
        <v>800</v>
      </c>
      <c r="I23" s="7" t="s">
        <v>2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4">
        <f t="shared" si="0"/>
        <v>800</v>
      </c>
      <c r="Q23" s="1" t="s">
        <v>14</v>
      </c>
      <c r="R23" s="44">
        <v>0</v>
      </c>
      <c r="S23" s="46">
        <v>0</v>
      </c>
      <c r="T23" s="4"/>
    </row>
    <row r="24" spans="1:20" x14ac:dyDescent="0.25">
      <c r="A24" s="7">
        <v>21</v>
      </c>
      <c r="D24" s="16" t="s">
        <v>188</v>
      </c>
      <c r="E24" s="17"/>
      <c r="F24" s="17"/>
      <c r="G24" s="18"/>
      <c r="H24" s="12">
        <v>100</v>
      </c>
      <c r="I24" s="7" t="s">
        <v>2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4">
        <f t="shared" si="0"/>
        <v>100</v>
      </c>
      <c r="Q24" s="1" t="s">
        <v>14</v>
      </c>
      <c r="R24" s="44">
        <v>10</v>
      </c>
      <c r="S24" s="46">
        <v>100</v>
      </c>
      <c r="T24" s="4"/>
    </row>
    <row r="25" spans="1:20" x14ac:dyDescent="0.25">
      <c r="A25" s="7">
        <v>22</v>
      </c>
      <c r="D25" s="9" t="s">
        <v>34</v>
      </c>
      <c r="E25" s="10"/>
      <c r="F25" s="10"/>
      <c r="G25" s="11"/>
      <c r="H25" s="12">
        <v>54</v>
      </c>
      <c r="I25" s="7" t="s">
        <v>2</v>
      </c>
      <c r="J25" s="3">
        <v>0</v>
      </c>
      <c r="K25" s="3">
        <v>0</v>
      </c>
      <c r="L25" s="3">
        <v>0</v>
      </c>
      <c r="M25" s="3">
        <v>8</v>
      </c>
      <c r="N25" s="3">
        <v>0</v>
      </c>
      <c r="O25" s="3">
        <v>0</v>
      </c>
      <c r="P25" s="4">
        <f t="shared" si="0"/>
        <v>46</v>
      </c>
      <c r="Q25" s="1" t="s">
        <v>14</v>
      </c>
      <c r="R25" s="44">
        <v>20</v>
      </c>
      <c r="S25" s="46">
        <v>50</v>
      </c>
      <c r="T25" s="4"/>
    </row>
    <row r="26" spans="1:20" x14ac:dyDescent="0.25">
      <c r="A26" s="7">
        <v>23</v>
      </c>
      <c r="D26" s="16" t="s">
        <v>142</v>
      </c>
      <c r="E26" s="17"/>
      <c r="F26" s="17"/>
      <c r="G26" s="18"/>
      <c r="H26" s="12">
        <v>54</v>
      </c>
      <c r="I26" s="7" t="s">
        <v>2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4">
        <f t="shared" si="0"/>
        <v>54</v>
      </c>
      <c r="Q26" s="1" t="s">
        <v>14</v>
      </c>
      <c r="R26" s="44">
        <v>20</v>
      </c>
      <c r="S26" s="47">
        <v>50</v>
      </c>
      <c r="T26" s="4"/>
    </row>
    <row r="27" spans="1:20" x14ac:dyDescent="0.25">
      <c r="A27" s="7">
        <v>24</v>
      </c>
      <c r="D27" s="9" t="s">
        <v>141</v>
      </c>
      <c r="E27" s="10"/>
      <c r="F27" s="10"/>
      <c r="G27" s="11"/>
      <c r="H27" s="12">
        <v>0</v>
      </c>
      <c r="I27" s="7" t="s">
        <v>2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  <c r="P27" s="4">
        <f t="shared" si="0"/>
        <v>0</v>
      </c>
      <c r="Q27" s="1"/>
      <c r="R27" s="44">
        <v>20</v>
      </c>
      <c r="S27" s="47">
        <v>50</v>
      </c>
      <c r="T27" s="4"/>
    </row>
    <row r="28" spans="1:20" x14ac:dyDescent="0.25">
      <c r="A28" s="7">
        <v>25</v>
      </c>
      <c r="D28" s="9" t="s">
        <v>137</v>
      </c>
      <c r="E28" s="10"/>
      <c r="F28" s="10"/>
      <c r="G28" s="11"/>
      <c r="H28" s="12">
        <v>59</v>
      </c>
      <c r="I28" s="7" t="s">
        <v>2</v>
      </c>
      <c r="J28" s="3">
        <v>0</v>
      </c>
      <c r="K28" s="3">
        <v>0</v>
      </c>
      <c r="L28" s="3">
        <v>0</v>
      </c>
      <c r="M28" s="3">
        <v>8</v>
      </c>
      <c r="N28" s="3">
        <v>0</v>
      </c>
      <c r="O28" s="3">
        <v>0</v>
      </c>
      <c r="P28" s="4">
        <f t="shared" si="0"/>
        <v>51</v>
      </c>
      <c r="Q28" s="1" t="s">
        <v>14</v>
      </c>
      <c r="R28" s="44">
        <v>20</v>
      </c>
      <c r="S28" s="47">
        <v>50</v>
      </c>
      <c r="T28" s="4"/>
    </row>
    <row r="29" spans="1:20" x14ac:dyDescent="0.25">
      <c r="A29" s="7">
        <v>26</v>
      </c>
      <c r="D29" s="9" t="s">
        <v>138</v>
      </c>
      <c r="E29" s="10"/>
      <c r="F29" s="10"/>
      <c r="G29" s="11"/>
      <c r="H29" s="12">
        <v>0</v>
      </c>
      <c r="I29" s="7" t="s">
        <v>2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4">
        <f t="shared" si="0"/>
        <v>0</v>
      </c>
      <c r="Q29" s="1"/>
      <c r="R29" s="44">
        <v>20</v>
      </c>
      <c r="S29" s="47">
        <v>50</v>
      </c>
      <c r="T29" s="4"/>
    </row>
    <row r="30" spans="1:20" x14ac:dyDescent="0.25">
      <c r="A30" s="7">
        <v>27</v>
      </c>
      <c r="D30" s="16" t="s">
        <v>35</v>
      </c>
      <c r="E30" s="17"/>
      <c r="F30" s="17"/>
      <c r="G30" s="18"/>
      <c r="H30" s="12">
        <v>198</v>
      </c>
      <c r="I30" s="7" t="s">
        <v>2</v>
      </c>
      <c r="J30" s="3">
        <v>0</v>
      </c>
      <c r="K30" s="3">
        <v>0</v>
      </c>
      <c r="L30" s="3">
        <v>0</v>
      </c>
      <c r="M30" s="3">
        <v>20</v>
      </c>
      <c r="N30" s="3">
        <v>0</v>
      </c>
      <c r="O30" s="3">
        <v>0</v>
      </c>
      <c r="P30" s="4">
        <f t="shared" si="0"/>
        <v>178</v>
      </c>
      <c r="Q30" s="1" t="s">
        <v>14</v>
      </c>
      <c r="R30" s="44">
        <v>50</v>
      </c>
      <c r="S30" s="47">
        <v>100</v>
      </c>
      <c r="T30" s="4"/>
    </row>
    <row r="31" spans="1:20" x14ac:dyDescent="0.25">
      <c r="A31" s="7">
        <v>28</v>
      </c>
      <c r="D31" s="9" t="s">
        <v>36</v>
      </c>
      <c r="E31" s="10"/>
      <c r="F31" s="10"/>
      <c r="G31" s="11"/>
      <c r="H31" s="12">
        <v>20</v>
      </c>
      <c r="I31" s="7" t="s">
        <v>2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4">
        <f t="shared" si="0"/>
        <v>20</v>
      </c>
      <c r="Q31" s="1" t="s">
        <v>14</v>
      </c>
      <c r="R31" s="44">
        <v>50</v>
      </c>
      <c r="S31" s="47">
        <v>100</v>
      </c>
      <c r="T31" s="4"/>
    </row>
    <row r="32" spans="1:20" x14ac:dyDescent="0.25">
      <c r="A32" s="7">
        <v>29</v>
      </c>
      <c r="D32" s="16" t="s">
        <v>37</v>
      </c>
      <c r="E32" s="17"/>
      <c r="F32" s="17"/>
      <c r="G32" s="18"/>
      <c r="H32" s="12">
        <v>149</v>
      </c>
      <c r="I32" s="7" t="s">
        <v>2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4">
        <f t="shared" si="0"/>
        <v>149</v>
      </c>
      <c r="Q32" s="1" t="s">
        <v>14</v>
      </c>
      <c r="R32" s="44">
        <v>20</v>
      </c>
      <c r="S32" s="47">
        <v>50</v>
      </c>
      <c r="T32" s="4"/>
    </row>
    <row r="33" spans="1:20" x14ac:dyDescent="0.25">
      <c r="A33" s="7">
        <v>30</v>
      </c>
      <c r="D33" s="9" t="s">
        <v>38</v>
      </c>
      <c r="E33" s="10"/>
      <c r="F33" s="10"/>
      <c r="G33" s="11"/>
      <c r="H33" s="12">
        <v>110</v>
      </c>
      <c r="I33" s="7" t="s">
        <v>2</v>
      </c>
      <c r="J33" s="3">
        <v>0</v>
      </c>
      <c r="K33" s="3">
        <v>0</v>
      </c>
      <c r="L33" s="3">
        <v>0</v>
      </c>
      <c r="M33" s="3">
        <v>0</v>
      </c>
      <c r="N33" s="3">
        <v>20</v>
      </c>
      <c r="O33" s="3">
        <v>0</v>
      </c>
      <c r="P33" s="4">
        <f t="shared" si="0"/>
        <v>90</v>
      </c>
      <c r="Q33" s="1" t="s">
        <v>14</v>
      </c>
      <c r="R33" s="44">
        <v>50</v>
      </c>
      <c r="S33" s="47">
        <v>100</v>
      </c>
      <c r="T33" s="4"/>
    </row>
    <row r="34" spans="1:20" x14ac:dyDescent="0.25">
      <c r="A34" s="7">
        <v>31</v>
      </c>
      <c r="D34" s="16" t="s">
        <v>39</v>
      </c>
      <c r="E34" s="17"/>
      <c r="F34" s="17"/>
      <c r="G34" s="18"/>
      <c r="H34" s="12">
        <v>39</v>
      </c>
      <c r="I34" s="7" t="s">
        <v>2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4">
        <f t="shared" si="0"/>
        <v>39</v>
      </c>
      <c r="Q34" s="1" t="s">
        <v>14</v>
      </c>
      <c r="R34" s="44">
        <v>20</v>
      </c>
      <c r="S34" s="47">
        <v>50</v>
      </c>
      <c r="T34" s="4"/>
    </row>
    <row r="35" spans="1:20" x14ac:dyDescent="0.25">
      <c r="A35" s="7">
        <v>32</v>
      </c>
      <c r="D35" s="9" t="s">
        <v>40</v>
      </c>
      <c r="E35" s="10"/>
      <c r="F35" s="10"/>
      <c r="G35" s="11"/>
      <c r="H35" s="12">
        <v>1050</v>
      </c>
      <c r="I35" s="7" t="s">
        <v>2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4">
        <f t="shared" si="0"/>
        <v>1050</v>
      </c>
      <c r="Q35" s="1" t="s">
        <v>14</v>
      </c>
      <c r="R35" s="44">
        <v>0</v>
      </c>
      <c r="S35" s="46">
        <v>0</v>
      </c>
      <c r="T35" s="4"/>
    </row>
    <row r="36" spans="1:20" x14ac:dyDescent="0.25">
      <c r="A36" s="7">
        <v>33</v>
      </c>
      <c r="D36" s="9" t="s">
        <v>9</v>
      </c>
      <c r="E36" s="10"/>
      <c r="F36" s="10"/>
      <c r="G36" s="11"/>
      <c r="H36" s="83">
        <v>75</v>
      </c>
      <c r="I36" s="7" t="s">
        <v>132</v>
      </c>
      <c r="J36" s="3">
        <v>0</v>
      </c>
      <c r="K36" s="3">
        <v>0</v>
      </c>
      <c r="L36" s="3">
        <v>17</v>
      </c>
      <c r="M36" s="3">
        <v>0</v>
      </c>
      <c r="N36" s="3">
        <v>4</v>
      </c>
      <c r="O36" s="3">
        <v>0</v>
      </c>
      <c r="P36" s="4">
        <f t="shared" si="0"/>
        <v>54</v>
      </c>
      <c r="Q36" s="1" t="s">
        <v>132</v>
      </c>
      <c r="R36" s="44">
        <v>50</v>
      </c>
      <c r="S36" s="47">
        <v>100</v>
      </c>
      <c r="T36" s="4"/>
    </row>
    <row r="37" spans="1:20" x14ac:dyDescent="0.25">
      <c r="A37" s="7">
        <v>34</v>
      </c>
      <c r="D37" s="19" t="s">
        <v>166</v>
      </c>
      <c r="E37" s="20"/>
      <c r="F37" s="20"/>
      <c r="G37" s="21"/>
      <c r="H37" s="69">
        <v>91</v>
      </c>
      <c r="I37" s="7" t="s">
        <v>2</v>
      </c>
      <c r="J37" s="3">
        <v>0</v>
      </c>
      <c r="K37" s="3">
        <v>0</v>
      </c>
      <c r="L37" s="3">
        <v>17</v>
      </c>
      <c r="M37" s="3">
        <v>0</v>
      </c>
      <c r="N37" s="3">
        <v>4</v>
      </c>
      <c r="O37" s="3">
        <v>0</v>
      </c>
      <c r="P37" s="4">
        <f t="shared" si="0"/>
        <v>70</v>
      </c>
      <c r="Q37" s="1" t="s">
        <v>14</v>
      </c>
      <c r="R37" s="44">
        <v>50</v>
      </c>
      <c r="S37" s="46">
        <v>100</v>
      </c>
      <c r="T37" s="4"/>
    </row>
    <row r="38" spans="1:20" x14ac:dyDescent="0.25">
      <c r="A38" s="7">
        <v>35</v>
      </c>
      <c r="D38" s="16" t="s">
        <v>143</v>
      </c>
      <c r="E38" s="17"/>
      <c r="F38" s="17"/>
      <c r="G38" s="18"/>
      <c r="H38" s="12">
        <v>56</v>
      </c>
      <c r="I38" s="7" t="s">
        <v>2</v>
      </c>
      <c r="J38" s="3">
        <v>0</v>
      </c>
      <c r="K38" s="3">
        <v>0</v>
      </c>
      <c r="L38" s="3">
        <v>17</v>
      </c>
      <c r="M38" s="3">
        <v>0</v>
      </c>
      <c r="N38" s="3">
        <v>4</v>
      </c>
      <c r="O38" s="3">
        <v>0</v>
      </c>
      <c r="P38" s="4">
        <f t="shared" si="0"/>
        <v>35</v>
      </c>
      <c r="Q38" s="1" t="s">
        <v>14</v>
      </c>
      <c r="R38" s="44">
        <v>50</v>
      </c>
      <c r="S38" s="46">
        <v>100</v>
      </c>
      <c r="T38" s="4"/>
    </row>
    <row r="39" spans="1:20" x14ac:dyDescent="0.25">
      <c r="A39" s="7">
        <v>36</v>
      </c>
      <c r="D39" s="9" t="s">
        <v>144</v>
      </c>
      <c r="E39" s="10"/>
      <c r="F39" s="10"/>
      <c r="G39" s="11"/>
      <c r="H39" s="12">
        <v>51</v>
      </c>
      <c r="I39" s="7" t="s">
        <v>2</v>
      </c>
      <c r="J39" s="3">
        <v>0</v>
      </c>
      <c r="K39" s="3">
        <v>0</v>
      </c>
      <c r="L39" s="3">
        <v>17</v>
      </c>
      <c r="M39" s="3">
        <v>0</v>
      </c>
      <c r="N39" s="3">
        <v>4</v>
      </c>
      <c r="O39" s="3">
        <v>0</v>
      </c>
      <c r="P39" s="4">
        <f t="shared" si="0"/>
        <v>30</v>
      </c>
      <c r="Q39" s="1" t="s">
        <v>14</v>
      </c>
      <c r="R39" s="44">
        <v>50</v>
      </c>
      <c r="S39" s="47">
        <v>100</v>
      </c>
      <c r="T39" s="4"/>
    </row>
    <row r="40" spans="1:20" x14ac:dyDescent="0.25">
      <c r="A40" s="7">
        <v>37</v>
      </c>
      <c r="D40" s="16" t="s">
        <v>42</v>
      </c>
      <c r="E40" s="17"/>
      <c r="F40" s="17"/>
      <c r="G40" s="18"/>
      <c r="H40" s="12">
        <v>71</v>
      </c>
      <c r="I40" s="7" t="s">
        <v>2</v>
      </c>
      <c r="J40" s="3">
        <v>0</v>
      </c>
      <c r="K40" s="3">
        <v>0</v>
      </c>
      <c r="L40" s="3">
        <v>17</v>
      </c>
      <c r="M40" s="3">
        <v>0</v>
      </c>
      <c r="N40" s="3">
        <v>4</v>
      </c>
      <c r="O40" s="3">
        <v>0</v>
      </c>
      <c r="P40" s="4">
        <f t="shared" si="0"/>
        <v>50</v>
      </c>
      <c r="Q40" s="1" t="s">
        <v>14</v>
      </c>
      <c r="R40" s="44">
        <v>50</v>
      </c>
      <c r="S40" s="47">
        <v>100</v>
      </c>
      <c r="T40" s="4"/>
    </row>
    <row r="41" spans="1:20" x14ac:dyDescent="0.25">
      <c r="A41" s="7">
        <v>38</v>
      </c>
      <c r="D41" s="9" t="s">
        <v>133</v>
      </c>
      <c r="E41" s="10"/>
      <c r="F41" s="10"/>
      <c r="G41" s="11"/>
      <c r="H41" s="12">
        <v>53</v>
      </c>
      <c r="I41" s="7" t="s">
        <v>2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4">
        <f t="shared" si="0"/>
        <v>53</v>
      </c>
      <c r="Q41" s="1" t="s">
        <v>14</v>
      </c>
      <c r="R41" s="44">
        <v>50</v>
      </c>
      <c r="S41" s="47">
        <v>100</v>
      </c>
      <c r="T41" s="4"/>
    </row>
    <row r="42" spans="1:20" x14ac:dyDescent="0.25">
      <c r="A42" s="7">
        <v>39</v>
      </c>
      <c r="D42" s="16" t="s">
        <v>145</v>
      </c>
      <c r="E42" s="17"/>
      <c r="F42" s="17"/>
      <c r="G42" s="18"/>
      <c r="H42" s="12">
        <v>53</v>
      </c>
      <c r="I42" s="7" t="s">
        <v>2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4">
        <f t="shared" si="0"/>
        <v>53</v>
      </c>
      <c r="Q42" s="1" t="s">
        <v>14</v>
      </c>
      <c r="R42" s="44">
        <v>50</v>
      </c>
      <c r="S42" s="46">
        <v>100</v>
      </c>
      <c r="T42" s="4"/>
    </row>
    <row r="43" spans="1:20" x14ac:dyDescent="0.25">
      <c r="A43" s="7">
        <v>40</v>
      </c>
      <c r="D43" s="9" t="s">
        <v>190</v>
      </c>
      <c r="E43" s="10"/>
      <c r="F43" s="10" t="s">
        <v>14</v>
      </c>
      <c r="G43" s="11" t="s">
        <v>14</v>
      </c>
      <c r="H43" s="12">
        <v>20</v>
      </c>
      <c r="I43" s="7" t="s">
        <v>75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4">
        <f t="shared" si="0"/>
        <v>20</v>
      </c>
      <c r="Q43" s="1" t="s">
        <v>75</v>
      </c>
      <c r="R43" s="44">
        <v>50</v>
      </c>
      <c r="S43" s="47">
        <v>200</v>
      </c>
      <c r="T43" s="4"/>
    </row>
    <row r="44" spans="1:20" x14ac:dyDescent="0.25">
      <c r="A44" s="7">
        <v>41</v>
      </c>
      <c r="D44" s="16" t="s">
        <v>10</v>
      </c>
      <c r="E44" s="17"/>
      <c r="F44" s="17"/>
      <c r="G44" s="18"/>
      <c r="H44" s="12">
        <v>8</v>
      </c>
      <c r="I44" s="7" t="s">
        <v>2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4">
        <f t="shared" si="0"/>
        <v>8</v>
      </c>
      <c r="Q44" s="1" t="s">
        <v>132</v>
      </c>
      <c r="R44" s="44">
        <v>20</v>
      </c>
      <c r="S44" s="47">
        <v>50</v>
      </c>
      <c r="T44" s="4"/>
    </row>
    <row r="45" spans="1:20" x14ac:dyDescent="0.25">
      <c r="A45" s="7">
        <v>42</v>
      </c>
      <c r="D45" s="9" t="s">
        <v>45</v>
      </c>
      <c r="E45" s="10"/>
      <c r="F45" s="10"/>
      <c r="G45" s="11"/>
      <c r="H45" s="12">
        <v>19</v>
      </c>
      <c r="I45" s="7" t="s">
        <v>2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4">
        <f t="shared" si="0"/>
        <v>19</v>
      </c>
      <c r="Q45" s="1" t="s">
        <v>14</v>
      </c>
      <c r="R45" s="44">
        <v>20</v>
      </c>
      <c r="S45" s="47">
        <v>50</v>
      </c>
      <c r="T45" s="4"/>
    </row>
    <row r="46" spans="1:20" x14ac:dyDescent="0.25">
      <c r="A46" s="7">
        <v>43</v>
      </c>
      <c r="D46" s="16" t="s">
        <v>46</v>
      </c>
      <c r="E46" s="17"/>
      <c r="F46" s="17"/>
      <c r="G46" s="18"/>
      <c r="H46" s="12">
        <v>20</v>
      </c>
      <c r="I46" s="7" t="s">
        <v>2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4">
        <f t="shared" si="0"/>
        <v>20</v>
      </c>
      <c r="Q46" s="1" t="s">
        <v>14</v>
      </c>
      <c r="R46" s="44">
        <v>20</v>
      </c>
      <c r="S46" s="47">
        <v>50</v>
      </c>
      <c r="T46" s="4"/>
    </row>
    <row r="47" spans="1:20" x14ac:dyDescent="0.25">
      <c r="A47" s="7">
        <v>44</v>
      </c>
      <c r="D47" s="9" t="s">
        <v>47</v>
      </c>
      <c r="E47" s="10"/>
      <c r="F47" s="10"/>
      <c r="G47" s="11" t="s">
        <v>14</v>
      </c>
      <c r="H47" s="12">
        <v>16</v>
      </c>
      <c r="I47" s="7" t="s">
        <v>2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4">
        <f t="shared" si="0"/>
        <v>16</v>
      </c>
      <c r="Q47" s="1" t="s">
        <v>14</v>
      </c>
      <c r="R47" s="44">
        <v>20</v>
      </c>
      <c r="S47" s="47">
        <v>50</v>
      </c>
      <c r="T47" s="4"/>
    </row>
    <row r="48" spans="1:20" x14ac:dyDescent="0.25">
      <c r="A48" s="7">
        <v>45</v>
      </c>
      <c r="D48" s="16" t="s">
        <v>175</v>
      </c>
      <c r="E48" s="17"/>
      <c r="F48" s="17"/>
      <c r="G48" s="18"/>
      <c r="H48" s="12">
        <v>1100</v>
      </c>
      <c r="I48" s="7" t="s">
        <v>2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4">
        <f t="shared" si="0"/>
        <v>1100</v>
      </c>
      <c r="Q48" s="1" t="s">
        <v>14</v>
      </c>
      <c r="R48" s="44">
        <v>500</v>
      </c>
      <c r="S48" s="47">
        <v>2000</v>
      </c>
      <c r="T48" s="4"/>
    </row>
    <row r="49" spans="1:20" x14ac:dyDescent="0.25">
      <c r="A49" s="7">
        <v>46</v>
      </c>
      <c r="D49" s="9" t="s">
        <v>48</v>
      </c>
      <c r="E49" s="10"/>
      <c r="F49" s="10"/>
      <c r="G49" s="11"/>
      <c r="H49" s="12">
        <v>20</v>
      </c>
      <c r="I49" s="7" t="s">
        <v>2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4">
        <f t="shared" si="0"/>
        <v>20</v>
      </c>
      <c r="Q49" s="1" t="s">
        <v>14</v>
      </c>
      <c r="R49" s="44">
        <v>10</v>
      </c>
      <c r="S49" s="47">
        <v>20</v>
      </c>
      <c r="T49" s="4" t="s">
        <v>14</v>
      </c>
    </row>
    <row r="50" spans="1:20" x14ac:dyDescent="0.25">
      <c r="A50" s="7">
        <v>47</v>
      </c>
      <c r="D50" s="16" t="s">
        <v>49</v>
      </c>
      <c r="E50" s="17"/>
      <c r="F50" s="17"/>
      <c r="G50" s="18"/>
      <c r="H50" s="12">
        <v>87</v>
      </c>
      <c r="I50" s="7" t="s">
        <v>2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4">
        <f t="shared" si="0"/>
        <v>87</v>
      </c>
      <c r="Q50" s="1" t="s">
        <v>14</v>
      </c>
      <c r="R50" s="44">
        <v>10</v>
      </c>
      <c r="S50" s="47">
        <v>20</v>
      </c>
      <c r="T50" s="4"/>
    </row>
    <row r="51" spans="1:20" x14ac:dyDescent="0.25">
      <c r="A51" s="7">
        <v>48</v>
      </c>
      <c r="D51" s="9" t="s">
        <v>189</v>
      </c>
      <c r="E51" s="10"/>
      <c r="F51" s="10"/>
      <c r="G51" s="11"/>
      <c r="H51" s="12">
        <v>30</v>
      </c>
      <c r="I51" s="7" t="s">
        <v>1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4">
        <f t="shared" si="0"/>
        <v>30</v>
      </c>
      <c r="Q51" s="1" t="s">
        <v>75</v>
      </c>
      <c r="R51" s="44">
        <v>50</v>
      </c>
      <c r="S51" s="47">
        <v>100</v>
      </c>
      <c r="T51" s="4"/>
    </row>
    <row r="52" spans="1:20" x14ac:dyDescent="0.25">
      <c r="A52" s="7">
        <v>49</v>
      </c>
      <c r="D52" s="94" t="s">
        <v>185</v>
      </c>
      <c r="E52" s="91" t="s">
        <v>186</v>
      </c>
      <c r="F52" s="92" t="s">
        <v>187</v>
      </c>
      <c r="G52" s="93"/>
      <c r="H52" s="12">
        <v>17</v>
      </c>
      <c r="I52" s="7" t="s">
        <v>2</v>
      </c>
      <c r="J52" s="3">
        <v>100</v>
      </c>
      <c r="K52" s="3">
        <v>0</v>
      </c>
      <c r="L52" s="3">
        <v>0</v>
      </c>
      <c r="M52" s="3">
        <v>20</v>
      </c>
      <c r="N52" s="3">
        <v>0</v>
      </c>
      <c r="O52" s="3">
        <v>0</v>
      </c>
      <c r="P52" s="4">
        <f t="shared" si="0"/>
        <v>97</v>
      </c>
      <c r="Q52" s="1" t="s">
        <v>14</v>
      </c>
      <c r="R52" s="44">
        <v>20</v>
      </c>
      <c r="S52" s="47">
        <v>50</v>
      </c>
      <c r="T52" s="4"/>
    </row>
    <row r="53" spans="1:20" x14ac:dyDescent="0.25">
      <c r="A53" s="7">
        <v>50</v>
      </c>
      <c r="D53" s="9" t="s">
        <v>51</v>
      </c>
      <c r="E53" s="10"/>
      <c r="F53" s="10"/>
      <c r="G53" s="11"/>
      <c r="H53" s="12">
        <v>5</v>
      </c>
      <c r="I53" s="7" t="s">
        <v>2</v>
      </c>
      <c r="J53" s="3">
        <v>100</v>
      </c>
      <c r="K53" s="3">
        <v>0</v>
      </c>
      <c r="L53" s="3">
        <v>0</v>
      </c>
      <c r="M53" s="3">
        <v>20</v>
      </c>
      <c r="N53" s="3">
        <v>0</v>
      </c>
      <c r="O53" s="3">
        <v>0</v>
      </c>
      <c r="P53" s="4">
        <f t="shared" si="0"/>
        <v>85</v>
      </c>
      <c r="Q53" s="1" t="s">
        <v>14</v>
      </c>
      <c r="R53" s="44">
        <v>20</v>
      </c>
      <c r="S53" s="47">
        <v>50</v>
      </c>
      <c r="T53" s="4"/>
    </row>
    <row r="54" spans="1:20" x14ac:dyDescent="0.25">
      <c r="A54" s="7">
        <v>51</v>
      </c>
      <c r="D54" s="16" t="s">
        <v>52</v>
      </c>
      <c r="E54" s="17"/>
      <c r="F54" s="17"/>
      <c r="G54" s="18"/>
      <c r="H54" s="12">
        <v>21</v>
      </c>
      <c r="I54" s="7" t="s">
        <v>2</v>
      </c>
      <c r="J54" s="3">
        <v>100</v>
      </c>
      <c r="K54" s="3">
        <v>0</v>
      </c>
      <c r="L54" s="3">
        <v>0</v>
      </c>
      <c r="M54" s="3">
        <v>20</v>
      </c>
      <c r="N54" s="3">
        <v>0</v>
      </c>
      <c r="O54" s="3">
        <v>0</v>
      </c>
      <c r="P54" s="4">
        <f t="shared" si="0"/>
        <v>101</v>
      </c>
      <c r="Q54" s="1" t="s">
        <v>14</v>
      </c>
      <c r="R54" s="44">
        <v>20</v>
      </c>
      <c r="S54" s="47">
        <v>50</v>
      </c>
      <c r="T54" s="4" t="s">
        <v>14</v>
      </c>
    </row>
    <row r="55" spans="1:20" x14ac:dyDescent="0.25">
      <c r="A55" s="7">
        <v>52</v>
      </c>
      <c r="D55" s="9" t="s">
        <v>53</v>
      </c>
      <c r="E55" s="10"/>
      <c r="F55" s="10"/>
      <c r="G55" s="11"/>
      <c r="H55" s="12">
        <v>27</v>
      </c>
      <c r="I55" s="7" t="s">
        <v>2</v>
      </c>
      <c r="J55" s="3">
        <v>100</v>
      </c>
      <c r="K55" s="3">
        <v>0</v>
      </c>
      <c r="L55" s="3">
        <v>0</v>
      </c>
      <c r="M55" s="3">
        <v>20</v>
      </c>
      <c r="N55" s="3">
        <v>0</v>
      </c>
      <c r="O55" s="3">
        <v>0</v>
      </c>
      <c r="P55" s="4">
        <f t="shared" si="0"/>
        <v>107</v>
      </c>
      <c r="Q55" s="1" t="s">
        <v>14</v>
      </c>
      <c r="R55" s="44">
        <v>20</v>
      </c>
      <c r="S55" s="47">
        <v>50</v>
      </c>
      <c r="T55" s="4"/>
    </row>
    <row r="56" spans="1:20" x14ac:dyDescent="0.25">
      <c r="A56" s="7">
        <v>53</v>
      </c>
      <c r="D56" s="70" t="s">
        <v>191</v>
      </c>
      <c r="E56" s="71"/>
      <c r="F56" s="71"/>
      <c r="G56" s="72"/>
      <c r="H56" s="12">
        <v>1525</v>
      </c>
      <c r="I56" s="7" t="s">
        <v>1</v>
      </c>
      <c r="J56" s="3">
        <v>0</v>
      </c>
      <c r="K56" s="3">
        <v>90</v>
      </c>
      <c r="L56" s="3">
        <v>60</v>
      </c>
      <c r="M56" s="3">
        <v>165</v>
      </c>
      <c r="N56" s="3">
        <v>150</v>
      </c>
      <c r="O56" s="3">
        <v>0</v>
      </c>
      <c r="P56" s="4">
        <f t="shared" si="0"/>
        <v>1060</v>
      </c>
      <c r="Q56" s="1" t="s">
        <v>120</v>
      </c>
      <c r="R56" s="44">
        <v>300</v>
      </c>
      <c r="S56" s="47">
        <v>750</v>
      </c>
      <c r="T56" s="4"/>
    </row>
    <row r="57" spans="1:20" x14ac:dyDescent="0.25">
      <c r="A57" s="7">
        <v>54</v>
      </c>
      <c r="D57" s="16" t="s">
        <v>61</v>
      </c>
      <c r="E57" s="17"/>
      <c r="F57" s="17"/>
      <c r="G57" s="18"/>
      <c r="H57" s="12">
        <v>145</v>
      </c>
      <c r="I57" s="7" t="s">
        <v>2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  <c r="P57" s="4">
        <f t="shared" si="0"/>
        <v>145</v>
      </c>
      <c r="Q57" s="1" t="s">
        <v>14</v>
      </c>
      <c r="R57" s="44">
        <v>10</v>
      </c>
      <c r="S57" s="46">
        <v>200</v>
      </c>
      <c r="T57" s="4"/>
    </row>
    <row r="58" spans="1:20" x14ac:dyDescent="0.25">
      <c r="A58" s="7">
        <v>55</v>
      </c>
      <c r="D58" s="9" t="s">
        <v>62</v>
      </c>
      <c r="E58" s="10"/>
      <c r="F58" s="10"/>
      <c r="G58" s="11"/>
      <c r="H58" s="12">
        <v>1081</v>
      </c>
      <c r="I58" s="7" t="s">
        <v>2</v>
      </c>
      <c r="J58" s="3">
        <v>0</v>
      </c>
      <c r="K58" s="3">
        <v>12</v>
      </c>
      <c r="L58" s="3">
        <v>93</v>
      </c>
      <c r="M58" s="3">
        <v>38</v>
      </c>
      <c r="N58" s="3">
        <v>223</v>
      </c>
      <c r="O58" s="3">
        <v>0</v>
      </c>
      <c r="P58" s="4">
        <f t="shared" si="0"/>
        <v>715</v>
      </c>
      <c r="Q58" s="1" t="s">
        <v>14</v>
      </c>
      <c r="R58" s="44">
        <v>500</v>
      </c>
      <c r="S58" s="47">
        <v>1000</v>
      </c>
      <c r="T58" s="4"/>
    </row>
    <row r="59" spans="1:20" x14ac:dyDescent="0.25">
      <c r="A59" s="7">
        <v>56</v>
      </c>
      <c r="D59" s="16" t="s">
        <v>13</v>
      </c>
      <c r="E59" s="17"/>
      <c r="F59" s="17"/>
      <c r="G59" s="18"/>
      <c r="H59" s="12">
        <v>229</v>
      </c>
      <c r="I59" s="7" t="s">
        <v>2</v>
      </c>
      <c r="J59" s="3">
        <v>0</v>
      </c>
      <c r="K59" s="3">
        <v>13</v>
      </c>
      <c r="L59" s="3">
        <v>180</v>
      </c>
      <c r="M59" s="3">
        <v>0</v>
      </c>
      <c r="N59" s="3">
        <v>36</v>
      </c>
      <c r="O59" s="3">
        <v>0</v>
      </c>
      <c r="P59" s="4">
        <f t="shared" si="0"/>
        <v>0</v>
      </c>
      <c r="Q59" s="1" t="s">
        <v>14</v>
      </c>
      <c r="R59" s="44">
        <v>200</v>
      </c>
      <c r="S59" s="47">
        <v>500</v>
      </c>
      <c r="T59" s="4"/>
    </row>
    <row r="60" spans="1:20" x14ac:dyDescent="0.25">
      <c r="A60" s="7">
        <v>57</v>
      </c>
      <c r="D60" s="9" t="s">
        <v>72</v>
      </c>
      <c r="E60" s="10"/>
      <c r="F60" s="10"/>
      <c r="G60" s="11"/>
      <c r="H60" s="12">
        <v>50</v>
      </c>
      <c r="I60" s="7" t="s">
        <v>2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4">
        <f t="shared" si="0"/>
        <v>50</v>
      </c>
      <c r="Q60" s="1" t="s">
        <v>14</v>
      </c>
      <c r="R60" s="44">
        <v>15</v>
      </c>
      <c r="S60" s="47">
        <v>300</v>
      </c>
      <c r="T60" s="4"/>
    </row>
    <row r="61" spans="1:20" x14ac:dyDescent="0.25">
      <c r="A61" s="7">
        <v>58</v>
      </c>
      <c r="D61" s="16" t="s">
        <v>182</v>
      </c>
      <c r="E61" s="17"/>
      <c r="F61" s="17"/>
      <c r="G61" s="18"/>
      <c r="H61" s="12">
        <v>15</v>
      </c>
      <c r="I61" s="7" t="s">
        <v>2</v>
      </c>
      <c r="J61" s="3">
        <v>575</v>
      </c>
      <c r="K61" s="3">
        <v>0</v>
      </c>
      <c r="L61" s="3">
        <v>0</v>
      </c>
      <c r="M61" s="3">
        <v>0</v>
      </c>
      <c r="N61" s="3">
        <v>53</v>
      </c>
      <c r="O61" s="3">
        <v>0</v>
      </c>
      <c r="P61" s="4">
        <f t="shared" si="0"/>
        <v>537</v>
      </c>
      <c r="Q61" s="1" t="s">
        <v>14</v>
      </c>
      <c r="R61" s="44">
        <v>150</v>
      </c>
      <c r="S61" s="47">
        <v>600</v>
      </c>
      <c r="T61" s="4"/>
    </row>
    <row r="62" spans="1:20" x14ac:dyDescent="0.25">
      <c r="A62" s="7">
        <v>59</v>
      </c>
      <c r="D62" s="9" t="s">
        <v>181</v>
      </c>
      <c r="E62" s="10"/>
      <c r="F62" s="10"/>
      <c r="G62" s="11"/>
      <c r="H62" s="12">
        <v>40</v>
      </c>
      <c r="I62" s="7" t="s">
        <v>2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4">
        <f t="shared" si="0"/>
        <v>40</v>
      </c>
      <c r="Q62" s="1" t="s">
        <v>14</v>
      </c>
      <c r="R62" s="44">
        <v>50</v>
      </c>
      <c r="S62" s="47">
        <v>200</v>
      </c>
      <c r="T62" s="4"/>
    </row>
    <row r="63" spans="1:20" x14ac:dyDescent="0.25">
      <c r="A63" s="7">
        <v>60</v>
      </c>
      <c r="D63" s="16" t="s">
        <v>130</v>
      </c>
      <c r="E63" s="17"/>
      <c r="F63" s="17"/>
      <c r="G63" s="18"/>
      <c r="H63" s="12">
        <v>173</v>
      </c>
      <c r="I63" s="7" t="s">
        <v>2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4">
        <f t="shared" si="0"/>
        <v>173</v>
      </c>
      <c r="Q63" s="1" t="s">
        <v>14</v>
      </c>
      <c r="R63" s="44">
        <v>20</v>
      </c>
      <c r="S63" s="46">
        <v>200</v>
      </c>
      <c r="T63" s="4"/>
    </row>
    <row r="64" spans="1:20" x14ac:dyDescent="0.25">
      <c r="A64" s="7">
        <v>61</v>
      </c>
      <c r="D64" s="26" t="s">
        <v>14</v>
      </c>
      <c r="E64" s="27"/>
      <c r="F64" s="27"/>
      <c r="G64" s="28"/>
      <c r="H64" s="12">
        <v>0</v>
      </c>
      <c r="I64" s="30" t="s">
        <v>2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4">
        <f t="shared" si="0"/>
        <v>0</v>
      </c>
      <c r="Q64" s="1" t="s">
        <v>14</v>
      </c>
      <c r="R64" s="44">
        <v>0</v>
      </c>
      <c r="S64" s="47">
        <v>0</v>
      </c>
      <c r="T64" s="4"/>
    </row>
    <row r="65" spans="1:20" x14ac:dyDescent="0.25">
      <c r="A65" s="7">
        <v>62</v>
      </c>
      <c r="D65" s="16" t="s">
        <v>65</v>
      </c>
      <c r="E65" s="17"/>
      <c r="F65" s="17"/>
      <c r="G65" s="18"/>
      <c r="H65" s="12">
        <v>25</v>
      </c>
      <c r="I65" s="7" t="s">
        <v>2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4">
        <f t="shared" si="0"/>
        <v>25</v>
      </c>
      <c r="Q65" s="1" t="s">
        <v>14</v>
      </c>
      <c r="R65" s="44">
        <v>10</v>
      </c>
      <c r="S65" s="46">
        <v>50</v>
      </c>
      <c r="T65" s="4"/>
    </row>
    <row r="66" spans="1:20" x14ac:dyDescent="0.25">
      <c r="A66" s="7">
        <v>63</v>
      </c>
      <c r="D66" s="9" t="s">
        <v>66</v>
      </c>
      <c r="E66" s="10"/>
      <c r="F66" s="10"/>
      <c r="G66" s="11"/>
      <c r="H66" s="12">
        <v>50</v>
      </c>
      <c r="I66" s="7" t="s">
        <v>2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  <c r="P66" s="4">
        <f t="shared" si="0"/>
        <v>50</v>
      </c>
      <c r="Q66" s="1" t="s">
        <v>14</v>
      </c>
      <c r="R66" s="44">
        <v>300</v>
      </c>
      <c r="S66" s="47">
        <v>1000</v>
      </c>
      <c r="T66" s="4"/>
    </row>
    <row r="67" spans="1:20" x14ac:dyDescent="0.25">
      <c r="A67" s="7">
        <v>64</v>
      </c>
      <c r="D67" s="19" t="s">
        <v>165</v>
      </c>
      <c r="E67" s="20"/>
      <c r="F67" s="20"/>
      <c r="G67" s="21"/>
      <c r="H67" s="12">
        <v>50</v>
      </c>
      <c r="I67" s="7" t="s">
        <v>2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  <c r="P67" s="4">
        <f t="shared" si="0"/>
        <v>50</v>
      </c>
      <c r="Q67" s="1" t="s">
        <v>14</v>
      </c>
      <c r="R67" s="44">
        <v>50</v>
      </c>
      <c r="S67" s="47">
        <v>150</v>
      </c>
      <c r="T67" s="4"/>
    </row>
    <row r="68" spans="1:20" x14ac:dyDescent="0.25">
      <c r="A68" s="7">
        <v>65</v>
      </c>
      <c r="D68" s="22" t="s">
        <v>74</v>
      </c>
      <c r="E68" s="10"/>
      <c r="F68" s="10"/>
      <c r="G68" s="11"/>
      <c r="H68" s="12">
        <v>140</v>
      </c>
      <c r="I68" s="8" t="s">
        <v>75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4">
        <f t="shared" ref="P68:P89" si="2">+H68+J68-K68-L68-M68-N68-O68</f>
        <v>140</v>
      </c>
      <c r="Q68" s="1">
        <v>22</v>
      </c>
      <c r="R68" s="44">
        <v>65</v>
      </c>
      <c r="S68" s="47">
        <v>150</v>
      </c>
      <c r="T68" s="4"/>
    </row>
    <row r="69" spans="1:20" x14ac:dyDescent="0.25">
      <c r="A69" s="7">
        <v>66</v>
      </c>
      <c r="C69" s="1" t="s">
        <v>14</v>
      </c>
      <c r="D69" s="22" t="s">
        <v>76</v>
      </c>
      <c r="E69" s="10"/>
      <c r="F69" s="10"/>
      <c r="G69" s="11"/>
      <c r="H69" s="12">
        <v>215</v>
      </c>
      <c r="I69" s="8" t="s">
        <v>2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4">
        <f t="shared" si="2"/>
        <v>215</v>
      </c>
      <c r="Q69" s="1" t="s">
        <v>14</v>
      </c>
      <c r="R69" s="44">
        <v>50</v>
      </c>
      <c r="S69" s="47">
        <v>100</v>
      </c>
      <c r="T69" s="4"/>
    </row>
    <row r="70" spans="1:20" x14ac:dyDescent="0.25">
      <c r="A70" s="7">
        <v>67</v>
      </c>
      <c r="D70" s="25" t="s">
        <v>147</v>
      </c>
      <c r="H70" s="12">
        <v>286</v>
      </c>
      <c r="I70" s="30" t="s">
        <v>2</v>
      </c>
      <c r="J70" s="3">
        <v>0</v>
      </c>
      <c r="K70" s="3">
        <v>0</v>
      </c>
      <c r="L70" s="3">
        <v>2</v>
      </c>
      <c r="M70" s="3">
        <v>1</v>
      </c>
      <c r="N70" s="3">
        <v>20</v>
      </c>
      <c r="O70" s="3">
        <v>0</v>
      </c>
      <c r="P70" s="4">
        <f t="shared" si="2"/>
        <v>263</v>
      </c>
      <c r="Q70" s="1" t="s">
        <v>14</v>
      </c>
      <c r="R70" s="44">
        <v>50</v>
      </c>
      <c r="S70" s="47">
        <v>100</v>
      </c>
      <c r="T70" s="4"/>
    </row>
    <row r="71" spans="1:20" x14ac:dyDescent="0.25">
      <c r="A71" s="7">
        <v>68</v>
      </c>
      <c r="D71" s="26" t="s">
        <v>80</v>
      </c>
      <c r="E71" s="27"/>
      <c r="F71" s="27"/>
      <c r="G71" s="28"/>
      <c r="H71" s="12">
        <v>30</v>
      </c>
      <c r="I71" s="8" t="s">
        <v>2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4">
        <f t="shared" si="2"/>
        <v>30</v>
      </c>
      <c r="Q71" s="1" t="s">
        <v>14</v>
      </c>
      <c r="R71" s="44">
        <v>20</v>
      </c>
      <c r="S71" s="46">
        <v>200</v>
      </c>
      <c r="T71" s="4"/>
    </row>
    <row r="72" spans="1:20" x14ac:dyDescent="0.25">
      <c r="A72" s="7">
        <v>69</v>
      </c>
      <c r="D72" s="26" t="s">
        <v>14</v>
      </c>
      <c r="E72" s="27"/>
      <c r="F72" s="27"/>
      <c r="G72" s="28"/>
      <c r="H72" s="12">
        <v>0</v>
      </c>
      <c r="I72" s="8" t="s">
        <v>2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  <c r="P72" s="4">
        <f t="shared" si="2"/>
        <v>0</v>
      </c>
      <c r="Q72" s="1" t="s">
        <v>14</v>
      </c>
      <c r="R72" s="44" t="s">
        <v>14</v>
      </c>
      <c r="S72" s="47" t="s">
        <v>14</v>
      </c>
      <c r="T72" s="4"/>
    </row>
    <row r="73" spans="1:20" x14ac:dyDescent="0.25">
      <c r="A73" s="7">
        <v>70</v>
      </c>
      <c r="D73" s="26" t="s">
        <v>167</v>
      </c>
      <c r="E73" s="27"/>
      <c r="F73" s="27"/>
      <c r="G73" s="28"/>
      <c r="H73" s="12">
        <v>49</v>
      </c>
      <c r="I73" s="8" t="s">
        <v>2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4">
        <f t="shared" si="2"/>
        <v>49</v>
      </c>
      <c r="R73" s="44">
        <v>20</v>
      </c>
      <c r="S73" s="46">
        <v>200</v>
      </c>
      <c r="T73" s="4"/>
    </row>
    <row r="74" spans="1:20" x14ac:dyDescent="0.25">
      <c r="A74" s="7">
        <v>71</v>
      </c>
      <c r="D74" s="37" t="s">
        <v>176</v>
      </c>
      <c r="E74" s="17"/>
      <c r="F74" s="33"/>
      <c r="G74" s="33"/>
      <c r="H74" s="12">
        <v>1960</v>
      </c>
      <c r="I74" s="8" t="s">
        <v>2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4">
        <f t="shared" si="2"/>
        <v>1960</v>
      </c>
      <c r="Q74" s="1" t="s">
        <v>14</v>
      </c>
      <c r="R74" s="44">
        <v>100</v>
      </c>
      <c r="S74" s="47">
        <v>500</v>
      </c>
      <c r="T74" s="4"/>
    </row>
    <row r="75" spans="1:20" x14ac:dyDescent="0.25">
      <c r="A75" s="7">
        <v>72</v>
      </c>
      <c r="D75" s="22" t="s">
        <v>14</v>
      </c>
      <c r="E75" s="10"/>
      <c r="F75" s="10"/>
      <c r="G75" s="28"/>
      <c r="H75" s="12">
        <v>0</v>
      </c>
      <c r="I75" s="8" t="s">
        <v>2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4">
        <f t="shared" si="2"/>
        <v>0</v>
      </c>
      <c r="R75" s="44">
        <v>0</v>
      </c>
      <c r="S75" s="46"/>
      <c r="T75" s="4"/>
    </row>
    <row r="76" spans="1:20" x14ac:dyDescent="0.25">
      <c r="A76" s="7">
        <v>73</v>
      </c>
      <c r="D76" s="37" t="s">
        <v>113</v>
      </c>
      <c r="E76" s="17"/>
      <c r="F76" s="17"/>
      <c r="G76" s="33"/>
      <c r="H76" s="12">
        <v>610</v>
      </c>
      <c r="I76" s="8" t="s">
        <v>97</v>
      </c>
      <c r="J76" s="3">
        <v>0</v>
      </c>
      <c r="K76" s="3">
        <v>69</v>
      </c>
      <c r="L76" s="3">
        <v>74</v>
      </c>
      <c r="M76" s="3">
        <v>78</v>
      </c>
      <c r="N76" s="3">
        <v>51</v>
      </c>
      <c r="O76" s="3">
        <v>0</v>
      </c>
      <c r="P76" s="4">
        <f t="shared" si="2"/>
        <v>338</v>
      </c>
      <c r="Q76" s="65" t="s">
        <v>121</v>
      </c>
      <c r="R76" s="44">
        <v>300</v>
      </c>
      <c r="S76" s="47">
        <v>1000</v>
      </c>
      <c r="T76" s="4"/>
    </row>
    <row r="77" spans="1:20" x14ac:dyDescent="0.25">
      <c r="A77" s="7">
        <v>74</v>
      </c>
      <c r="D77" s="22" t="s">
        <v>103</v>
      </c>
      <c r="E77" s="10"/>
      <c r="F77" s="10"/>
      <c r="G77" s="28"/>
      <c r="H77" s="12">
        <v>92</v>
      </c>
      <c r="I77" s="8" t="s">
        <v>132</v>
      </c>
      <c r="J77" s="3">
        <v>0</v>
      </c>
      <c r="K77" s="3">
        <v>14</v>
      </c>
      <c r="L77" s="3">
        <v>0</v>
      </c>
      <c r="M77" s="3">
        <v>0</v>
      </c>
      <c r="N77" s="3">
        <v>0</v>
      </c>
      <c r="O77" s="3">
        <v>0</v>
      </c>
      <c r="P77" s="4">
        <f t="shared" si="2"/>
        <v>78</v>
      </c>
      <c r="R77" s="44">
        <v>60</v>
      </c>
      <c r="S77" s="47">
        <v>100</v>
      </c>
      <c r="T77" s="4"/>
    </row>
    <row r="78" spans="1:20" x14ac:dyDescent="0.25">
      <c r="A78" s="8">
        <v>75</v>
      </c>
      <c r="D78" s="49" t="s">
        <v>108</v>
      </c>
      <c r="E78" s="20"/>
      <c r="F78" s="20"/>
      <c r="G78" s="20"/>
      <c r="H78" s="12">
        <v>23500</v>
      </c>
      <c r="I78" s="8" t="s">
        <v>110</v>
      </c>
      <c r="J78" s="3">
        <v>0</v>
      </c>
      <c r="K78" s="3">
        <v>2000</v>
      </c>
      <c r="L78" s="3">
        <v>2500</v>
      </c>
      <c r="M78" s="3">
        <v>1000</v>
      </c>
      <c r="N78" s="3">
        <v>1500</v>
      </c>
      <c r="O78" s="3">
        <v>0</v>
      </c>
      <c r="P78" s="4">
        <f t="shared" si="2"/>
        <v>16500</v>
      </c>
      <c r="R78" s="95">
        <v>10000</v>
      </c>
      <c r="S78" s="96">
        <v>30000</v>
      </c>
      <c r="T78" s="4"/>
    </row>
    <row r="79" spans="1:20" x14ac:dyDescent="0.25">
      <c r="A79" s="48">
        <v>76</v>
      </c>
      <c r="B79" s="41"/>
      <c r="C79" s="41"/>
      <c r="D79" s="22" t="s">
        <v>115</v>
      </c>
      <c r="E79" s="10"/>
      <c r="F79" s="10"/>
      <c r="G79" s="11"/>
      <c r="H79" s="12">
        <v>281</v>
      </c>
      <c r="I79" s="62" t="s">
        <v>2</v>
      </c>
      <c r="J79" s="3">
        <v>0</v>
      </c>
      <c r="K79" s="3">
        <v>0</v>
      </c>
      <c r="L79" s="3">
        <v>2</v>
      </c>
      <c r="M79" s="3">
        <v>1</v>
      </c>
      <c r="N79" s="3">
        <v>20</v>
      </c>
      <c r="O79" s="3">
        <v>0</v>
      </c>
      <c r="P79" s="64">
        <f t="shared" si="2"/>
        <v>258</v>
      </c>
      <c r="R79" s="64">
        <v>50</v>
      </c>
      <c r="S79" s="64">
        <v>100</v>
      </c>
      <c r="T79" s="4" t="s">
        <v>14</v>
      </c>
    </row>
    <row r="80" spans="1:20" x14ac:dyDescent="0.25">
      <c r="A80" s="73">
        <v>77</v>
      </c>
      <c r="B80" s="41"/>
      <c r="C80" s="41"/>
      <c r="D80" s="49" t="s">
        <v>134</v>
      </c>
      <c r="E80" s="35"/>
      <c r="F80" s="35"/>
      <c r="G80" s="60"/>
      <c r="H80" s="12">
        <v>115</v>
      </c>
      <c r="I80" s="8" t="s">
        <v>2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  <c r="P80" s="4">
        <f t="shared" si="2"/>
        <v>115</v>
      </c>
      <c r="Q80" s="4"/>
      <c r="R80" s="4">
        <v>20</v>
      </c>
      <c r="S80" s="4">
        <v>50</v>
      </c>
      <c r="T80" s="4"/>
    </row>
    <row r="81" spans="1:20" x14ac:dyDescent="0.25">
      <c r="A81" s="8">
        <v>78</v>
      </c>
      <c r="D81" s="22" t="s">
        <v>123</v>
      </c>
      <c r="E81" s="10"/>
      <c r="F81" s="10"/>
      <c r="G81" s="11"/>
      <c r="H81" s="12">
        <v>500</v>
      </c>
      <c r="I81" s="8" t="s">
        <v>2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  <c r="P81" s="4">
        <f t="shared" si="2"/>
        <v>500</v>
      </c>
      <c r="Q81" s="4"/>
      <c r="R81" s="4">
        <v>500</v>
      </c>
      <c r="S81" s="4">
        <v>2500</v>
      </c>
      <c r="T81" s="4"/>
    </row>
    <row r="82" spans="1:20" x14ac:dyDescent="0.25">
      <c r="A82" s="48">
        <v>79</v>
      </c>
      <c r="B82" s="41"/>
      <c r="C82" s="41"/>
      <c r="D82" s="22" t="s">
        <v>177</v>
      </c>
      <c r="E82" s="10"/>
      <c r="F82" s="10"/>
      <c r="G82" s="11"/>
      <c r="H82" s="4">
        <v>500</v>
      </c>
      <c r="I82" s="8" t="s">
        <v>110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  <c r="P82" s="4">
        <f t="shared" si="2"/>
        <v>500</v>
      </c>
      <c r="Q82" s="4" t="s">
        <v>110</v>
      </c>
      <c r="R82" s="4">
        <v>250</v>
      </c>
      <c r="S82" s="4">
        <v>2000</v>
      </c>
      <c r="T82" s="4"/>
    </row>
    <row r="83" spans="1:20" x14ac:dyDescent="0.25">
      <c r="A83" s="48">
        <v>80</v>
      </c>
      <c r="B83" s="41"/>
      <c r="C83" s="41"/>
      <c r="D83" s="37" t="s">
        <v>178</v>
      </c>
      <c r="E83" s="17"/>
      <c r="F83" s="17"/>
      <c r="G83" s="18"/>
      <c r="H83" s="64">
        <v>4500</v>
      </c>
      <c r="I83" s="62" t="s">
        <v>110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64">
        <f t="shared" si="2"/>
        <v>4500</v>
      </c>
      <c r="Q83" s="64" t="s">
        <v>110</v>
      </c>
      <c r="R83" s="64">
        <v>3000</v>
      </c>
      <c r="S83" s="64">
        <v>10000</v>
      </c>
      <c r="T83" s="4"/>
    </row>
    <row r="84" spans="1:20" x14ac:dyDescent="0.25">
      <c r="A84" s="48">
        <v>81</v>
      </c>
      <c r="B84" s="11"/>
      <c r="C84" s="23"/>
      <c r="D84" s="68" t="s">
        <v>192</v>
      </c>
      <c r="E84" s="27"/>
      <c r="F84" s="27"/>
      <c r="G84" s="28"/>
      <c r="H84" s="74">
        <v>300</v>
      </c>
      <c r="I84" s="75" t="s">
        <v>110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4">
        <f t="shared" ref="P84" si="3">+H84+J84-K84-L84-M84-N84-O84</f>
        <v>300</v>
      </c>
      <c r="Q84" s="4"/>
      <c r="R84" s="4">
        <v>10</v>
      </c>
      <c r="S84" s="4">
        <v>50</v>
      </c>
      <c r="T84" s="4"/>
    </row>
    <row r="85" spans="1:20" x14ac:dyDescent="0.25">
      <c r="A85" s="8">
        <v>82</v>
      </c>
      <c r="D85" s="68" t="s">
        <v>148</v>
      </c>
      <c r="E85" s="27"/>
      <c r="F85" s="27"/>
      <c r="G85" s="28"/>
      <c r="H85" s="4">
        <v>0</v>
      </c>
      <c r="I85" s="8" t="s">
        <v>2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4">
        <f t="shared" si="2"/>
        <v>0</v>
      </c>
      <c r="Q85" s="4"/>
      <c r="R85" s="4">
        <v>50</v>
      </c>
      <c r="S85" s="4">
        <v>200</v>
      </c>
      <c r="T85" s="4"/>
    </row>
    <row r="86" spans="1:20" ht="15.75" customHeight="1" x14ac:dyDescent="0.25">
      <c r="A86" s="8">
        <v>83</v>
      </c>
      <c r="D86" s="79" t="s">
        <v>150</v>
      </c>
      <c r="E86" s="80"/>
      <c r="F86" s="81"/>
      <c r="G86" s="82"/>
      <c r="H86" s="4">
        <v>251</v>
      </c>
      <c r="I86" s="8" t="s">
        <v>2</v>
      </c>
      <c r="J86" s="3">
        <v>0</v>
      </c>
      <c r="K86" s="3">
        <v>68</v>
      </c>
      <c r="L86" s="3">
        <v>22</v>
      </c>
      <c r="M86" s="3">
        <v>25</v>
      </c>
      <c r="N86" s="3">
        <v>46</v>
      </c>
      <c r="O86" s="3">
        <v>0</v>
      </c>
      <c r="P86" s="4">
        <f t="shared" si="2"/>
        <v>90</v>
      </c>
      <c r="Q86" s="4"/>
      <c r="R86" s="4">
        <v>100</v>
      </c>
      <c r="S86" s="4">
        <v>500</v>
      </c>
      <c r="T86" s="4"/>
    </row>
    <row r="87" spans="1:20" x14ac:dyDescent="0.25">
      <c r="A87" s="8">
        <v>84</v>
      </c>
      <c r="D87" s="22" t="s">
        <v>183</v>
      </c>
      <c r="E87" s="10"/>
      <c r="F87" s="10"/>
      <c r="G87" s="11"/>
      <c r="H87" s="23">
        <v>603</v>
      </c>
      <c r="I87" s="8" t="s">
        <v>2</v>
      </c>
      <c r="J87" s="3">
        <v>0</v>
      </c>
      <c r="K87" s="3">
        <v>0</v>
      </c>
      <c r="L87" s="3">
        <v>2</v>
      </c>
      <c r="M87" s="3">
        <v>0</v>
      </c>
      <c r="N87" s="3">
        <v>0</v>
      </c>
      <c r="O87" s="3">
        <v>0</v>
      </c>
      <c r="P87" s="4">
        <f t="shared" si="2"/>
        <v>601</v>
      </c>
      <c r="Q87" s="4"/>
      <c r="R87" s="4">
        <v>20</v>
      </c>
      <c r="S87" s="4">
        <v>300</v>
      </c>
      <c r="T87" s="4"/>
    </row>
    <row r="88" spans="1:20" x14ac:dyDescent="0.25">
      <c r="A88" s="8">
        <v>85</v>
      </c>
      <c r="D88" s="49" t="s">
        <v>153</v>
      </c>
      <c r="E88" s="20"/>
      <c r="F88" s="20"/>
      <c r="G88" s="21"/>
      <c r="H88" s="23">
        <v>8</v>
      </c>
      <c r="I88" s="8" t="s">
        <v>2</v>
      </c>
      <c r="J88" s="3">
        <v>0</v>
      </c>
      <c r="K88" s="3">
        <v>0</v>
      </c>
      <c r="L88" s="3">
        <v>4</v>
      </c>
      <c r="M88" s="3">
        <v>0</v>
      </c>
      <c r="N88" s="3">
        <v>0</v>
      </c>
      <c r="O88" s="3">
        <v>0</v>
      </c>
      <c r="P88" s="4">
        <f t="shared" si="2"/>
        <v>4</v>
      </c>
      <c r="Q88" s="4"/>
      <c r="R88" s="4">
        <v>10</v>
      </c>
      <c r="S88" s="4">
        <v>200</v>
      </c>
      <c r="T88" s="4"/>
    </row>
    <row r="89" spans="1:20" x14ac:dyDescent="0.25">
      <c r="A89" s="77">
        <v>86</v>
      </c>
      <c r="D89" s="68" t="s">
        <v>14</v>
      </c>
      <c r="E89" s="27"/>
      <c r="F89" s="27"/>
      <c r="G89" s="28"/>
      <c r="H89" s="74">
        <v>0</v>
      </c>
      <c r="I89" s="75" t="s">
        <v>14</v>
      </c>
      <c r="J89" s="3">
        <v>0</v>
      </c>
      <c r="K89" s="3">
        <v>0</v>
      </c>
      <c r="L89" s="3">
        <v>0</v>
      </c>
      <c r="M89" s="3">
        <v>0</v>
      </c>
      <c r="N89" s="3">
        <v>0</v>
      </c>
      <c r="O89" s="3">
        <v>0</v>
      </c>
      <c r="P89" s="4">
        <f t="shared" si="2"/>
        <v>0</v>
      </c>
      <c r="Q89" s="4"/>
      <c r="R89" s="4" t="s">
        <v>14</v>
      </c>
      <c r="S89" s="4" t="s">
        <v>14</v>
      </c>
      <c r="T89" s="4"/>
    </row>
  </sheetData>
  <pageMargins left="0.75" right="0.75" top="1" bottom="1" header="0.5" footer="0.5"/>
  <pageSetup paperSize="9" orientation="portrait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76BE19-4AC3-497D-A071-CF2DF65799B1}">
  <dimension ref="A1:T89"/>
  <sheetViews>
    <sheetView topLeftCell="A10" workbookViewId="0">
      <selection activeCell="O19" sqref="O19"/>
    </sheetView>
  </sheetViews>
  <sheetFormatPr defaultRowHeight="15" x14ac:dyDescent="0.25"/>
  <cols>
    <col min="1" max="1" width="5.5703125" customWidth="1"/>
    <col min="2" max="3" width="9.140625" hidden="1" customWidth="1"/>
    <col min="6" max="6" width="12.7109375" customWidth="1"/>
    <col min="8" max="8" width="10.140625" customWidth="1"/>
    <col min="9" max="9" width="10" customWidth="1"/>
    <col min="10" max="10" width="7.7109375" customWidth="1"/>
    <col min="11" max="11" width="10.7109375" customWidth="1"/>
    <col min="12" max="12" width="10.140625" customWidth="1"/>
    <col min="13" max="13" width="11.85546875" customWidth="1"/>
    <col min="14" max="15" width="11.7109375" customWidth="1"/>
    <col min="16" max="16" width="10.140625" customWidth="1"/>
    <col min="17" max="17" width="4.7109375" customWidth="1"/>
    <col min="18" max="18" width="10.140625" customWidth="1"/>
    <col min="19" max="19" width="11.5703125" customWidth="1"/>
    <col min="20" max="20" width="0.28515625" customWidth="1"/>
  </cols>
  <sheetData>
    <row r="1" spans="1:20" x14ac:dyDescent="0.25">
      <c r="G1" s="1"/>
      <c r="P1">
        <f>+H1+J1-K1-L1-M1-N1-O1</f>
        <v>0</v>
      </c>
    </row>
    <row r="2" spans="1:20" x14ac:dyDescent="0.25">
      <c r="A2" t="s">
        <v>14</v>
      </c>
      <c r="D2" s="78">
        <v>45748</v>
      </c>
      <c r="O2" s="38" t="s">
        <v>14</v>
      </c>
      <c r="S2" s="50">
        <v>45656</v>
      </c>
    </row>
    <row r="3" spans="1:20" x14ac:dyDescent="0.25">
      <c r="A3" s="3" t="s">
        <v>15</v>
      </c>
      <c r="D3" s="9" t="s">
        <v>17</v>
      </c>
      <c r="E3" s="10"/>
      <c r="F3" s="10"/>
      <c r="G3" s="11"/>
      <c r="H3" s="12" t="s">
        <v>18</v>
      </c>
      <c r="I3" s="4" t="s">
        <v>19</v>
      </c>
      <c r="J3" s="3" t="s">
        <v>20</v>
      </c>
      <c r="K3" s="5">
        <v>45751</v>
      </c>
      <c r="L3" s="6">
        <v>45758</v>
      </c>
      <c r="M3" s="5">
        <v>45765</v>
      </c>
      <c r="N3" s="5">
        <v>45772</v>
      </c>
      <c r="O3" s="6">
        <v>45777</v>
      </c>
      <c r="P3" s="3" t="s">
        <v>21</v>
      </c>
      <c r="R3" s="42" t="s">
        <v>105</v>
      </c>
      <c r="S3" s="45" t="s">
        <v>104</v>
      </c>
      <c r="T3" s="4"/>
    </row>
    <row r="4" spans="1:20" x14ac:dyDescent="0.25">
      <c r="A4" s="7">
        <v>1</v>
      </c>
      <c r="D4" s="13" t="s">
        <v>16</v>
      </c>
      <c r="E4" s="14"/>
      <c r="F4" s="14"/>
      <c r="G4" s="15"/>
      <c r="H4" s="12">
        <v>468</v>
      </c>
      <c r="I4" s="7" t="s">
        <v>1</v>
      </c>
      <c r="J4" s="3">
        <v>0</v>
      </c>
      <c r="K4" s="3">
        <v>0</v>
      </c>
      <c r="L4" s="3">
        <v>23</v>
      </c>
      <c r="M4" s="3">
        <v>0</v>
      </c>
      <c r="N4" s="3">
        <v>23</v>
      </c>
      <c r="O4" s="3">
        <v>0</v>
      </c>
      <c r="P4" s="4">
        <f t="shared" ref="P4:P67" si="0">+H4+J4-K4-L4-M4-N4-O4</f>
        <v>422</v>
      </c>
      <c r="Q4" t="s">
        <v>173</v>
      </c>
      <c r="R4" s="43">
        <v>150</v>
      </c>
      <c r="S4" s="46">
        <v>500</v>
      </c>
      <c r="T4" s="4" t="s">
        <v>14</v>
      </c>
    </row>
    <row r="5" spans="1:20" x14ac:dyDescent="0.25">
      <c r="A5" s="7">
        <v>2</v>
      </c>
      <c r="D5" s="9" t="s">
        <v>14</v>
      </c>
      <c r="E5" s="10"/>
      <c r="F5" s="10"/>
      <c r="G5" s="11"/>
      <c r="H5" s="12">
        <v>0</v>
      </c>
      <c r="I5" s="7" t="s">
        <v>2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4">
        <f t="shared" si="0"/>
        <v>0</v>
      </c>
      <c r="Q5" s="1" t="s">
        <v>14</v>
      </c>
      <c r="R5" s="44">
        <v>0</v>
      </c>
      <c r="S5" s="47">
        <v>0</v>
      </c>
      <c r="T5" s="4"/>
    </row>
    <row r="6" spans="1:20" x14ac:dyDescent="0.25">
      <c r="A6" s="7">
        <v>3</v>
      </c>
      <c r="D6" s="16" t="s">
        <v>23</v>
      </c>
      <c r="E6" s="17"/>
      <c r="F6" s="17"/>
      <c r="G6" s="18"/>
      <c r="H6" s="12">
        <v>34</v>
      </c>
      <c r="I6" s="7" t="s">
        <v>2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4">
        <f t="shared" si="0"/>
        <v>34</v>
      </c>
      <c r="Q6" s="1" t="s">
        <v>14</v>
      </c>
      <c r="R6" s="44">
        <v>6</v>
      </c>
      <c r="S6" s="47">
        <v>10</v>
      </c>
      <c r="T6" s="4"/>
    </row>
    <row r="7" spans="1:20" x14ac:dyDescent="0.25">
      <c r="A7" s="7">
        <v>4</v>
      </c>
      <c r="D7" s="9" t="s">
        <v>3</v>
      </c>
      <c r="E7" s="10"/>
      <c r="F7" s="10"/>
      <c r="G7" s="11"/>
      <c r="H7" s="12">
        <v>22</v>
      </c>
      <c r="I7" s="7" t="s">
        <v>2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4">
        <f t="shared" si="0"/>
        <v>22</v>
      </c>
      <c r="Q7" s="1" t="s">
        <v>14</v>
      </c>
      <c r="R7" s="44">
        <v>6</v>
      </c>
      <c r="S7" s="47">
        <v>10</v>
      </c>
      <c r="T7" s="4"/>
    </row>
    <row r="8" spans="1:20" x14ac:dyDescent="0.25">
      <c r="A8" s="7">
        <v>5</v>
      </c>
      <c r="D8" s="16" t="s">
        <v>139</v>
      </c>
      <c r="E8" s="17"/>
      <c r="F8" s="17"/>
      <c r="G8" s="18"/>
      <c r="H8" s="12">
        <v>98</v>
      </c>
      <c r="I8" s="7" t="s">
        <v>2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4">
        <f t="shared" si="0"/>
        <v>98</v>
      </c>
      <c r="Q8" s="1" t="s">
        <v>14</v>
      </c>
      <c r="R8" s="44">
        <v>50</v>
      </c>
      <c r="S8" s="47">
        <v>400</v>
      </c>
      <c r="T8" s="4"/>
    </row>
    <row r="9" spans="1:20" x14ac:dyDescent="0.25">
      <c r="A9" s="7">
        <v>6</v>
      </c>
      <c r="D9" s="9" t="s">
        <v>24</v>
      </c>
      <c r="E9" s="10"/>
      <c r="F9" s="10"/>
      <c r="G9" s="11"/>
      <c r="H9" s="12">
        <v>240</v>
      </c>
      <c r="I9" s="7" t="s">
        <v>171</v>
      </c>
      <c r="J9" s="3">
        <v>0</v>
      </c>
      <c r="K9" s="3">
        <v>10</v>
      </c>
      <c r="L9" s="3">
        <v>20</v>
      </c>
      <c r="M9" s="3">
        <v>0</v>
      </c>
      <c r="N9" s="3">
        <v>0</v>
      </c>
      <c r="O9" s="3">
        <v>0</v>
      </c>
      <c r="P9" s="4">
        <f t="shared" si="0"/>
        <v>210</v>
      </c>
      <c r="Q9" s="1" t="s">
        <v>132</v>
      </c>
      <c r="R9" s="44">
        <v>100</v>
      </c>
      <c r="S9" s="47">
        <v>400</v>
      </c>
      <c r="T9" s="4"/>
    </row>
    <row r="10" spans="1:20" x14ac:dyDescent="0.25">
      <c r="A10" s="7">
        <v>7</v>
      </c>
      <c r="D10" s="16" t="s">
        <v>101</v>
      </c>
      <c r="E10" s="17"/>
      <c r="F10" s="17"/>
      <c r="G10" s="18"/>
      <c r="H10" s="12">
        <v>320</v>
      </c>
      <c r="I10" s="7" t="s">
        <v>171</v>
      </c>
      <c r="J10" s="3">
        <v>130</v>
      </c>
      <c r="K10" s="3">
        <v>30</v>
      </c>
      <c r="L10" s="3">
        <v>100</v>
      </c>
      <c r="M10" s="3">
        <v>0</v>
      </c>
      <c r="N10" s="3">
        <v>10</v>
      </c>
      <c r="O10" s="3">
        <v>83</v>
      </c>
      <c r="P10" s="4">
        <f t="shared" si="0"/>
        <v>227</v>
      </c>
      <c r="Q10" s="1" t="s">
        <v>171</v>
      </c>
      <c r="R10" s="44">
        <v>200</v>
      </c>
      <c r="S10" s="47">
        <v>500</v>
      </c>
      <c r="T10" s="4"/>
    </row>
    <row r="11" spans="1:20" x14ac:dyDescent="0.25">
      <c r="A11" s="7">
        <v>8</v>
      </c>
      <c r="D11" s="9" t="s">
        <v>25</v>
      </c>
      <c r="E11" s="10"/>
      <c r="F11" s="10"/>
      <c r="G11" s="11"/>
      <c r="H11" s="12">
        <v>290</v>
      </c>
      <c r="I11" s="7" t="s">
        <v>2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4">
        <f t="shared" si="0"/>
        <v>290</v>
      </c>
      <c r="Q11" s="1" t="s">
        <v>14</v>
      </c>
      <c r="R11" s="44">
        <v>50</v>
      </c>
      <c r="S11" s="47">
        <v>300</v>
      </c>
      <c r="T11" s="4"/>
    </row>
    <row r="12" spans="1:20" x14ac:dyDescent="0.25">
      <c r="A12" s="7">
        <v>9</v>
      </c>
      <c r="D12" s="16" t="s">
        <v>174</v>
      </c>
      <c r="E12" s="17"/>
      <c r="F12" s="17"/>
      <c r="G12" s="18"/>
      <c r="H12" s="12">
        <v>80</v>
      </c>
      <c r="I12" s="7" t="s">
        <v>2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4">
        <f t="shared" si="0"/>
        <v>80</v>
      </c>
      <c r="Q12" s="1" t="s">
        <v>14</v>
      </c>
      <c r="R12" s="44">
        <v>45</v>
      </c>
      <c r="S12" s="47">
        <v>200</v>
      </c>
      <c r="T12" s="4"/>
    </row>
    <row r="13" spans="1:20" x14ac:dyDescent="0.25">
      <c r="A13" s="7">
        <v>10</v>
      </c>
      <c r="D13" s="9" t="s">
        <v>6</v>
      </c>
      <c r="E13" s="10"/>
      <c r="F13" s="10"/>
      <c r="G13" s="11"/>
      <c r="H13" s="12">
        <v>30</v>
      </c>
      <c r="I13" s="7" t="s">
        <v>2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4">
        <f t="shared" si="0"/>
        <v>30</v>
      </c>
      <c r="Q13" s="1" t="s">
        <v>14</v>
      </c>
      <c r="R13" s="44">
        <v>10</v>
      </c>
      <c r="S13" s="46">
        <v>100</v>
      </c>
      <c r="T13" s="4"/>
    </row>
    <row r="14" spans="1:20" x14ac:dyDescent="0.25">
      <c r="A14" s="7">
        <v>11</v>
      </c>
      <c r="D14" s="16" t="s">
        <v>7</v>
      </c>
      <c r="E14" s="17"/>
      <c r="F14" s="17"/>
      <c r="G14" s="18"/>
      <c r="H14" s="12">
        <v>13</v>
      </c>
      <c r="I14" s="7" t="s">
        <v>171</v>
      </c>
      <c r="J14" s="3">
        <v>0</v>
      </c>
      <c r="K14" s="3">
        <v>4</v>
      </c>
      <c r="L14" s="3">
        <v>1</v>
      </c>
      <c r="M14" s="3">
        <v>8</v>
      </c>
      <c r="N14" s="3">
        <v>0</v>
      </c>
      <c r="O14" s="3">
        <v>0</v>
      </c>
      <c r="P14" s="4">
        <f t="shared" si="0"/>
        <v>0</v>
      </c>
      <c r="Q14" s="1" t="s">
        <v>14</v>
      </c>
      <c r="R14" s="44">
        <v>10</v>
      </c>
      <c r="S14" s="47">
        <v>50</v>
      </c>
      <c r="T14" s="4"/>
    </row>
    <row r="15" spans="1:20" x14ac:dyDescent="0.25">
      <c r="A15" s="7">
        <v>12</v>
      </c>
      <c r="D15" s="9" t="s">
        <v>69</v>
      </c>
      <c r="E15" s="10"/>
      <c r="F15" s="10"/>
      <c r="G15" s="11"/>
      <c r="H15" s="12">
        <v>100</v>
      </c>
      <c r="I15" s="7" t="s">
        <v>171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4</v>
      </c>
      <c r="P15" s="4">
        <f t="shared" si="0"/>
        <v>96</v>
      </c>
      <c r="Q15" s="1" t="s">
        <v>132</v>
      </c>
      <c r="R15" s="44">
        <v>200</v>
      </c>
      <c r="S15" s="47">
        <v>400</v>
      </c>
      <c r="T15" s="4"/>
    </row>
    <row r="16" spans="1:20" x14ac:dyDescent="0.25">
      <c r="A16" s="7">
        <v>13</v>
      </c>
      <c r="D16" s="88"/>
      <c r="E16" s="89"/>
      <c r="F16" s="90" t="s">
        <v>111</v>
      </c>
      <c r="G16" s="87"/>
      <c r="H16" s="12">
        <v>105</v>
      </c>
      <c r="I16" s="7" t="s">
        <v>2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4">
        <f t="shared" si="0"/>
        <v>105</v>
      </c>
      <c r="Q16" s="1" t="s">
        <v>14</v>
      </c>
      <c r="R16" s="44">
        <v>100</v>
      </c>
      <c r="S16" s="46">
        <v>500</v>
      </c>
      <c r="T16" s="4"/>
    </row>
    <row r="17" spans="1:20" x14ac:dyDescent="0.25">
      <c r="A17" s="7">
        <v>14</v>
      </c>
      <c r="D17" s="9" t="s">
        <v>73</v>
      </c>
      <c r="E17" s="10"/>
      <c r="F17" s="10"/>
      <c r="G17" s="11"/>
      <c r="H17" s="12">
        <v>690</v>
      </c>
      <c r="I17" s="7" t="s">
        <v>2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4">
        <f t="shared" si="0"/>
        <v>690</v>
      </c>
      <c r="Q17" s="1" t="s">
        <v>14</v>
      </c>
      <c r="R17" s="44">
        <v>0</v>
      </c>
      <c r="S17" s="46"/>
      <c r="T17" s="4"/>
    </row>
    <row r="18" spans="1:20" x14ac:dyDescent="0.25">
      <c r="A18" s="7">
        <v>15</v>
      </c>
      <c r="D18" s="16" t="s">
        <v>28</v>
      </c>
      <c r="E18" s="17"/>
      <c r="F18" s="17"/>
      <c r="G18" s="18"/>
      <c r="H18" s="12">
        <v>65</v>
      </c>
      <c r="I18" s="7" t="s">
        <v>2</v>
      </c>
      <c r="J18" s="3">
        <v>0</v>
      </c>
      <c r="K18" s="3">
        <v>3</v>
      </c>
      <c r="L18" s="3">
        <v>0</v>
      </c>
      <c r="M18" s="3">
        <v>2</v>
      </c>
      <c r="N18" s="3">
        <v>2</v>
      </c>
      <c r="O18" s="3">
        <v>10</v>
      </c>
      <c r="P18" s="4">
        <f t="shared" si="0"/>
        <v>48</v>
      </c>
      <c r="Q18" s="1" t="s">
        <v>14</v>
      </c>
      <c r="R18" s="44">
        <v>50</v>
      </c>
      <c r="S18" s="47">
        <v>100</v>
      </c>
      <c r="T18" s="4"/>
    </row>
    <row r="19" spans="1:20" x14ac:dyDescent="0.25">
      <c r="A19" s="7">
        <v>16</v>
      </c>
      <c r="D19" s="9" t="s">
        <v>29</v>
      </c>
      <c r="E19" s="10"/>
      <c r="F19" s="10"/>
      <c r="G19" s="11"/>
      <c r="H19" s="12">
        <v>65</v>
      </c>
      <c r="I19" s="7" t="s">
        <v>2</v>
      </c>
      <c r="J19" s="3">
        <v>0</v>
      </c>
      <c r="K19" s="3">
        <v>3</v>
      </c>
      <c r="L19" s="3">
        <v>0</v>
      </c>
      <c r="M19" s="3">
        <v>2</v>
      </c>
      <c r="N19" s="3">
        <v>2</v>
      </c>
      <c r="O19" s="3">
        <v>10</v>
      </c>
      <c r="P19" s="4">
        <f t="shared" si="0"/>
        <v>48</v>
      </c>
      <c r="Q19" s="1" t="s">
        <v>14</v>
      </c>
      <c r="R19" s="44">
        <v>50</v>
      </c>
      <c r="S19" s="47">
        <v>100</v>
      </c>
      <c r="T19" s="4"/>
    </row>
    <row r="20" spans="1:20" x14ac:dyDescent="0.25">
      <c r="A20" s="7">
        <v>17</v>
      </c>
      <c r="D20" s="16" t="s">
        <v>14</v>
      </c>
      <c r="E20" s="17" t="s">
        <v>14</v>
      </c>
      <c r="F20" s="17" t="s">
        <v>14</v>
      </c>
      <c r="G20" s="18"/>
      <c r="H20" s="12">
        <v>0</v>
      </c>
      <c r="I20" s="7" t="s">
        <v>2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4">
        <f t="shared" si="0"/>
        <v>0</v>
      </c>
      <c r="Q20" s="1" t="s">
        <v>14</v>
      </c>
      <c r="R20" s="44" t="s">
        <v>14</v>
      </c>
      <c r="S20" s="47" t="s">
        <v>14</v>
      </c>
      <c r="T20" s="4"/>
    </row>
    <row r="21" spans="1:20" x14ac:dyDescent="0.25">
      <c r="A21" s="7">
        <v>18</v>
      </c>
      <c r="D21" s="9" t="s">
        <v>129</v>
      </c>
      <c r="E21" s="10"/>
      <c r="F21" s="10"/>
      <c r="G21" s="11"/>
      <c r="H21" s="12">
        <v>6</v>
      </c>
      <c r="I21" s="7" t="s">
        <v>2</v>
      </c>
      <c r="J21" s="3">
        <v>0</v>
      </c>
      <c r="K21" s="3">
        <v>0</v>
      </c>
      <c r="L21" s="3">
        <v>0</v>
      </c>
      <c r="M21" s="3">
        <v>0</v>
      </c>
      <c r="N21" s="3">
        <v>1</v>
      </c>
      <c r="O21" s="3">
        <v>0</v>
      </c>
      <c r="P21" s="4">
        <f t="shared" si="0"/>
        <v>5</v>
      </c>
      <c r="Q21" s="1" t="s">
        <v>14</v>
      </c>
      <c r="R21" s="44">
        <v>10</v>
      </c>
      <c r="S21" s="46">
        <v>50</v>
      </c>
      <c r="T21" s="4"/>
    </row>
    <row r="22" spans="1:20" x14ac:dyDescent="0.25">
      <c r="A22" s="7">
        <v>19</v>
      </c>
      <c r="D22" s="55" t="s">
        <v>184</v>
      </c>
      <c r="E22" s="56"/>
      <c r="F22" s="56"/>
      <c r="G22" s="57"/>
      <c r="H22" s="12">
        <v>420</v>
      </c>
      <c r="I22" s="59" t="s">
        <v>1</v>
      </c>
      <c r="J22" s="3">
        <v>0</v>
      </c>
      <c r="K22" s="3">
        <v>10</v>
      </c>
      <c r="L22" s="3">
        <v>10</v>
      </c>
      <c r="M22" s="3">
        <v>20</v>
      </c>
      <c r="N22" s="3">
        <v>90</v>
      </c>
      <c r="O22" s="3">
        <v>0</v>
      </c>
      <c r="P22" s="46">
        <f t="shared" si="0"/>
        <v>290</v>
      </c>
      <c r="Q22" s="1" t="s">
        <v>75</v>
      </c>
      <c r="R22" s="44">
        <v>200</v>
      </c>
      <c r="S22" s="47">
        <v>400</v>
      </c>
      <c r="T22" s="4"/>
    </row>
    <row r="23" spans="1:20" x14ac:dyDescent="0.25">
      <c r="A23" s="7">
        <v>20</v>
      </c>
      <c r="D23" s="9" t="s">
        <v>32</v>
      </c>
      <c r="E23" s="10"/>
      <c r="F23" s="10"/>
      <c r="G23" s="11"/>
      <c r="H23" s="12">
        <v>800</v>
      </c>
      <c r="I23" s="7" t="s">
        <v>2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4">
        <f t="shared" si="0"/>
        <v>800</v>
      </c>
      <c r="Q23" s="1" t="s">
        <v>14</v>
      </c>
      <c r="R23" s="44">
        <v>0</v>
      </c>
      <c r="S23" s="46">
        <v>0</v>
      </c>
      <c r="T23" s="4"/>
    </row>
    <row r="24" spans="1:20" x14ac:dyDescent="0.25">
      <c r="A24" s="7">
        <v>21</v>
      </c>
      <c r="D24" s="16" t="s">
        <v>188</v>
      </c>
      <c r="E24" s="17"/>
      <c r="F24" s="17"/>
      <c r="G24" s="18"/>
      <c r="H24" s="12">
        <v>100</v>
      </c>
      <c r="I24" s="7" t="s">
        <v>2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4">
        <f t="shared" si="0"/>
        <v>100</v>
      </c>
      <c r="Q24" s="1" t="s">
        <v>14</v>
      </c>
      <c r="R24" s="44">
        <v>10</v>
      </c>
      <c r="S24" s="46">
        <v>100</v>
      </c>
      <c r="T24" s="4"/>
    </row>
    <row r="25" spans="1:20" x14ac:dyDescent="0.25">
      <c r="A25" s="7">
        <v>22</v>
      </c>
      <c r="D25" s="9" t="s">
        <v>34</v>
      </c>
      <c r="E25" s="10"/>
      <c r="F25" s="10"/>
      <c r="G25" s="11"/>
      <c r="H25" s="12">
        <v>46</v>
      </c>
      <c r="I25" s="7" t="s">
        <v>2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4">
        <f t="shared" si="0"/>
        <v>46</v>
      </c>
      <c r="Q25" s="1" t="s">
        <v>14</v>
      </c>
      <c r="R25" s="44">
        <v>20</v>
      </c>
      <c r="S25" s="46">
        <v>50</v>
      </c>
      <c r="T25" s="4"/>
    </row>
    <row r="26" spans="1:20" x14ac:dyDescent="0.25">
      <c r="A26" s="7">
        <v>23</v>
      </c>
      <c r="D26" s="16" t="s">
        <v>142</v>
      </c>
      <c r="E26" s="17"/>
      <c r="F26" s="17"/>
      <c r="G26" s="18"/>
      <c r="H26" s="12">
        <v>54</v>
      </c>
      <c r="I26" s="7" t="s">
        <v>2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4">
        <f t="shared" si="0"/>
        <v>54</v>
      </c>
      <c r="Q26" s="1" t="s">
        <v>14</v>
      </c>
      <c r="R26" s="44">
        <v>20</v>
      </c>
      <c r="S26" s="47">
        <v>50</v>
      </c>
      <c r="T26" s="4"/>
    </row>
    <row r="27" spans="1:20" x14ac:dyDescent="0.25">
      <c r="A27" s="7">
        <v>24</v>
      </c>
      <c r="D27" s="9" t="s">
        <v>141</v>
      </c>
      <c r="E27" s="10"/>
      <c r="F27" s="10"/>
      <c r="G27" s="11"/>
      <c r="H27" s="12">
        <v>0</v>
      </c>
      <c r="I27" s="7" t="s">
        <v>2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  <c r="P27" s="4">
        <f t="shared" si="0"/>
        <v>0</v>
      </c>
      <c r="Q27" s="1"/>
      <c r="R27" s="44">
        <v>20</v>
      </c>
      <c r="S27" s="47">
        <v>50</v>
      </c>
      <c r="T27" s="4"/>
    </row>
    <row r="28" spans="1:20" x14ac:dyDescent="0.25">
      <c r="A28" s="7">
        <v>25</v>
      </c>
      <c r="D28" s="9" t="s">
        <v>137</v>
      </c>
      <c r="E28" s="10"/>
      <c r="F28" s="10"/>
      <c r="G28" s="11"/>
      <c r="H28" s="12">
        <v>51</v>
      </c>
      <c r="I28" s="7" t="s">
        <v>2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4">
        <f t="shared" si="0"/>
        <v>51</v>
      </c>
      <c r="Q28" s="1" t="s">
        <v>14</v>
      </c>
      <c r="R28" s="44">
        <v>20</v>
      </c>
      <c r="S28" s="47">
        <v>50</v>
      </c>
      <c r="T28" s="4"/>
    </row>
    <row r="29" spans="1:20" x14ac:dyDescent="0.25">
      <c r="A29" s="7">
        <v>26</v>
      </c>
      <c r="D29" s="9" t="s">
        <v>138</v>
      </c>
      <c r="E29" s="10"/>
      <c r="F29" s="10"/>
      <c r="G29" s="11"/>
      <c r="H29" s="12">
        <v>0</v>
      </c>
      <c r="I29" s="7" t="s">
        <v>2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4">
        <f t="shared" si="0"/>
        <v>0</v>
      </c>
      <c r="Q29" s="1"/>
      <c r="R29" s="44">
        <v>20</v>
      </c>
      <c r="S29" s="47">
        <v>50</v>
      </c>
      <c r="T29" s="4"/>
    </row>
    <row r="30" spans="1:20" x14ac:dyDescent="0.25">
      <c r="A30" s="7">
        <v>27</v>
      </c>
      <c r="D30" s="16" t="s">
        <v>35</v>
      </c>
      <c r="E30" s="17"/>
      <c r="F30" s="17"/>
      <c r="G30" s="18"/>
      <c r="H30" s="12">
        <v>178</v>
      </c>
      <c r="I30" s="7" t="s">
        <v>2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4">
        <f t="shared" si="0"/>
        <v>178</v>
      </c>
      <c r="Q30" s="1" t="s">
        <v>14</v>
      </c>
      <c r="R30" s="44">
        <v>50</v>
      </c>
      <c r="S30" s="47">
        <v>100</v>
      </c>
      <c r="T30" s="4"/>
    </row>
    <row r="31" spans="1:20" x14ac:dyDescent="0.25">
      <c r="A31" s="7">
        <v>28</v>
      </c>
      <c r="D31" s="9" t="s">
        <v>36</v>
      </c>
      <c r="E31" s="10"/>
      <c r="F31" s="10"/>
      <c r="G31" s="11"/>
      <c r="H31" s="12">
        <v>20</v>
      </c>
      <c r="I31" s="7" t="s">
        <v>2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4">
        <f t="shared" si="0"/>
        <v>20</v>
      </c>
      <c r="Q31" s="1" t="s">
        <v>14</v>
      </c>
      <c r="R31" s="44">
        <v>50</v>
      </c>
      <c r="S31" s="47">
        <v>100</v>
      </c>
      <c r="T31" s="4"/>
    </row>
    <row r="32" spans="1:20" x14ac:dyDescent="0.25">
      <c r="A32" s="7">
        <v>29</v>
      </c>
      <c r="D32" s="16" t="s">
        <v>37</v>
      </c>
      <c r="E32" s="17"/>
      <c r="F32" s="17"/>
      <c r="G32" s="18"/>
      <c r="H32" s="12">
        <v>149</v>
      </c>
      <c r="I32" s="7" t="s">
        <v>2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4">
        <f t="shared" si="0"/>
        <v>149</v>
      </c>
      <c r="Q32" s="1" t="s">
        <v>14</v>
      </c>
      <c r="R32" s="44">
        <v>20</v>
      </c>
      <c r="S32" s="47">
        <v>50</v>
      </c>
      <c r="T32" s="4"/>
    </row>
    <row r="33" spans="1:20" x14ac:dyDescent="0.25">
      <c r="A33" s="7">
        <v>30</v>
      </c>
      <c r="D33" s="9" t="s">
        <v>38</v>
      </c>
      <c r="E33" s="10"/>
      <c r="F33" s="10"/>
      <c r="G33" s="11"/>
      <c r="H33" s="12">
        <v>90</v>
      </c>
      <c r="I33" s="7" t="s">
        <v>2</v>
      </c>
      <c r="J33" s="3">
        <v>0</v>
      </c>
      <c r="K33" s="3">
        <v>2</v>
      </c>
      <c r="L33" s="3">
        <v>30</v>
      </c>
      <c r="M33" s="3">
        <v>0</v>
      </c>
      <c r="N33" s="3">
        <v>31</v>
      </c>
      <c r="O33" s="3">
        <v>0</v>
      </c>
      <c r="P33" s="4">
        <f t="shared" si="0"/>
        <v>27</v>
      </c>
      <c r="Q33" s="1" t="s">
        <v>14</v>
      </c>
      <c r="R33" s="44">
        <v>50</v>
      </c>
      <c r="S33" s="47">
        <v>100</v>
      </c>
      <c r="T33" s="4"/>
    </row>
    <row r="34" spans="1:20" x14ac:dyDescent="0.25">
      <c r="A34" s="7">
        <v>31</v>
      </c>
      <c r="D34" s="16" t="s">
        <v>39</v>
      </c>
      <c r="E34" s="17"/>
      <c r="F34" s="17"/>
      <c r="G34" s="18"/>
      <c r="H34" s="12">
        <v>39</v>
      </c>
      <c r="I34" s="7" t="s">
        <v>2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4">
        <f t="shared" si="0"/>
        <v>39</v>
      </c>
      <c r="Q34" s="1" t="s">
        <v>14</v>
      </c>
      <c r="R34" s="44">
        <v>20</v>
      </c>
      <c r="S34" s="47">
        <v>50</v>
      </c>
      <c r="T34" s="4"/>
    </row>
    <row r="35" spans="1:20" x14ac:dyDescent="0.25">
      <c r="A35" s="7">
        <v>32</v>
      </c>
      <c r="D35" s="9" t="s">
        <v>40</v>
      </c>
      <c r="E35" s="10"/>
      <c r="F35" s="10"/>
      <c r="G35" s="11"/>
      <c r="H35" s="12">
        <v>1050</v>
      </c>
      <c r="I35" s="7" t="s">
        <v>2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4">
        <f t="shared" si="0"/>
        <v>1050</v>
      </c>
      <c r="Q35" s="1" t="s">
        <v>14</v>
      </c>
      <c r="R35" s="44">
        <v>0</v>
      </c>
      <c r="S35" s="46">
        <v>0</v>
      </c>
      <c r="T35" s="4"/>
    </row>
    <row r="36" spans="1:20" x14ac:dyDescent="0.25">
      <c r="A36" s="7">
        <v>33</v>
      </c>
      <c r="D36" s="9" t="s">
        <v>9</v>
      </c>
      <c r="E36" s="10"/>
      <c r="F36" s="10"/>
      <c r="G36" s="11"/>
      <c r="H36" s="83">
        <v>35</v>
      </c>
      <c r="I36" s="7" t="s">
        <v>132</v>
      </c>
      <c r="J36" s="3">
        <v>100</v>
      </c>
      <c r="K36" s="3">
        <v>0</v>
      </c>
      <c r="L36" s="3">
        <v>38</v>
      </c>
      <c r="M36" s="3">
        <v>17</v>
      </c>
      <c r="N36" s="3">
        <v>1</v>
      </c>
      <c r="O36" s="3">
        <v>0</v>
      </c>
      <c r="P36" s="4">
        <f t="shared" si="0"/>
        <v>79</v>
      </c>
      <c r="Q36" s="1" t="s">
        <v>132</v>
      </c>
      <c r="R36" s="44">
        <v>50</v>
      </c>
      <c r="S36" s="47">
        <v>100</v>
      </c>
      <c r="T36" s="4"/>
    </row>
    <row r="37" spans="1:20" x14ac:dyDescent="0.25">
      <c r="A37" s="7">
        <v>34</v>
      </c>
      <c r="D37" s="19" t="s">
        <v>166</v>
      </c>
      <c r="E37" s="20"/>
      <c r="F37" s="20"/>
      <c r="G37" s="21"/>
      <c r="H37" s="69">
        <v>70</v>
      </c>
      <c r="I37" s="7" t="s">
        <v>2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4">
        <f t="shared" si="0"/>
        <v>70</v>
      </c>
      <c r="Q37" s="1" t="s">
        <v>14</v>
      </c>
      <c r="R37" s="44">
        <v>50</v>
      </c>
      <c r="S37" s="46">
        <v>100</v>
      </c>
      <c r="T37" s="4"/>
    </row>
    <row r="38" spans="1:20" x14ac:dyDescent="0.25">
      <c r="A38" s="7">
        <v>35</v>
      </c>
      <c r="D38" s="16" t="s">
        <v>143</v>
      </c>
      <c r="E38" s="17"/>
      <c r="F38" s="17"/>
      <c r="G38" s="18"/>
      <c r="H38" s="12">
        <v>32</v>
      </c>
      <c r="I38" s="7" t="s">
        <v>2</v>
      </c>
      <c r="J38" s="3">
        <v>100</v>
      </c>
      <c r="K38" s="3">
        <v>0</v>
      </c>
      <c r="L38" s="3">
        <v>38</v>
      </c>
      <c r="M38" s="3">
        <v>17</v>
      </c>
      <c r="N38" s="3">
        <v>1</v>
      </c>
      <c r="O38" s="3">
        <v>0</v>
      </c>
      <c r="P38" s="4">
        <f t="shared" si="0"/>
        <v>76</v>
      </c>
      <c r="Q38" s="1" t="s">
        <v>14</v>
      </c>
      <c r="R38" s="44">
        <v>50</v>
      </c>
      <c r="S38" s="46">
        <v>100</v>
      </c>
      <c r="T38" s="4"/>
    </row>
    <row r="39" spans="1:20" x14ac:dyDescent="0.25">
      <c r="A39" s="7">
        <v>36</v>
      </c>
      <c r="D39" s="9" t="s">
        <v>144</v>
      </c>
      <c r="E39" s="10"/>
      <c r="F39" s="10"/>
      <c r="G39" s="11"/>
      <c r="H39" s="12">
        <v>29</v>
      </c>
      <c r="I39" s="7" t="s">
        <v>2</v>
      </c>
      <c r="J39" s="3">
        <v>100</v>
      </c>
      <c r="K39" s="3">
        <v>0</v>
      </c>
      <c r="L39" s="3">
        <v>38</v>
      </c>
      <c r="M39" s="3">
        <v>17</v>
      </c>
      <c r="N39" s="3">
        <v>1</v>
      </c>
      <c r="O39" s="3">
        <v>0</v>
      </c>
      <c r="P39" s="4">
        <f t="shared" si="0"/>
        <v>73</v>
      </c>
      <c r="Q39" s="1" t="s">
        <v>14</v>
      </c>
      <c r="R39" s="44">
        <v>50</v>
      </c>
      <c r="S39" s="47">
        <v>100</v>
      </c>
      <c r="T39" s="4"/>
    </row>
    <row r="40" spans="1:20" x14ac:dyDescent="0.25">
      <c r="A40" s="7">
        <v>37</v>
      </c>
      <c r="D40" s="16" t="s">
        <v>42</v>
      </c>
      <c r="E40" s="17"/>
      <c r="F40" s="17"/>
      <c r="G40" s="18"/>
      <c r="H40" s="12">
        <v>32</v>
      </c>
      <c r="I40" s="7" t="s">
        <v>2</v>
      </c>
      <c r="J40" s="3">
        <v>100</v>
      </c>
      <c r="K40" s="3">
        <v>0</v>
      </c>
      <c r="L40" s="3">
        <v>38</v>
      </c>
      <c r="M40" s="3">
        <v>17</v>
      </c>
      <c r="N40" s="3">
        <v>1</v>
      </c>
      <c r="O40" s="3">
        <v>0</v>
      </c>
      <c r="P40" s="4">
        <f t="shared" si="0"/>
        <v>76</v>
      </c>
      <c r="Q40" s="1" t="s">
        <v>14</v>
      </c>
      <c r="R40" s="44">
        <v>50</v>
      </c>
      <c r="S40" s="47">
        <v>100</v>
      </c>
      <c r="T40" s="4"/>
    </row>
    <row r="41" spans="1:20" x14ac:dyDescent="0.25">
      <c r="A41" s="7">
        <v>38</v>
      </c>
      <c r="D41" s="9" t="s">
        <v>133</v>
      </c>
      <c r="E41" s="10"/>
      <c r="F41" s="10"/>
      <c r="G41" s="11"/>
      <c r="H41" s="12">
        <v>53</v>
      </c>
      <c r="I41" s="7" t="s">
        <v>2</v>
      </c>
      <c r="J41" s="3">
        <v>0</v>
      </c>
      <c r="K41" s="3">
        <v>0</v>
      </c>
      <c r="L41" s="3">
        <v>0</v>
      </c>
      <c r="M41" s="3">
        <v>0</v>
      </c>
      <c r="N41" s="3">
        <v>1</v>
      </c>
      <c r="O41" s="3">
        <v>0</v>
      </c>
      <c r="P41" s="4">
        <f t="shared" si="0"/>
        <v>52</v>
      </c>
      <c r="Q41" s="1" t="s">
        <v>14</v>
      </c>
      <c r="R41" s="44">
        <v>50</v>
      </c>
      <c r="S41" s="47">
        <v>100</v>
      </c>
      <c r="T41" s="4"/>
    </row>
    <row r="42" spans="1:20" x14ac:dyDescent="0.25">
      <c r="A42" s="7">
        <v>39</v>
      </c>
      <c r="D42" s="16" t="s">
        <v>145</v>
      </c>
      <c r="E42" s="17"/>
      <c r="F42" s="17"/>
      <c r="G42" s="18"/>
      <c r="H42" s="12">
        <v>53</v>
      </c>
      <c r="I42" s="7" t="s">
        <v>2</v>
      </c>
      <c r="J42" s="3">
        <v>0</v>
      </c>
      <c r="K42" s="3">
        <v>0</v>
      </c>
      <c r="L42" s="3">
        <v>0</v>
      </c>
      <c r="M42" s="3">
        <v>0</v>
      </c>
      <c r="N42" s="3">
        <v>1</v>
      </c>
      <c r="O42" s="3">
        <v>0</v>
      </c>
      <c r="P42" s="4">
        <f t="shared" si="0"/>
        <v>52</v>
      </c>
      <c r="Q42" s="1" t="s">
        <v>14</v>
      </c>
      <c r="R42" s="44">
        <v>50</v>
      </c>
      <c r="S42" s="46">
        <v>100</v>
      </c>
      <c r="T42" s="4"/>
    </row>
    <row r="43" spans="1:20" x14ac:dyDescent="0.25">
      <c r="A43" s="7">
        <v>40</v>
      </c>
      <c r="D43" s="9" t="s">
        <v>190</v>
      </c>
      <c r="E43" s="10"/>
      <c r="F43" s="10" t="s">
        <v>14</v>
      </c>
      <c r="G43" s="11" t="s">
        <v>14</v>
      </c>
      <c r="H43" s="12">
        <v>20</v>
      </c>
      <c r="I43" s="7" t="s">
        <v>75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4">
        <f t="shared" si="0"/>
        <v>20</v>
      </c>
      <c r="Q43" s="1" t="s">
        <v>75</v>
      </c>
      <c r="R43" s="44">
        <v>50</v>
      </c>
      <c r="S43" s="47">
        <v>200</v>
      </c>
      <c r="T43" s="4"/>
    </row>
    <row r="44" spans="1:20" x14ac:dyDescent="0.25">
      <c r="A44" s="7">
        <v>41</v>
      </c>
      <c r="D44" s="16" t="s">
        <v>10</v>
      </c>
      <c r="E44" s="17"/>
      <c r="F44" s="17"/>
      <c r="G44" s="18"/>
      <c r="H44" s="12">
        <v>8</v>
      </c>
      <c r="I44" s="7" t="s">
        <v>2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4">
        <f t="shared" si="0"/>
        <v>8</v>
      </c>
      <c r="Q44" s="1" t="s">
        <v>132</v>
      </c>
      <c r="R44" s="44">
        <v>20</v>
      </c>
      <c r="S44" s="47">
        <v>50</v>
      </c>
      <c r="T44" s="4"/>
    </row>
    <row r="45" spans="1:20" x14ac:dyDescent="0.25">
      <c r="A45" s="7">
        <v>42</v>
      </c>
      <c r="D45" s="9" t="s">
        <v>45</v>
      </c>
      <c r="E45" s="10"/>
      <c r="F45" s="10"/>
      <c r="G45" s="11"/>
      <c r="H45" s="12">
        <v>19</v>
      </c>
      <c r="I45" s="7" t="s">
        <v>2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4">
        <f t="shared" si="0"/>
        <v>19</v>
      </c>
      <c r="Q45" s="1" t="s">
        <v>14</v>
      </c>
      <c r="R45" s="44">
        <v>20</v>
      </c>
      <c r="S45" s="47">
        <v>50</v>
      </c>
      <c r="T45" s="4"/>
    </row>
    <row r="46" spans="1:20" x14ac:dyDescent="0.25">
      <c r="A46" s="7">
        <v>43</v>
      </c>
      <c r="D46" s="16" t="s">
        <v>46</v>
      </c>
      <c r="E46" s="17"/>
      <c r="F46" s="17"/>
      <c r="G46" s="18"/>
      <c r="H46" s="12">
        <v>20</v>
      </c>
      <c r="I46" s="7" t="s">
        <v>2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4">
        <f t="shared" si="0"/>
        <v>20</v>
      </c>
      <c r="Q46" s="1" t="s">
        <v>14</v>
      </c>
      <c r="R46" s="44">
        <v>20</v>
      </c>
      <c r="S46" s="47">
        <v>50</v>
      </c>
      <c r="T46" s="4"/>
    </row>
    <row r="47" spans="1:20" x14ac:dyDescent="0.25">
      <c r="A47" s="7">
        <v>44</v>
      </c>
      <c r="D47" s="9" t="s">
        <v>47</v>
      </c>
      <c r="E47" s="10"/>
      <c r="F47" s="10"/>
      <c r="G47" s="11" t="s">
        <v>14</v>
      </c>
      <c r="H47" s="12">
        <v>16</v>
      </c>
      <c r="I47" s="7" t="s">
        <v>2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4">
        <f t="shared" si="0"/>
        <v>16</v>
      </c>
      <c r="Q47" s="1" t="s">
        <v>14</v>
      </c>
      <c r="R47" s="44">
        <v>20</v>
      </c>
      <c r="S47" s="47">
        <v>50</v>
      </c>
      <c r="T47" s="4"/>
    </row>
    <row r="48" spans="1:20" x14ac:dyDescent="0.25">
      <c r="A48" s="7">
        <v>45</v>
      </c>
      <c r="D48" s="16" t="s">
        <v>175</v>
      </c>
      <c r="E48" s="17"/>
      <c r="F48" s="17"/>
      <c r="G48" s="18"/>
      <c r="H48" s="12">
        <v>600</v>
      </c>
      <c r="I48" s="7" t="s">
        <v>2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4">
        <f t="shared" si="0"/>
        <v>600</v>
      </c>
      <c r="Q48" s="1" t="s">
        <v>14</v>
      </c>
      <c r="R48" s="44">
        <v>500</v>
      </c>
      <c r="S48" s="47">
        <v>2000</v>
      </c>
      <c r="T48" s="4"/>
    </row>
    <row r="49" spans="1:20" x14ac:dyDescent="0.25">
      <c r="A49" s="7">
        <v>46</v>
      </c>
      <c r="D49" s="9" t="s">
        <v>48</v>
      </c>
      <c r="E49" s="10"/>
      <c r="F49" s="10"/>
      <c r="G49" s="11"/>
      <c r="H49" s="12">
        <v>20</v>
      </c>
      <c r="I49" s="7" t="s">
        <v>2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4">
        <f t="shared" si="0"/>
        <v>20</v>
      </c>
      <c r="Q49" s="1" t="s">
        <v>14</v>
      </c>
      <c r="R49" s="44">
        <v>10</v>
      </c>
      <c r="S49" s="47">
        <v>20</v>
      </c>
      <c r="T49" s="4" t="s">
        <v>14</v>
      </c>
    </row>
    <row r="50" spans="1:20" x14ac:dyDescent="0.25">
      <c r="A50" s="7">
        <v>47</v>
      </c>
      <c r="D50" s="16" t="s">
        <v>49</v>
      </c>
      <c r="E50" s="17"/>
      <c r="F50" s="17"/>
      <c r="G50" s="18"/>
      <c r="H50" s="12">
        <v>87</v>
      </c>
      <c r="I50" s="7" t="s">
        <v>2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4">
        <f t="shared" si="0"/>
        <v>87</v>
      </c>
      <c r="Q50" s="1" t="s">
        <v>14</v>
      </c>
      <c r="R50" s="44">
        <v>10</v>
      </c>
      <c r="S50" s="47">
        <v>20</v>
      </c>
      <c r="T50" s="4"/>
    </row>
    <row r="51" spans="1:20" x14ac:dyDescent="0.25">
      <c r="A51" s="7">
        <v>48</v>
      </c>
      <c r="D51" s="9" t="s">
        <v>189</v>
      </c>
      <c r="E51" s="10"/>
      <c r="F51" s="10"/>
      <c r="G51" s="11"/>
      <c r="H51" s="12">
        <v>30</v>
      </c>
      <c r="I51" s="7" t="s">
        <v>1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4">
        <f t="shared" si="0"/>
        <v>30</v>
      </c>
      <c r="Q51" s="1" t="s">
        <v>75</v>
      </c>
      <c r="R51" s="44">
        <v>50</v>
      </c>
      <c r="S51" s="47">
        <v>100</v>
      </c>
      <c r="T51" s="4"/>
    </row>
    <row r="52" spans="1:20" x14ac:dyDescent="0.25">
      <c r="A52" s="7">
        <v>49</v>
      </c>
      <c r="D52" s="94" t="s">
        <v>185</v>
      </c>
      <c r="E52" s="91" t="s">
        <v>186</v>
      </c>
      <c r="F52" s="92" t="s">
        <v>187</v>
      </c>
      <c r="G52" s="93"/>
      <c r="H52" s="12">
        <v>97</v>
      </c>
      <c r="I52" s="7" t="s">
        <v>2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4">
        <f t="shared" si="0"/>
        <v>97</v>
      </c>
      <c r="Q52" s="1" t="s">
        <v>14</v>
      </c>
      <c r="R52" s="44">
        <v>20</v>
      </c>
      <c r="S52" s="47">
        <v>50</v>
      </c>
      <c r="T52" s="4"/>
    </row>
    <row r="53" spans="1:20" x14ac:dyDescent="0.25">
      <c r="A53" s="7">
        <v>50</v>
      </c>
      <c r="D53" s="9" t="s">
        <v>51</v>
      </c>
      <c r="E53" s="10"/>
      <c r="F53" s="10"/>
      <c r="G53" s="11"/>
      <c r="H53" s="12">
        <v>85</v>
      </c>
      <c r="I53" s="7" t="s">
        <v>2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4">
        <f t="shared" si="0"/>
        <v>85</v>
      </c>
      <c r="Q53" s="1" t="s">
        <v>14</v>
      </c>
      <c r="R53" s="44">
        <v>20</v>
      </c>
      <c r="S53" s="47">
        <v>50</v>
      </c>
      <c r="T53" s="4"/>
    </row>
    <row r="54" spans="1:20" x14ac:dyDescent="0.25">
      <c r="A54" s="7">
        <v>51</v>
      </c>
      <c r="D54" s="16" t="s">
        <v>52</v>
      </c>
      <c r="E54" s="17"/>
      <c r="F54" s="17"/>
      <c r="G54" s="18"/>
      <c r="H54" s="12">
        <v>101</v>
      </c>
      <c r="I54" s="7" t="s">
        <v>2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  <c r="P54" s="4">
        <f t="shared" si="0"/>
        <v>101</v>
      </c>
      <c r="Q54" s="1" t="s">
        <v>14</v>
      </c>
      <c r="R54" s="44">
        <v>20</v>
      </c>
      <c r="S54" s="47">
        <v>50</v>
      </c>
      <c r="T54" s="4" t="s">
        <v>14</v>
      </c>
    </row>
    <row r="55" spans="1:20" x14ac:dyDescent="0.25">
      <c r="A55" s="7">
        <v>52</v>
      </c>
      <c r="D55" s="9" t="s">
        <v>53</v>
      </c>
      <c r="E55" s="10"/>
      <c r="F55" s="10"/>
      <c r="G55" s="11"/>
      <c r="H55" s="12">
        <v>107</v>
      </c>
      <c r="I55" s="7" t="s">
        <v>2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  <c r="P55" s="4">
        <f t="shared" si="0"/>
        <v>107</v>
      </c>
      <c r="Q55" s="1" t="s">
        <v>14</v>
      </c>
      <c r="R55" s="44">
        <v>20</v>
      </c>
      <c r="S55" s="47">
        <v>50</v>
      </c>
      <c r="T55" s="4"/>
    </row>
    <row r="56" spans="1:20" x14ac:dyDescent="0.25">
      <c r="A56" s="7">
        <v>53</v>
      </c>
      <c r="D56" s="70" t="s">
        <v>191</v>
      </c>
      <c r="E56" s="71"/>
      <c r="F56" s="71"/>
      <c r="G56" s="72"/>
      <c r="H56" s="12">
        <v>1060</v>
      </c>
      <c r="I56" s="7" t="s">
        <v>1</v>
      </c>
      <c r="J56" s="3">
        <v>0</v>
      </c>
      <c r="K56" s="3">
        <v>60</v>
      </c>
      <c r="L56" s="3">
        <v>90</v>
      </c>
      <c r="M56" s="3">
        <v>90</v>
      </c>
      <c r="N56" s="3">
        <v>180</v>
      </c>
      <c r="O56" s="3">
        <v>45</v>
      </c>
      <c r="P56" s="4">
        <f t="shared" si="0"/>
        <v>595</v>
      </c>
      <c r="Q56" s="1" t="s">
        <v>120</v>
      </c>
      <c r="R56" s="44">
        <v>300</v>
      </c>
      <c r="S56" s="47">
        <v>750</v>
      </c>
      <c r="T56" s="4"/>
    </row>
    <row r="57" spans="1:20" x14ac:dyDescent="0.25">
      <c r="A57" s="7">
        <v>54</v>
      </c>
      <c r="D57" s="16" t="s">
        <v>61</v>
      </c>
      <c r="E57" s="17"/>
      <c r="F57" s="17"/>
      <c r="G57" s="18"/>
      <c r="H57" s="12">
        <v>145</v>
      </c>
      <c r="I57" s="7" t="s">
        <v>2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  <c r="P57" s="4">
        <f t="shared" si="0"/>
        <v>145</v>
      </c>
      <c r="Q57" s="1" t="s">
        <v>14</v>
      </c>
      <c r="R57" s="44">
        <v>10</v>
      </c>
      <c r="S57" s="46">
        <v>200</v>
      </c>
      <c r="T57" s="4"/>
    </row>
    <row r="58" spans="1:20" x14ac:dyDescent="0.25">
      <c r="A58" s="7">
        <v>55</v>
      </c>
      <c r="D58" s="9" t="s">
        <v>62</v>
      </c>
      <c r="E58" s="10"/>
      <c r="F58" s="10"/>
      <c r="G58" s="11"/>
      <c r="H58" s="12">
        <v>715</v>
      </c>
      <c r="I58" s="7" t="s">
        <v>2</v>
      </c>
      <c r="J58" s="3">
        <v>1000</v>
      </c>
      <c r="K58" s="3">
        <v>25</v>
      </c>
      <c r="L58" s="3">
        <v>230</v>
      </c>
      <c r="M58" s="3">
        <v>114</v>
      </c>
      <c r="N58" s="3">
        <v>20</v>
      </c>
      <c r="O58" s="3">
        <v>10</v>
      </c>
      <c r="P58" s="4">
        <f t="shared" si="0"/>
        <v>1316</v>
      </c>
      <c r="Q58" s="1" t="s">
        <v>14</v>
      </c>
      <c r="R58" s="44">
        <v>500</v>
      </c>
      <c r="S58" s="47">
        <v>1000</v>
      </c>
      <c r="T58" s="4"/>
    </row>
    <row r="59" spans="1:20" x14ac:dyDescent="0.25">
      <c r="A59" s="7">
        <v>56</v>
      </c>
      <c r="D59" s="16" t="s">
        <v>13</v>
      </c>
      <c r="E59" s="17"/>
      <c r="F59" s="17"/>
      <c r="G59" s="18"/>
      <c r="H59" s="12">
        <v>0</v>
      </c>
      <c r="I59" s="7" t="s">
        <v>2</v>
      </c>
      <c r="J59" s="3">
        <v>525</v>
      </c>
      <c r="K59" s="3">
        <v>0</v>
      </c>
      <c r="L59" s="3">
        <v>0</v>
      </c>
      <c r="M59" s="3">
        <v>96</v>
      </c>
      <c r="N59" s="3">
        <v>6</v>
      </c>
      <c r="O59" s="3">
        <v>155</v>
      </c>
      <c r="P59" s="4">
        <f t="shared" si="0"/>
        <v>268</v>
      </c>
      <c r="Q59" s="1" t="s">
        <v>14</v>
      </c>
      <c r="R59" s="44">
        <v>200</v>
      </c>
      <c r="S59" s="47">
        <v>500</v>
      </c>
      <c r="T59" s="4"/>
    </row>
    <row r="60" spans="1:20" x14ac:dyDescent="0.25">
      <c r="A60" s="7">
        <v>57</v>
      </c>
      <c r="D60" s="9" t="s">
        <v>72</v>
      </c>
      <c r="E60" s="10"/>
      <c r="F60" s="10"/>
      <c r="G60" s="11"/>
      <c r="H60" s="12">
        <v>50</v>
      </c>
      <c r="I60" s="7" t="s">
        <v>2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4">
        <f t="shared" si="0"/>
        <v>50</v>
      </c>
      <c r="Q60" s="1" t="s">
        <v>14</v>
      </c>
      <c r="R60" s="44">
        <v>15</v>
      </c>
      <c r="S60" s="47">
        <v>300</v>
      </c>
      <c r="T60" s="4"/>
    </row>
    <row r="61" spans="1:20" x14ac:dyDescent="0.25">
      <c r="A61" s="7">
        <v>58</v>
      </c>
      <c r="D61" s="16" t="s">
        <v>182</v>
      </c>
      <c r="E61" s="17"/>
      <c r="F61" s="17"/>
      <c r="G61" s="18"/>
      <c r="H61" s="12">
        <v>537</v>
      </c>
      <c r="I61" s="7" t="s">
        <v>2</v>
      </c>
      <c r="J61" s="3">
        <v>0</v>
      </c>
      <c r="K61" s="3">
        <v>0</v>
      </c>
      <c r="L61" s="3">
        <v>0</v>
      </c>
      <c r="M61" s="3">
        <v>32</v>
      </c>
      <c r="N61" s="3">
        <v>30</v>
      </c>
      <c r="O61" s="3">
        <v>15</v>
      </c>
      <c r="P61" s="4">
        <f t="shared" si="0"/>
        <v>460</v>
      </c>
      <c r="Q61" s="1" t="s">
        <v>14</v>
      </c>
      <c r="R61" s="44">
        <v>150</v>
      </c>
      <c r="S61" s="47">
        <v>600</v>
      </c>
      <c r="T61" s="4"/>
    </row>
    <row r="62" spans="1:20" x14ac:dyDescent="0.25">
      <c r="A62" s="7">
        <v>59</v>
      </c>
      <c r="D62" s="9" t="s">
        <v>181</v>
      </c>
      <c r="E62" s="10"/>
      <c r="F62" s="10"/>
      <c r="G62" s="11"/>
      <c r="H62" s="12">
        <v>40</v>
      </c>
      <c r="I62" s="7" t="s">
        <v>2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4">
        <f t="shared" si="0"/>
        <v>40</v>
      </c>
      <c r="Q62" s="1" t="s">
        <v>14</v>
      </c>
      <c r="R62" s="44">
        <v>50</v>
      </c>
      <c r="S62" s="47">
        <v>200</v>
      </c>
      <c r="T62" s="4"/>
    </row>
    <row r="63" spans="1:20" x14ac:dyDescent="0.25">
      <c r="A63" s="7">
        <v>60</v>
      </c>
      <c r="D63" s="16" t="s">
        <v>130</v>
      </c>
      <c r="E63" s="17"/>
      <c r="F63" s="17"/>
      <c r="G63" s="18"/>
      <c r="H63" s="12">
        <v>173</v>
      </c>
      <c r="I63" s="7" t="s">
        <v>2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4">
        <f t="shared" si="0"/>
        <v>173</v>
      </c>
      <c r="Q63" s="1" t="s">
        <v>14</v>
      </c>
      <c r="R63" s="44">
        <v>20</v>
      </c>
      <c r="S63" s="46">
        <v>200</v>
      </c>
      <c r="T63" s="4"/>
    </row>
    <row r="64" spans="1:20" x14ac:dyDescent="0.25">
      <c r="A64" s="7">
        <v>61</v>
      </c>
      <c r="D64" s="26" t="s">
        <v>14</v>
      </c>
      <c r="E64" s="27"/>
      <c r="F64" s="27"/>
      <c r="G64" s="28"/>
      <c r="H64" s="12">
        <v>0</v>
      </c>
      <c r="I64" s="30" t="s">
        <v>2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4">
        <f t="shared" si="0"/>
        <v>0</v>
      </c>
      <c r="Q64" s="1" t="s">
        <v>14</v>
      </c>
      <c r="R64" s="44">
        <v>0</v>
      </c>
      <c r="S64" s="47">
        <v>0</v>
      </c>
      <c r="T64" s="4"/>
    </row>
    <row r="65" spans="1:20" x14ac:dyDescent="0.25">
      <c r="A65" s="7">
        <v>62</v>
      </c>
      <c r="D65" s="16" t="s">
        <v>65</v>
      </c>
      <c r="E65" s="17"/>
      <c r="F65" s="17"/>
      <c r="G65" s="18"/>
      <c r="H65" s="12">
        <v>25</v>
      </c>
      <c r="I65" s="7" t="s">
        <v>2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4">
        <f t="shared" si="0"/>
        <v>25</v>
      </c>
      <c r="Q65" s="1" t="s">
        <v>14</v>
      </c>
      <c r="R65" s="44">
        <v>10</v>
      </c>
      <c r="S65" s="46">
        <v>50</v>
      </c>
      <c r="T65" s="4"/>
    </row>
    <row r="66" spans="1:20" x14ac:dyDescent="0.25">
      <c r="A66" s="7">
        <v>63</v>
      </c>
      <c r="D66" s="9" t="s">
        <v>66</v>
      </c>
      <c r="E66" s="10"/>
      <c r="F66" s="10"/>
      <c r="G66" s="11"/>
      <c r="H66" s="12">
        <v>50</v>
      </c>
      <c r="I66" s="7" t="s">
        <v>2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  <c r="P66" s="4">
        <f t="shared" si="0"/>
        <v>50</v>
      </c>
      <c r="Q66" s="1" t="s">
        <v>14</v>
      </c>
      <c r="R66" s="44">
        <v>300</v>
      </c>
      <c r="S66" s="47">
        <v>1000</v>
      </c>
      <c r="T66" s="4"/>
    </row>
    <row r="67" spans="1:20" x14ac:dyDescent="0.25">
      <c r="A67" s="7">
        <v>64</v>
      </c>
      <c r="D67" s="19" t="s">
        <v>165</v>
      </c>
      <c r="E67" s="20"/>
      <c r="F67" s="20"/>
      <c r="G67" s="21"/>
      <c r="H67" s="12">
        <v>50</v>
      </c>
      <c r="I67" s="7" t="s">
        <v>2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  <c r="P67" s="4">
        <f t="shared" si="0"/>
        <v>50</v>
      </c>
      <c r="Q67" s="1" t="s">
        <v>14</v>
      </c>
      <c r="R67" s="44">
        <v>50</v>
      </c>
      <c r="S67" s="47">
        <v>150</v>
      </c>
      <c r="T67" s="4"/>
    </row>
    <row r="68" spans="1:20" x14ac:dyDescent="0.25">
      <c r="A68" s="7">
        <v>65</v>
      </c>
      <c r="D68" s="22" t="s">
        <v>74</v>
      </c>
      <c r="E68" s="10"/>
      <c r="F68" s="10"/>
      <c r="G68" s="11"/>
      <c r="H68" s="12">
        <v>140</v>
      </c>
      <c r="I68" s="8" t="s">
        <v>75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4">
        <f t="shared" ref="P68:P89" si="1">+H68+J68-K68-L68-M68-N68-O68</f>
        <v>140</v>
      </c>
      <c r="Q68" s="1">
        <v>22</v>
      </c>
      <c r="R68" s="44">
        <v>65</v>
      </c>
      <c r="S68" s="47">
        <v>150</v>
      </c>
      <c r="T68" s="4"/>
    </row>
    <row r="69" spans="1:20" x14ac:dyDescent="0.25">
      <c r="A69" s="7">
        <v>66</v>
      </c>
      <c r="C69" s="1" t="s">
        <v>14</v>
      </c>
      <c r="D69" s="22" t="s">
        <v>76</v>
      </c>
      <c r="E69" s="10"/>
      <c r="F69" s="10"/>
      <c r="G69" s="11"/>
      <c r="H69" s="12">
        <v>215</v>
      </c>
      <c r="I69" s="8" t="s">
        <v>2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4">
        <f t="shared" si="1"/>
        <v>215</v>
      </c>
      <c r="Q69" s="1" t="s">
        <v>14</v>
      </c>
      <c r="R69" s="44">
        <v>50</v>
      </c>
      <c r="S69" s="47">
        <v>100</v>
      </c>
      <c r="T69" s="4"/>
    </row>
    <row r="70" spans="1:20" x14ac:dyDescent="0.25">
      <c r="A70" s="7">
        <v>67</v>
      </c>
      <c r="D70" s="25" t="s">
        <v>147</v>
      </c>
      <c r="H70" s="12">
        <v>263</v>
      </c>
      <c r="I70" s="30" t="s">
        <v>2</v>
      </c>
      <c r="J70" s="3">
        <v>0</v>
      </c>
      <c r="K70" s="3">
        <v>22</v>
      </c>
      <c r="L70" s="3">
        <v>101</v>
      </c>
      <c r="M70" s="3">
        <v>2</v>
      </c>
      <c r="N70" s="3">
        <v>84</v>
      </c>
      <c r="O70" s="3">
        <v>1</v>
      </c>
      <c r="P70" s="4">
        <f t="shared" si="1"/>
        <v>53</v>
      </c>
      <c r="Q70" s="1" t="s">
        <v>14</v>
      </c>
      <c r="R70" s="44">
        <v>50</v>
      </c>
      <c r="S70" s="47">
        <v>100</v>
      </c>
      <c r="T70" s="4"/>
    </row>
    <row r="71" spans="1:20" x14ac:dyDescent="0.25">
      <c r="A71" s="7">
        <v>68</v>
      </c>
      <c r="D71" s="26" t="s">
        <v>80</v>
      </c>
      <c r="E71" s="27"/>
      <c r="F71" s="27"/>
      <c r="G71" s="28"/>
      <c r="H71" s="12">
        <v>30</v>
      </c>
      <c r="I71" s="8" t="s">
        <v>2</v>
      </c>
      <c r="J71" s="3">
        <v>0</v>
      </c>
      <c r="K71" s="3">
        <v>0</v>
      </c>
      <c r="L71" s="3">
        <v>6</v>
      </c>
      <c r="M71" s="3">
        <v>0</v>
      </c>
      <c r="N71" s="3">
        <v>0</v>
      </c>
      <c r="O71" s="3">
        <v>0</v>
      </c>
      <c r="P71" s="4">
        <f t="shared" si="1"/>
        <v>24</v>
      </c>
      <c r="Q71" s="1" t="s">
        <v>14</v>
      </c>
      <c r="R71" s="44">
        <v>20</v>
      </c>
      <c r="S71" s="46">
        <v>200</v>
      </c>
      <c r="T71" s="4"/>
    </row>
    <row r="72" spans="1:20" x14ac:dyDescent="0.25">
      <c r="A72" s="7">
        <v>69</v>
      </c>
      <c r="D72" s="26" t="s">
        <v>14</v>
      </c>
      <c r="E72" s="27"/>
      <c r="F72" s="27"/>
      <c r="G72" s="28"/>
      <c r="H72" s="12">
        <v>0</v>
      </c>
      <c r="I72" s="8" t="s">
        <v>2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  <c r="P72" s="4">
        <f t="shared" si="1"/>
        <v>0</v>
      </c>
      <c r="Q72" s="1" t="s">
        <v>14</v>
      </c>
      <c r="R72" s="44" t="s">
        <v>14</v>
      </c>
      <c r="S72" s="47" t="s">
        <v>14</v>
      </c>
      <c r="T72" s="4"/>
    </row>
    <row r="73" spans="1:20" x14ac:dyDescent="0.25">
      <c r="A73" s="7">
        <v>70</v>
      </c>
      <c r="D73" s="26" t="s">
        <v>167</v>
      </c>
      <c r="E73" s="27"/>
      <c r="F73" s="27"/>
      <c r="G73" s="28"/>
      <c r="H73" s="12">
        <v>49</v>
      </c>
      <c r="I73" s="8" t="s">
        <v>2</v>
      </c>
      <c r="J73" s="3">
        <v>0</v>
      </c>
      <c r="K73" s="3">
        <v>0</v>
      </c>
      <c r="L73" s="3">
        <v>6</v>
      </c>
      <c r="M73" s="3">
        <v>0</v>
      </c>
      <c r="N73" s="3">
        <v>0</v>
      </c>
      <c r="O73" s="3">
        <v>0</v>
      </c>
      <c r="P73" s="4">
        <f t="shared" si="1"/>
        <v>43</v>
      </c>
      <c r="R73" s="44">
        <v>20</v>
      </c>
      <c r="S73" s="46">
        <v>200</v>
      </c>
      <c r="T73" s="4"/>
    </row>
    <row r="74" spans="1:20" x14ac:dyDescent="0.25">
      <c r="A74" s="7">
        <v>71</v>
      </c>
      <c r="D74" s="37" t="s">
        <v>176</v>
      </c>
      <c r="E74" s="17"/>
      <c r="F74" s="33"/>
      <c r="G74" s="33"/>
      <c r="H74" s="12">
        <v>1960</v>
      </c>
      <c r="I74" s="8" t="s">
        <v>2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4">
        <f t="shared" si="1"/>
        <v>1960</v>
      </c>
      <c r="Q74" s="1" t="s">
        <v>14</v>
      </c>
      <c r="R74" s="44">
        <v>100</v>
      </c>
      <c r="S74" s="47">
        <v>500</v>
      </c>
      <c r="T74" s="4"/>
    </row>
    <row r="75" spans="1:20" x14ac:dyDescent="0.25">
      <c r="A75" s="7">
        <v>72</v>
      </c>
      <c r="D75" s="22" t="s">
        <v>14</v>
      </c>
      <c r="E75" s="10"/>
      <c r="F75" s="10"/>
      <c r="G75" s="28"/>
      <c r="H75" s="12">
        <v>0</v>
      </c>
      <c r="I75" s="8" t="s">
        <v>2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4">
        <f t="shared" si="1"/>
        <v>0</v>
      </c>
      <c r="R75" s="44">
        <v>0</v>
      </c>
      <c r="S75" s="46"/>
      <c r="T75" s="4"/>
    </row>
    <row r="76" spans="1:20" x14ac:dyDescent="0.25">
      <c r="A76" s="7">
        <v>73</v>
      </c>
      <c r="D76" s="37" t="s">
        <v>113</v>
      </c>
      <c r="E76" s="17"/>
      <c r="F76" s="17"/>
      <c r="G76" s="33"/>
      <c r="H76" s="12">
        <v>338</v>
      </c>
      <c r="I76" s="8" t="s">
        <v>97</v>
      </c>
      <c r="J76" s="3">
        <v>1000</v>
      </c>
      <c r="K76" s="3">
        <v>14</v>
      </c>
      <c r="L76" s="3">
        <v>69</v>
      </c>
      <c r="M76" s="3">
        <v>45</v>
      </c>
      <c r="N76" s="3">
        <v>52.5</v>
      </c>
      <c r="O76" s="3">
        <v>57.5</v>
      </c>
      <c r="P76" s="4">
        <f t="shared" si="1"/>
        <v>1100</v>
      </c>
      <c r="Q76" s="65" t="s">
        <v>121</v>
      </c>
      <c r="R76" s="44">
        <v>300</v>
      </c>
      <c r="S76" s="47">
        <v>1000</v>
      </c>
      <c r="T76" s="4"/>
    </row>
    <row r="77" spans="1:20" x14ac:dyDescent="0.25">
      <c r="A77" s="7">
        <v>74</v>
      </c>
      <c r="D77" s="22" t="s">
        <v>103</v>
      </c>
      <c r="E77" s="10"/>
      <c r="F77" s="10"/>
      <c r="G77" s="28"/>
      <c r="H77" s="12">
        <v>78</v>
      </c>
      <c r="I77" s="8" t="s">
        <v>132</v>
      </c>
      <c r="J77" s="3">
        <v>0</v>
      </c>
      <c r="K77" s="3">
        <v>0</v>
      </c>
      <c r="L77" s="3">
        <v>15</v>
      </c>
      <c r="M77" s="3">
        <v>0</v>
      </c>
      <c r="N77" s="3">
        <v>15</v>
      </c>
      <c r="O77" s="3">
        <v>10</v>
      </c>
      <c r="P77" s="4">
        <f t="shared" si="1"/>
        <v>38</v>
      </c>
      <c r="R77" s="44">
        <v>60</v>
      </c>
      <c r="S77" s="47">
        <v>100</v>
      </c>
      <c r="T77" s="4"/>
    </row>
    <row r="78" spans="1:20" x14ac:dyDescent="0.25">
      <c r="A78" s="8">
        <v>75</v>
      </c>
      <c r="D78" s="49" t="s">
        <v>108</v>
      </c>
      <c r="E78" s="20"/>
      <c r="F78" s="20"/>
      <c r="G78" s="20"/>
      <c r="H78" s="12">
        <v>16500</v>
      </c>
      <c r="I78" s="8" t="s">
        <v>110</v>
      </c>
      <c r="J78" s="98">
        <v>0</v>
      </c>
      <c r="K78" s="98">
        <v>1000</v>
      </c>
      <c r="L78" s="98">
        <v>1500</v>
      </c>
      <c r="M78" s="98">
        <v>1000</v>
      </c>
      <c r="N78" s="98">
        <v>1500</v>
      </c>
      <c r="O78" s="98">
        <v>2000</v>
      </c>
      <c r="P78" s="99">
        <f t="shared" si="1"/>
        <v>9500</v>
      </c>
      <c r="R78" s="95">
        <v>10000</v>
      </c>
      <c r="S78" s="96">
        <v>30000</v>
      </c>
      <c r="T78" s="4"/>
    </row>
    <row r="79" spans="1:20" x14ac:dyDescent="0.25">
      <c r="A79" s="48">
        <v>76</v>
      </c>
      <c r="B79" s="41"/>
      <c r="C79" s="41"/>
      <c r="D79" s="22" t="s">
        <v>115</v>
      </c>
      <c r="E79" s="10"/>
      <c r="F79" s="10"/>
      <c r="G79" s="11"/>
      <c r="H79" s="12">
        <v>258</v>
      </c>
      <c r="I79" s="62" t="s">
        <v>2</v>
      </c>
      <c r="J79" s="3">
        <v>0</v>
      </c>
      <c r="K79" s="3">
        <v>22</v>
      </c>
      <c r="L79" s="3">
        <v>101</v>
      </c>
      <c r="M79" s="3">
        <v>2</v>
      </c>
      <c r="N79" s="3">
        <v>84</v>
      </c>
      <c r="O79" s="3">
        <v>1</v>
      </c>
      <c r="P79" s="64">
        <f t="shared" si="1"/>
        <v>48</v>
      </c>
      <c r="R79" s="64">
        <v>50</v>
      </c>
      <c r="S79" s="64">
        <v>100</v>
      </c>
      <c r="T79" s="4" t="s">
        <v>14</v>
      </c>
    </row>
    <row r="80" spans="1:20" x14ac:dyDescent="0.25">
      <c r="A80" s="73">
        <v>77</v>
      </c>
      <c r="B80" s="41"/>
      <c r="C80" s="41"/>
      <c r="D80" s="49" t="s">
        <v>134</v>
      </c>
      <c r="E80" s="35"/>
      <c r="F80" s="35"/>
      <c r="G80" s="60"/>
      <c r="H80" s="12">
        <v>115</v>
      </c>
      <c r="I80" s="8" t="s">
        <v>2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  <c r="P80" s="4">
        <f t="shared" si="1"/>
        <v>115</v>
      </c>
      <c r="Q80" s="4"/>
      <c r="R80" s="4">
        <v>20</v>
      </c>
      <c r="S80" s="4">
        <v>50</v>
      </c>
      <c r="T80" s="4"/>
    </row>
    <row r="81" spans="1:20" x14ac:dyDescent="0.25">
      <c r="A81" s="8">
        <v>78</v>
      </c>
      <c r="D81" s="22" t="s">
        <v>123</v>
      </c>
      <c r="E81" s="10"/>
      <c r="F81" s="10"/>
      <c r="G81" s="11"/>
      <c r="H81" s="12">
        <v>500</v>
      </c>
      <c r="I81" s="8" t="s">
        <v>2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  <c r="P81" s="4">
        <f t="shared" si="1"/>
        <v>500</v>
      </c>
      <c r="Q81" s="4"/>
      <c r="R81" s="4">
        <v>500</v>
      </c>
      <c r="S81" s="4">
        <v>2500</v>
      </c>
      <c r="T81" s="4"/>
    </row>
    <row r="82" spans="1:20" x14ac:dyDescent="0.25">
      <c r="A82" s="48">
        <v>79</v>
      </c>
      <c r="B82" s="41"/>
      <c r="C82" s="41"/>
      <c r="D82" s="22" t="s">
        <v>177</v>
      </c>
      <c r="E82" s="10"/>
      <c r="F82" s="10"/>
      <c r="G82" s="11"/>
      <c r="H82" s="4">
        <v>500</v>
      </c>
      <c r="I82" s="8" t="s">
        <v>110</v>
      </c>
      <c r="J82" s="3">
        <v>0</v>
      </c>
      <c r="K82" s="3">
        <v>0</v>
      </c>
      <c r="L82" s="3">
        <v>0</v>
      </c>
      <c r="M82" s="3">
        <v>100</v>
      </c>
      <c r="N82" s="3">
        <v>0</v>
      </c>
      <c r="O82" s="3">
        <v>0</v>
      </c>
      <c r="P82" s="4">
        <f t="shared" si="1"/>
        <v>400</v>
      </c>
      <c r="Q82" s="4" t="s">
        <v>110</v>
      </c>
      <c r="R82" s="4">
        <v>250</v>
      </c>
      <c r="S82" s="4">
        <v>2000</v>
      </c>
      <c r="T82" s="4"/>
    </row>
    <row r="83" spans="1:20" x14ac:dyDescent="0.25">
      <c r="A83" s="48">
        <v>80</v>
      </c>
      <c r="B83" s="41"/>
      <c r="C83" s="41"/>
      <c r="D83" s="37" t="s">
        <v>178</v>
      </c>
      <c r="E83" s="17"/>
      <c r="F83" s="17"/>
      <c r="G83" s="18"/>
      <c r="H83" s="64">
        <v>4000</v>
      </c>
      <c r="I83" s="62" t="s">
        <v>110</v>
      </c>
      <c r="J83" s="3">
        <v>0</v>
      </c>
      <c r="K83" s="3">
        <v>0</v>
      </c>
      <c r="L83" s="3">
        <v>0</v>
      </c>
      <c r="M83" s="3">
        <v>500</v>
      </c>
      <c r="N83" s="3">
        <v>0</v>
      </c>
      <c r="O83" s="3">
        <v>0</v>
      </c>
      <c r="P83" s="64">
        <f t="shared" si="1"/>
        <v>3500</v>
      </c>
      <c r="Q83" s="64" t="s">
        <v>110</v>
      </c>
      <c r="R83" s="64">
        <v>3000</v>
      </c>
      <c r="S83" s="64">
        <v>10000</v>
      </c>
      <c r="T83" s="4"/>
    </row>
    <row r="84" spans="1:20" x14ac:dyDescent="0.25">
      <c r="A84" s="48">
        <v>81</v>
      </c>
      <c r="B84" s="11"/>
      <c r="C84" s="23"/>
      <c r="D84" s="68" t="s">
        <v>192</v>
      </c>
      <c r="E84" s="27"/>
      <c r="F84" s="27"/>
      <c r="G84" s="28"/>
      <c r="H84" s="74">
        <v>300</v>
      </c>
      <c r="I84" s="75" t="s">
        <v>110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4">
        <f t="shared" si="1"/>
        <v>300</v>
      </c>
      <c r="Q84" s="4"/>
      <c r="R84" s="4">
        <v>10</v>
      </c>
      <c r="S84" s="4">
        <v>50</v>
      </c>
      <c r="T84" s="4"/>
    </row>
    <row r="85" spans="1:20" x14ac:dyDescent="0.25">
      <c r="A85" s="8">
        <v>82</v>
      </c>
      <c r="D85" s="68" t="s">
        <v>148</v>
      </c>
      <c r="E85" s="27"/>
      <c r="F85" s="27"/>
      <c r="G85" s="28"/>
      <c r="H85" s="4">
        <v>0</v>
      </c>
      <c r="I85" s="8" t="s">
        <v>2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4">
        <f t="shared" si="1"/>
        <v>0</v>
      </c>
      <c r="Q85" s="4"/>
      <c r="R85" s="4">
        <v>50</v>
      </c>
      <c r="S85" s="4">
        <v>200</v>
      </c>
      <c r="T85" s="4"/>
    </row>
    <row r="86" spans="1:20" ht="15.75" customHeight="1" x14ac:dyDescent="0.25">
      <c r="A86" s="8">
        <v>83</v>
      </c>
      <c r="D86" s="79" t="s">
        <v>150</v>
      </c>
      <c r="E86" s="80"/>
      <c r="F86" s="81"/>
      <c r="G86" s="82"/>
      <c r="H86" s="4">
        <v>120</v>
      </c>
      <c r="I86" s="8" t="s">
        <v>2</v>
      </c>
      <c r="J86" s="3">
        <v>200</v>
      </c>
      <c r="K86" s="3">
        <v>0</v>
      </c>
      <c r="L86" s="3">
        <v>0</v>
      </c>
      <c r="M86" s="3">
        <v>10</v>
      </c>
      <c r="N86" s="3">
        <v>0</v>
      </c>
      <c r="O86" s="3">
        <v>12</v>
      </c>
      <c r="P86" s="4">
        <f t="shared" si="1"/>
        <v>298</v>
      </c>
      <c r="Q86" s="4"/>
      <c r="R86" s="4">
        <v>100</v>
      </c>
      <c r="S86" s="4">
        <v>500</v>
      </c>
      <c r="T86" s="4"/>
    </row>
    <row r="87" spans="1:20" x14ac:dyDescent="0.25">
      <c r="A87" s="8">
        <v>84</v>
      </c>
      <c r="D87" s="22" t="s">
        <v>183</v>
      </c>
      <c r="E87" s="10"/>
      <c r="F87" s="10"/>
      <c r="G87" s="11"/>
      <c r="H87" s="23">
        <v>601</v>
      </c>
      <c r="I87" s="8" t="s">
        <v>2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1</v>
      </c>
      <c r="P87" s="4">
        <f t="shared" si="1"/>
        <v>600</v>
      </c>
      <c r="Q87" s="4"/>
      <c r="R87" s="4">
        <v>20</v>
      </c>
      <c r="S87" s="4">
        <v>300</v>
      </c>
      <c r="T87" s="4"/>
    </row>
    <row r="88" spans="1:20" x14ac:dyDescent="0.25">
      <c r="A88" s="8">
        <v>85</v>
      </c>
      <c r="D88" s="49" t="s">
        <v>153</v>
      </c>
      <c r="E88" s="20"/>
      <c r="F88" s="20"/>
      <c r="G88" s="21"/>
      <c r="H88" s="23">
        <v>8</v>
      </c>
      <c r="I88" s="8" t="s">
        <v>2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4">
        <f t="shared" si="1"/>
        <v>8</v>
      </c>
      <c r="Q88" s="4"/>
      <c r="R88" s="4">
        <v>10</v>
      </c>
      <c r="S88" s="4">
        <v>200</v>
      </c>
      <c r="T88" s="4"/>
    </row>
    <row r="89" spans="1:20" x14ac:dyDescent="0.25">
      <c r="A89" s="77">
        <v>86</v>
      </c>
      <c r="D89" s="68" t="s">
        <v>14</v>
      </c>
      <c r="E89" s="27"/>
      <c r="F89" s="27"/>
      <c r="G89" s="28"/>
      <c r="H89" s="74">
        <v>0</v>
      </c>
      <c r="I89" s="75" t="s">
        <v>14</v>
      </c>
      <c r="J89" s="3">
        <v>0</v>
      </c>
      <c r="K89" s="3">
        <v>0</v>
      </c>
      <c r="L89" s="3">
        <v>0</v>
      </c>
      <c r="M89" s="3">
        <v>0</v>
      </c>
      <c r="N89" s="3">
        <v>0</v>
      </c>
      <c r="O89" s="3">
        <v>0</v>
      </c>
      <c r="P89" s="4">
        <f t="shared" si="1"/>
        <v>0</v>
      </c>
      <c r="Q89" s="4"/>
      <c r="R89" s="4" t="s">
        <v>14</v>
      </c>
      <c r="S89" s="4" t="s">
        <v>14</v>
      </c>
      <c r="T89" s="4"/>
    </row>
  </sheetData>
  <pageMargins left="0.75" right="0.75" top="1" bottom="1" header="0.5" footer="0.5"/>
  <pageSetup paperSize="9" orientation="portrait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3E4445-420A-4F8C-9350-8D315065F991}">
  <dimension ref="A1:T89"/>
  <sheetViews>
    <sheetView workbookViewId="0">
      <selection activeCell="M15" sqref="M15"/>
    </sheetView>
  </sheetViews>
  <sheetFormatPr defaultRowHeight="15" x14ac:dyDescent="0.25"/>
  <cols>
    <col min="1" max="1" width="5.5703125" customWidth="1"/>
    <col min="2" max="3" width="9.140625" hidden="1" customWidth="1"/>
    <col min="6" max="6" width="12.7109375" customWidth="1"/>
    <col min="8" max="8" width="10.140625" customWidth="1"/>
    <col min="9" max="9" width="10" customWidth="1"/>
    <col min="10" max="10" width="7.7109375" customWidth="1"/>
    <col min="11" max="11" width="10.7109375" customWidth="1"/>
    <col min="12" max="12" width="10.140625" customWidth="1"/>
    <col min="13" max="13" width="11.85546875" customWidth="1"/>
    <col min="14" max="15" width="11.7109375" customWidth="1"/>
    <col min="16" max="16" width="10.140625" customWidth="1"/>
    <col min="17" max="17" width="4.7109375" customWidth="1"/>
    <col min="18" max="18" width="10.140625" customWidth="1"/>
    <col min="19" max="19" width="11.5703125" customWidth="1"/>
    <col min="20" max="20" width="0.28515625" customWidth="1"/>
  </cols>
  <sheetData>
    <row r="1" spans="1:20" x14ac:dyDescent="0.25">
      <c r="G1" s="1"/>
      <c r="P1">
        <f>+H1+J1-K1-L1-M1-N1-O1</f>
        <v>0</v>
      </c>
    </row>
    <row r="2" spans="1:20" x14ac:dyDescent="0.25">
      <c r="A2" t="s">
        <v>14</v>
      </c>
      <c r="D2" s="78">
        <v>45778</v>
      </c>
      <c r="O2" s="38" t="s">
        <v>14</v>
      </c>
      <c r="S2" s="50">
        <v>45656</v>
      </c>
    </row>
    <row r="3" spans="1:20" x14ac:dyDescent="0.25">
      <c r="A3" s="3" t="s">
        <v>15</v>
      </c>
      <c r="D3" s="9" t="s">
        <v>17</v>
      </c>
      <c r="E3" s="10"/>
      <c r="F3" s="10"/>
      <c r="G3" s="11"/>
      <c r="H3" s="12" t="s">
        <v>18</v>
      </c>
      <c r="I3" s="4" t="s">
        <v>19</v>
      </c>
      <c r="J3" s="3" t="s">
        <v>20</v>
      </c>
      <c r="K3" s="5">
        <v>45786</v>
      </c>
      <c r="L3" s="6">
        <v>45793</v>
      </c>
      <c r="M3" s="5">
        <v>45800</v>
      </c>
      <c r="N3" s="5">
        <v>45807</v>
      </c>
      <c r="O3" s="6">
        <v>0</v>
      </c>
      <c r="P3" s="3" t="s">
        <v>21</v>
      </c>
      <c r="R3" s="42" t="s">
        <v>105</v>
      </c>
      <c r="S3" s="45" t="s">
        <v>104</v>
      </c>
      <c r="T3" s="4"/>
    </row>
    <row r="4" spans="1:20" x14ac:dyDescent="0.25">
      <c r="A4" s="7">
        <v>1</v>
      </c>
      <c r="D4" s="13" t="s">
        <v>16</v>
      </c>
      <c r="E4" s="14"/>
      <c r="F4" s="14"/>
      <c r="G4" s="15"/>
      <c r="H4" s="12">
        <v>422</v>
      </c>
      <c r="I4" s="7" t="s">
        <v>1</v>
      </c>
      <c r="J4" s="3">
        <v>0</v>
      </c>
      <c r="K4" s="3">
        <v>0</v>
      </c>
      <c r="L4" s="3">
        <v>0</v>
      </c>
      <c r="M4" s="3">
        <v>23</v>
      </c>
      <c r="N4" s="3">
        <v>23</v>
      </c>
      <c r="O4" s="3">
        <v>0</v>
      </c>
      <c r="P4" s="4">
        <f t="shared" ref="P4:P67" si="0">+H4+J4-K4-L4-M4-N4-O4</f>
        <v>376</v>
      </c>
      <c r="Q4" t="s">
        <v>173</v>
      </c>
      <c r="R4" s="43">
        <v>150</v>
      </c>
      <c r="S4" s="46">
        <v>500</v>
      </c>
      <c r="T4" s="4" t="s">
        <v>14</v>
      </c>
    </row>
    <row r="5" spans="1:20" x14ac:dyDescent="0.25">
      <c r="A5" s="7">
        <v>2</v>
      </c>
      <c r="D5" s="9" t="s">
        <v>14</v>
      </c>
      <c r="E5" s="10"/>
      <c r="F5" s="10"/>
      <c r="G5" s="11"/>
      <c r="H5" s="12">
        <v>0</v>
      </c>
      <c r="I5" s="7" t="s">
        <v>14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4">
        <f t="shared" si="0"/>
        <v>0</v>
      </c>
      <c r="Q5" s="1" t="s">
        <v>14</v>
      </c>
      <c r="R5" s="44">
        <v>0</v>
      </c>
      <c r="S5" s="47">
        <v>0</v>
      </c>
      <c r="T5" s="4"/>
    </row>
    <row r="6" spans="1:20" x14ac:dyDescent="0.25">
      <c r="A6" s="7">
        <v>3</v>
      </c>
      <c r="D6" s="16" t="s">
        <v>23</v>
      </c>
      <c r="E6" s="17"/>
      <c r="F6" s="17"/>
      <c r="G6" s="18"/>
      <c r="H6" s="12">
        <v>34</v>
      </c>
      <c r="I6" s="7" t="s">
        <v>2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4">
        <f t="shared" si="0"/>
        <v>34</v>
      </c>
      <c r="Q6" s="1" t="s">
        <v>14</v>
      </c>
      <c r="R6" s="44">
        <v>6</v>
      </c>
      <c r="S6" s="47">
        <v>10</v>
      </c>
      <c r="T6" s="4"/>
    </row>
    <row r="7" spans="1:20" x14ac:dyDescent="0.25">
      <c r="A7" s="7">
        <v>4</v>
      </c>
      <c r="D7" s="9" t="s">
        <v>3</v>
      </c>
      <c r="E7" s="10"/>
      <c r="F7" s="10"/>
      <c r="G7" s="11"/>
      <c r="H7" s="12">
        <v>22</v>
      </c>
      <c r="I7" s="7" t="s">
        <v>2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4">
        <f t="shared" si="0"/>
        <v>22</v>
      </c>
      <c r="Q7" s="1" t="s">
        <v>14</v>
      </c>
      <c r="R7" s="44">
        <v>6</v>
      </c>
      <c r="S7" s="47">
        <v>10</v>
      </c>
      <c r="T7" s="4"/>
    </row>
    <row r="8" spans="1:20" x14ac:dyDescent="0.25">
      <c r="A8" s="7">
        <v>5</v>
      </c>
      <c r="D8" s="16" t="s">
        <v>139</v>
      </c>
      <c r="E8" s="17"/>
      <c r="F8" s="17"/>
      <c r="G8" s="18"/>
      <c r="H8" s="12">
        <v>98</v>
      </c>
      <c r="I8" s="7" t="s">
        <v>2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4">
        <f t="shared" si="0"/>
        <v>98</v>
      </c>
      <c r="Q8" s="1" t="s">
        <v>14</v>
      </c>
      <c r="R8" s="44">
        <v>50</v>
      </c>
      <c r="S8" s="47">
        <v>400</v>
      </c>
      <c r="T8" s="4"/>
    </row>
    <row r="9" spans="1:20" x14ac:dyDescent="0.25">
      <c r="A9" s="7">
        <v>6</v>
      </c>
      <c r="D9" s="9" t="s">
        <v>24</v>
      </c>
      <c r="E9" s="10"/>
      <c r="F9" s="10"/>
      <c r="G9" s="11"/>
      <c r="H9" s="12">
        <v>210</v>
      </c>
      <c r="I9" s="7" t="s">
        <v>171</v>
      </c>
      <c r="J9" s="3">
        <v>0</v>
      </c>
      <c r="K9" s="3">
        <v>0</v>
      </c>
      <c r="L9" s="3">
        <v>0</v>
      </c>
      <c r="M9" s="3">
        <v>0</v>
      </c>
      <c r="N9" s="3">
        <v>10</v>
      </c>
      <c r="O9" s="3">
        <v>0</v>
      </c>
      <c r="P9" s="4">
        <f t="shared" si="0"/>
        <v>200</v>
      </c>
      <c r="Q9" s="1" t="s">
        <v>132</v>
      </c>
      <c r="R9" s="44">
        <v>100</v>
      </c>
      <c r="S9" s="47">
        <v>400</v>
      </c>
      <c r="T9" s="4"/>
    </row>
    <row r="10" spans="1:20" x14ac:dyDescent="0.25">
      <c r="A10" s="7">
        <v>7</v>
      </c>
      <c r="D10" s="16" t="s">
        <v>101</v>
      </c>
      <c r="E10" s="17"/>
      <c r="F10" s="17"/>
      <c r="G10" s="18"/>
      <c r="H10" s="12">
        <v>227</v>
      </c>
      <c r="I10" s="7" t="s">
        <v>171</v>
      </c>
      <c r="J10" s="3">
        <v>80</v>
      </c>
      <c r="K10" s="3">
        <v>0</v>
      </c>
      <c r="L10" s="3">
        <v>11</v>
      </c>
      <c r="M10" s="3">
        <v>26</v>
      </c>
      <c r="N10" s="3">
        <v>0</v>
      </c>
      <c r="O10" s="3">
        <v>0</v>
      </c>
      <c r="P10" s="4">
        <f t="shared" si="0"/>
        <v>270</v>
      </c>
      <c r="Q10" s="1" t="s">
        <v>171</v>
      </c>
      <c r="R10" s="44">
        <v>200</v>
      </c>
      <c r="S10" s="47">
        <v>500</v>
      </c>
      <c r="T10" s="4"/>
    </row>
    <row r="11" spans="1:20" x14ac:dyDescent="0.25">
      <c r="A11" s="7">
        <v>8</v>
      </c>
      <c r="D11" s="9" t="s">
        <v>25</v>
      </c>
      <c r="E11" s="10"/>
      <c r="F11" s="10"/>
      <c r="G11" s="11"/>
      <c r="H11" s="12">
        <v>290</v>
      </c>
      <c r="I11" s="7" t="s">
        <v>2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4">
        <f t="shared" si="0"/>
        <v>290</v>
      </c>
      <c r="Q11" s="1" t="s">
        <v>14</v>
      </c>
      <c r="R11" s="44">
        <v>50</v>
      </c>
      <c r="S11" s="47">
        <v>300</v>
      </c>
      <c r="T11" s="4"/>
    </row>
    <row r="12" spans="1:20" x14ac:dyDescent="0.25">
      <c r="A12" s="7">
        <v>9</v>
      </c>
      <c r="D12" s="16" t="s">
        <v>174</v>
      </c>
      <c r="E12" s="17"/>
      <c r="F12" s="17"/>
      <c r="G12" s="18"/>
      <c r="H12" s="12">
        <v>80</v>
      </c>
      <c r="I12" s="7" t="s">
        <v>2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4">
        <f t="shared" si="0"/>
        <v>80</v>
      </c>
      <c r="Q12" s="1" t="s">
        <v>14</v>
      </c>
      <c r="R12" s="44">
        <v>45</v>
      </c>
      <c r="S12" s="47">
        <v>200</v>
      </c>
      <c r="T12" s="4"/>
    </row>
    <row r="13" spans="1:20" x14ac:dyDescent="0.25">
      <c r="A13" s="7">
        <v>10</v>
      </c>
      <c r="D13" s="9" t="s">
        <v>6</v>
      </c>
      <c r="E13" s="10"/>
      <c r="F13" s="10"/>
      <c r="G13" s="11"/>
      <c r="H13" s="12">
        <v>30</v>
      </c>
      <c r="I13" s="7" t="s">
        <v>2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4">
        <f t="shared" si="0"/>
        <v>30</v>
      </c>
      <c r="Q13" s="1" t="s">
        <v>14</v>
      </c>
      <c r="R13" s="44">
        <v>10</v>
      </c>
      <c r="S13" s="46">
        <v>100</v>
      </c>
      <c r="T13" s="4"/>
    </row>
    <row r="14" spans="1:20" x14ac:dyDescent="0.25">
      <c r="A14" s="7">
        <v>11</v>
      </c>
      <c r="D14" s="16" t="s">
        <v>7</v>
      </c>
      <c r="E14" s="17"/>
      <c r="F14" s="17"/>
      <c r="G14" s="18"/>
      <c r="H14" s="12">
        <v>0</v>
      </c>
      <c r="I14" s="7" t="s">
        <v>171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4">
        <f t="shared" si="0"/>
        <v>0</v>
      </c>
      <c r="Q14" s="1" t="s">
        <v>14</v>
      </c>
      <c r="R14" s="44">
        <v>10</v>
      </c>
      <c r="S14" s="47">
        <v>50</v>
      </c>
      <c r="T14" s="4"/>
    </row>
    <row r="15" spans="1:20" x14ac:dyDescent="0.25">
      <c r="A15" s="7">
        <v>12</v>
      </c>
      <c r="D15" s="9" t="s">
        <v>69</v>
      </c>
      <c r="E15" s="10"/>
      <c r="F15" s="10"/>
      <c r="G15" s="11"/>
      <c r="H15" s="12">
        <v>10</v>
      </c>
      <c r="I15" s="7" t="s">
        <v>171</v>
      </c>
      <c r="J15" s="3">
        <v>0</v>
      </c>
      <c r="K15" s="3">
        <v>2</v>
      </c>
      <c r="L15" s="3">
        <v>0</v>
      </c>
      <c r="M15" s="3">
        <v>0</v>
      </c>
      <c r="N15" s="3">
        <v>2</v>
      </c>
      <c r="O15" s="3">
        <v>0</v>
      </c>
      <c r="P15" s="4">
        <f t="shared" si="0"/>
        <v>6</v>
      </c>
      <c r="Q15" s="1" t="s">
        <v>132</v>
      </c>
      <c r="R15" s="44">
        <v>200</v>
      </c>
      <c r="S15" s="47">
        <v>400</v>
      </c>
      <c r="T15" s="4"/>
    </row>
    <row r="16" spans="1:20" x14ac:dyDescent="0.25">
      <c r="A16" s="7">
        <v>13</v>
      </c>
      <c r="D16" s="88"/>
      <c r="E16" s="89"/>
      <c r="F16" s="90" t="s">
        <v>111</v>
      </c>
      <c r="G16" s="87"/>
      <c r="H16" s="12">
        <v>105</v>
      </c>
      <c r="I16" s="7" t="s">
        <v>2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4">
        <f t="shared" si="0"/>
        <v>105</v>
      </c>
      <c r="Q16" s="1" t="s">
        <v>14</v>
      </c>
      <c r="R16" s="44">
        <v>100</v>
      </c>
      <c r="S16" s="46">
        <v>500</v>
      </c>
      <c r="T16" s="4"/>
    </row>
    <row r="17" spans="1:20" x14ac:dyDescent="0.25">
      <c r="A17" s="7">
        <v>14</v>
      </c>
      <c r="D17" s="9" t="s">
        <v>73</v>
      </c>
      <c r="E17" s="10"/>
      <c r="F17" s="10"/>
      <c r="G17" s="11"/>
      <c r="H17" s="12">
        <v>690</v>
      </c>
      <c r="I17" s="7" t="s">
        <v>2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4">
        <f t="shared" si="0"/>
        <v>690</v>
      </c>
      <c r="Q17" s="1" t="s">
        <v>14</v>
      </c>
      <c r="R17" s="44">
        <v>0</v>
      </c>
      <c r="S17" s="46"/>
      <c r="T17" s="4"/>
    </row>
    <row r="18" spans="1:20" x14ac:dyDescent="0.25">
      <c r="A18" s="7">
        <v>15</v>
      </c>
      <c r="D18" s="16" t="s">
        <v>28</v>
      </c>
      <c r="E18" s="17"/>
      <c r="F18" s="17"/>
      <c r="G18" s="18"/>
      <c r="H18" s="12">
        <v>48</v>
      </c>
      <c r="I18" s="7" t="s">
        <v>2</v>
      </c>
      <c r="J18" s="3">
        <v>0</v>
      </c>
      <c r="K18" s="3">
        <v>6</v>
      </c>
      <c r="L18" s="3">
        <v>12</v>
      </c>
      <c r="M18" s="3">
        <v>0</v>
      </c>
      <c r="N18" s="3">
        <v>5</v>
      </c>
      <c r="O18" s="3">
        <v>0</v>
      </c>
      <c r="P18" s="4">
        <f t="shared" si="0"/>
        <v>25</v>
      </c>
      <c r="Q18" s="1" t="s">
        <v>14</v>
      </c>
      <c r="R18" s="44">
        <v>50</v>
      </c>
      <c r="S18" s="47">
        <v>100</v>
      </c>
      <c r="T18" s="4"/>
    </row>
    <row r="19" spans="1:20" x14ac:dyDescent="0.25">
      <c r="A19" s="7">
        <v>16</v>
      </c>
      <c r="D19" s="9" t="s">
        <v>29</v>
      </c>
      <c r="E19" s="10"/>
      <c r="F19" s="10"/>
      <c r="G19" s="11"/>
      <c r="H19" s="12">
        <v>48</v>
      </c>
      <c r="I19" s="7" t="s">
        <v>2</v>
      </c>
      <c r="J19" s="3">
        <v>0</v>
      </c>
      <c r="K19" s="3">
        <v>6</v>
      </c>
      <c r="L19" s="3">
        <v>12</v>
      </c>
      <c r="M19" s="3">
        <v>0</v>
      </c>
      <c r="N19" s="3">
        <v>5</v>
      </c>
      <c r="O19" s="3">
        <v>0</v>
      </c>
      <c r="P19" s="4">
        <f t="shared" si="0"/>
        <v>25</v>
      </c>
      <c r="Q19" s="1" t="s">
        <v>14</v>
      </c>
      <c r="R19" s="44">
        <v>50</v>
      </c>
      <c r="S19" s="47">
        <v>100</v>
      </c>
      <c r="T19" s="4"/>
    </row>
    <row r="20" spans="1:20" x14ac:dyDescent="0.25">
      <c r="A20" s="7">
        <v>17</v>
      </c>
      <c r="D20" s="16" t="s">
        <v>14</v>
      </c>
      <c r="E20" s="17" t="s">
        <v>14</v>
      </c>
      <c r="F20" s="17" t="s">
        <v>14</v>
      </c>
      <c r="G20" s="18"/>
      <c r="H20" s="12">
        <v>0</v>
      </c>
      <c r="I20" s="7" t="s">
        <v>2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4">
        <f t="shared" si="0"/>
        <v>0</v>
      </c>
      <c r="Q20" s="1" t="s">
        <v>14</v>
      </c>
      <c r="R20" s="44" t="s">
        <v>14</v>
      </c>
      <c r="S20" s="47" t="s">
        <v>14</v>
      </c>
      <c r="T20" s="4"/>
    </row>
    <row r="21" spans="1:20" x14ac:dyDescent="0.25">
      <c r="A21" s="7">
        <v>18</v>
      </c>
      <c r="D21" s="9" t="s">
        <v>129</v>
      </c>
      <c r="E21" s="10"/>
      <c r="F21" s="10"/>
      <c r="G21" s="11"/>
      <c r="H21" s="12">
        <v>5</v>
      </c>
      <c r="I21" s="7" t="s">
        <v>2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4">
        <f t="shared" si="0"/>
        <v>5</v>
      </c>
      <c r="Q21" s="1" t="s">
        <v>14</v>
      </c>
      <c r="R21" s="44">
        <v>10</v>
      </c>
      <c r="S21" s="46">
        <v>50</v>
      </c>
      <c r="T21" s="4"/>
    </row>
    <row r="22" spans="1:20" x14ac:dyDescent="0.25">
      <c r="A22" s="7">
        <v>19</v>
      </c>
      <c r="D22" s="55" t="s">
        <v>184</v>
      </c>
      <c r="E22" s="56"/>
      <c r="F22" s="56"/>
      <c r="G22" s="57"/>
      <c r="H22" s="12">
        <v>220</v>
      </c>
      <c r="I22" s="59" t="s">
        <v>1</v>
      </c>
      <c r="J22" s="3">
        <v>0</v>
      </c>
      <c r="K22" s="3">
        <v>20</v>
      </c>
      <c r="L22" s="3">
        <v>20</v>
      </c>
      <c r="M22" s="3">
        <v>30</v>
      </c>
      <c r="N22" s="3">
        <v>60</v>
      </c>
      <c r="O22" s="3">
        <v>0</v>
      </c>
      <c r="P22" s="46">
        <f t="shared" si="0"/>
        <v>90</v>
      </c>
      <c r="Q22" s="1" t="s">
        <v>75</v>
      </c>
      <c r="R22" s="44">
        <v>200</v>
      </c>
      <c r="S22" s="47">
        <v>400</v>
      </c>
      <c r="T22" s="4"/>
    </row>
    <row r="23" spans="1:20" x14ac:dyDescent="0.25">
      <c r="A23" s="7">
        <v>20</v>
      </c>
      <c r="D23" s="9" t="s">
        <v>32</v>
      </c>
      <c r="E23" s="10"/>
      <c r="F23" s="10"/>
      <c r="G23" s="11"/>
      <c r="H23" s="12">
        <v>800</v>
      </c>
      <c r="I23" s="7" t="s">
        <v>2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4">
        <f t="shared" si="0"/>
        <v>800</v>
      </c>
      <c r="Q23" s="1" t="s">
        <v>14</v>
      </c>
      <c r="R23" s="44">
        <v>0</v>
      </c>
      <c r="S23" s="46">
        <v>0</v>
      </c>
      <c r="T23" s="4"/>
    </row>
    <row r="24" spans="1:20" x14ac:dyDescent="0.25">
      <c r="A24" s="7">
        <v>21</v>
      </c>
      <c r="D24" s="16" t="s">
        <v>188</v>
      </c>
      <c r="E24" s="17"/>
      <c r="F24" s="17"/>
      <c r="G24" s="18"/>
      <c r="H24" s="12">
        <v>100</v>
      </c>
      <c r="I24" s="7" t="s">
        <v>2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4">
        <f t="shared" si="0"/>
        <v>100</v>
      </c>
      <c r="Q24" s="1" t="s">
        <v>14</v>
      </c>
      <c r="R24" s="44">
        <v>10</v>
      </c>
      <c r="S24" s="46">
        <v>100</v>
      </c>
      <c r="T24" s="4"/>
    </row>
    <row r="25" spans="1:20" x14ac:dyDescent="0.25">
      <c r="A25" s="7">
        <v>22</v>
      </c>
      <c r="D25" s="9" t="s">
        <v>34</v>
      </c>
      <c r="E25" s="10"/>
      <c r="F25" s="10"/>
      <c r="G25" s="11"/>
      <c r="H25" s="12">
        <v>46</v>
      </c>
      <c r="I25" s="7" t="s">
        <v>2</v>
      </c>
      <c r="J25" s="3">
        <v>0</v>
      </c>
      <c r="K25" s="3">
        <v>0</v>
      </c>
      <c r="L25" s="3">
        <v>0</v>
      </c>
      <c r="M25" s="3">
        <v>3</v>
      </c>
      <c r="N25" s="3">
        <v>0</v>
      </c>
      <c r="O25" s="3">
        <v>0</v>
      </c>
      <c r="P25" s="4">
        <f t="shared" si="0"/>
        <v>43</v>
      </c>
      <c r="Q25" s="1" t="s">
        <v>14</v>
      </c>
      <c r="R25" s="44">
        <v>20</v>
      </c>
      <c r="S25" s="46">
        <v>50</v>
      </c>
      <c r="T25" s="4"/>
    </row>
    <row r="26" spans="1:20" x14ac:dyDescent="0.25">
      <c r="A26" s="7">
        <v>23</v>
      </c>
      <c r="D26" s="16" t="s">
        <v>142</v>
      </c>
      <c r="E26" s="17"/>
      <c r="F26" s="17"/>
      <c r="G26" s="18"/>
      <c r="H26" s="12">
        <v>54</v>
      </c>
      <c r="I26" s="7" t="s">
        <v>2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4">
        <f t="shared" si="0"/>
        <v>54</v>
      </c>
      <c r="Q26" s="1" t="s">
        <v>14</v>
      </c>
      <c r="R26" s="44">
        <v>20</v>
      </c>
      <c r="S26" s="47">
        <v>50</v>
      </c>
      <c r="T26" s="4"/>
    </row>
    <row r="27" spans="1:20" x14ac:dyDescent="0.25">
      <c r="A27" s="7">
        <v>24</v>
      </c>
      <c r="D27" s="9" t="s">
        <v>141</v>
      </c>
      <c r="E27" s="10"/>
      <c r="F27" s="10"/>
      <c r="G27" s="11"/>
      <c r="H27" s="12">
        <v>0</v>
      </c>
      <c r="I27" s="7" t="s">
        <v>2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  <c r="P27" s="4">
        <f t="shared" si="0"/>
        <v>0</v>
      </c>
      <c r="Q27" s="1"/>
      <c r="R27" s="44">
        <v>20</v>
      </c>
      <c r="S27" s="47">
        <v>50</v>
      </c>
      <c r="T27" s="4"/>
    </row>
    <row r="28" spans="1:20" x14ac:dyDescent="0.25">
      <c r="A28" s="7">
        <v>25</v>
      </c>
      <c r="D28" s="9" t="s">
        <v>137</v>
      </c>
      <c r="E28" s="10"/>
      <c r="F28" s="10"/>
      <c r="G28" s="11"/>
      <c r="H28" s="12">
        <v>51</v>
      </c>
      <c r="I28" s="7" t="s">
        <v>2</v>
      </c>
      <c r="J28" s="3">
        <v>0</v>
      </c>
      <c r="K28" s="3">
        <v>0</v>
      </c>
      <c r="L28" s="3">
        <v>0</v>
      </c>
      <c r="M28" s="3">
        <v>3</v>
      </c>
      <c r="N28" s="3">
        <v>0</v>
      </c>
      <c r="O28" s="3">
        <v>0</v>
      </c>
      <c r="P28" s="4">
        <f t="shared" si="0"/>
        <v>48</v>
      </c>
      <c r="Q28" s="1" t="s">
        <v>14</v>
      </c>
      <c r="R28" s="44">
        <v>20</v>
      </c>
      <c r="S28" s="47">
        <v>50</v>
      </c>
      <c r="T28" s="4"/>
    </row>
    <row r="29" spans="1:20" x14ac:dyDescent="0.25">
      <c r="A29" s="7">
        <v>26</v>
      </c>
      <c r="D29" s="9" t="s">
        <v>138</v>
      </c>
      <c r="E29" s="10"/>
      <c r="F29" s="10"/>
      <c r="G29" s="11"/>
      <c r="H29" s="12">
        <v>0</v>
      </c>
      <c r="I29" s="7" t="s">
        <v>2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4">
        <f t="shared" si="0"/>
        <v>0</v>
      </c>
      <c r="Q29" s="1"/>
      <c r="R29" s="44">
        <v>20</v>
      </c>
      <c r="S29" s="47">
        <v>50</v>
      </c>
      <c r="T29" s="4"/>
    </row>
    <row r="30" spans="1:20" x14ac:dyDescent="0.25">
      <c r="A30" s="7">
        <v>27</v>
      </c>
      <c r="D30" s="16" t="s">
        <v>35</v>
      </c>
      <c r="E30" s="17"/>
      <c r="F30" s="17"/>
      <c r="G30" s="18"/>
      <c r="H30" s="12">
        <v>178</v>
      </c>
      <c r="I30" s="7" t="s">
        <v>2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4">
        <f t="shared" si="0"/>
        <v>178</v>
      </c>
      <c r="Q30" s="1" t="s">
        <v>14</v>
      </c>
      <c r="R30" s="44">
        <v>50</v>
      </c>
      <c r="S30" s="47">
        <v>100</v>
      </c>
      <c r="T30" s="4"/>
    </row>
    <row r="31" spans="1:20" x14ac:dyDescent="0.25">
      <c r="A31" s="7">
        <v>28</v>
      </c>
      <c r="D31" s="9" t="s">
        <v>36</v>
      </c>
      <c r="E31" s="10"/>
      <c r="F31" s="10"/>
      <c r="G31" s="11"/>
      <c r="H31" s="12">
        <v>20</v>
      </c>
      <c r="I31" s="7" t="s">
        <v>2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4">
        <f t="shared" si="0"/>
        <v>20</v>
      </c>
      <c r="Q31" s="1" t="s">
        <v>14</v>
      </c>
      <c r="R31" s="44">
        <v>50</v>
      </c>
      <c r="S31" s="47">
        <v>100</v>
      </c>
      <c r="T31" s="4"/>
    </row>
    <row r="32" spans="1:20" x14ac:dyDescent="0.25">
      <c r="A32" s="7">
        <v>29</v>
      </c>
      <c r="D32" s="16" t="s">
        <v>37</v>
      </c>
      <c r="E32" s="17"/>
      <c r="F32" s="17"/>
      <c r="G32" s="18"/>
      <c r="H32" s="12">
        <v>149</v>
      </c>
      <c r="I32" s="7" t="s">
        <v>2</v>
      </c>
      <c r="J32" s="3">
        <v>0</v>
      </c>
      <c r="K32" s="3">
        <v>0</v>
      </c>
      <c r="L32" s="3">
        <v>0</v>
      </c>
      <c r="M32" s="3">
        <v>1</v>
      </c>
      <c r="N32" s="3">
        <v>0</v>
      </c>
      <c r="O32" s="3">
        <v>0</v>
      </c>
      <c r="P32" s="4">
        <f t="shared" si="0"/>
        <v>148</v>
      </c>
      <c r="Q32" s="1" t="s">
        <v>14</v>
      </c>
      <c r="R32" s="44">
        <v>20</v>
      </c>
      <c r="S32" s="47">
        <v>50</v>
      </c>
      <c r="T32" s="4"/>
    </row>
    <row r="33" spans="1:20" x14ac:dyDescent="0.25">
      <c r="A33" s="7">
        <v>30</v>
      </c>
      <c r="D33" s="9" t="s">
        <v>38</v>
      </c>
      <c r="E33" s="10"/>
      <c r="F33" s="10"/>
      <c r="G33" s="11"/>
      <c r="H33" s="12">
        <v>37</v>
      </c>
      <c r="I33" s="7" t="s">
        <v>2</v>
      </c>
      <c r="J33" s="3">
        <v>0</v>
      </c>
      <c r="K33" s="3">
        <v>0</v>
      </c>
      <c r="L33" s="3">
        <v>0</v>
      </c>
      <c r="M33" s="3">
        <v>25</v>
      </c>
      <c r="N33" s="3">
        <v>10</v>
      </c>
      <c r="O33" s="3">
        <v>0</v>
      </c>
      <c r="P33" s="4">
        <f t="shared" si="0"/>
        <v>2</v>
      </c>
      <c r="Q33" s="1" t="s">
        <v>14</v>
      </c>
      <c r="R33" s="44">
        <v>50</v>
      </c>
      <c r="S33" s="47">
        <v>100</v>
      </c>
      <c r="T33" s="4"/>
    </row>
    <row r="34" spans="1:20" x14ac:dyDescent="0.25">
      <c r="A34" s="7">
        <v>31</v>
      </c>
      <c r="D34" s="16" t="s">
        <v>39</v>
      </c>
      <c r="E34" s="17"/>
      <c r="F34" s="17"/>
      <c r="G34" s="18"/>
      <c r="H34" s="12">
        <v>39</v>
      </c>
      <c r="I34" s="7" t="s">
        <v>2</v>
      </c>
      <c r="J34" s="3">
        <v>0</v>
      </c>
      <c r="K34" s="3">
        <v>0</v>
      </c>
      <c r="L34" s="3">
        <v>0</v>
      </c>
      <c r="M34" s="3">
        <v>1</v>
      </c>
      <c r="N34" s="3">
        <v>0</v>
      </c>
      <c r="O34" s="3">
        <v>0</v>
      </c>
      <c r="P34" s="4">
        <f t="shared" si="0"/>
        <v>38</v>
      </c>
      <c r="Q34" s="1" t="s">
        <v>14</v>
      </c>
      <c r="R34" s="44">
        <v>20</v>
      </c>
      <c r="S34" s="47">
        <v>50</v>
      </c>
      <c r="T34" s="4"/>
    </row>
    <row r="35" spans="1:20" x14ac:dyDescent="0.25">
      <c r="A35" s="7">
        <v>32</v>
      </c>
      <c r="D35" s="9" t="s">
        <v>40</v>
      </c>
      <c r="E35" s="10"/>
      <c r="F35" s="10"/>
      <c r="G35" s="11"/>
      <c r="H35" s="12">
        <v>1050</v>
      </c>
      <c r="I35" s="7" t="s">
        <v>2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4">
        <f t="shared" si="0"/>
        <v>1050</v>
      </c>
      <c r="Q35" s="1" t="s">
        <v>14</v>
      </c>
      <c r="R35" s="44">
        <v>0</v>
      </c>
      <c r="S35" s="46">
        <v>0</v>
      </c>
      <c r="T35" s="4"/>
    </row>
    <row r="36" spans="1:20" x14ac:dyDescent="0.25">
      <c r="A36" s="7">
        <v>33</v>
      </c>
      <c r="D36" s="9" t="s">
        <v>9</v>
      </c>
      <c r="E36" s="10"/>
      <c r="F36" s="10"/>
      <c r="G36" s="11"/>
      <c r="H36" s="83">
        <v>79</v>
      </c>
      <c r="I36" s="7" t="s">
        <v>132</v>
      </c>
      <c r="J36" s="3">
        <v>0</v>
      </c>
      <c r="K36" s="3">
        <v>0</v>
      </c>
      <c r="L36" s="3">
        <v>0</v>
      </c>
      <c r="M36" s="3">
        <v>0</v>
      </c>
      <c r="N36" s="3">
        <v>15</v>
      </c>
      <c r="O36" s="3">
        <v>0</v>
      </c>
      <c r="P36" s="4">
        <f t="shared" si="0"/>
        <v>64</v>
      </c>
      <c r="Q36" s="1" t="s">
        <v>132</v>
      </c>
      <c r="R36" s="44">
        <v>50</v>
      </c>
      <c r="S36" s="47">
        <v>100</v>
      </c>
      <c r="T36" s="4"/>
    </row>
    <row r="37" spans="1:20" x14ac:dyDescent="0.25">
      <c r="A37" s="7">
        <v>34</v>
      </c>
      <c r="D37" s="19" t="s">
        <v>166</v>
      </c>
      <c r="E37" s="20"/>
      <c r="F37" s="20"/>
      <c r="G37" s="21"/>
      <c r="H37" s="69">
        <v>70</v>
      </c>
      <c r="I37" s="7" t="s">
        <v>2</v>
      </c>
      <c r="J37" s="3">
        <v>0</v>
      </c>
      <c r="K37" s="3">
        <v>0</v>
      </c>
      <c r="L37" s="3">
        <v>0</v>
      </c>
      <c r="M37" s="3">
        <v>8</v>
      </c>
      <c r="N37" s="3">
        <v>0</v>
      </c>
      <c r="O37" s="3">
        <v>0</v>
      </c>
      <c r="P37" s="4">
        <f t="shared" si="0"/>
        <v>62</v>
      </c>
      <c r="Q37" s="1" t="s">
        <v>14</v>
      </c>
      <c r="R37" s="44">
        <v>50</v>
      </c>
      <c r="S37" s="46">
        <v>100</v>
      </c>
      <c r="T37" s="4"/>
    </row>
    <row r="38" spans="1:20" x14ac:dyDescent="0.25">
      <c r="A38" s="7">
        <v>35</v>
      </c>
      <c r="D38" s="16" t="s">
        <v>143</v>
      </c>
      <c r="E38" s="17"/>
      <c r="F38" s="17"/>
      <c r="G38" s="18"/>
      <c r="H38" s="12">
        <v>76</v>
      </c>
      <c r="I38" s="7" t="s">
        <v>2</v>
      </c>
      <c r="J38" s="3">
        <v>0</v>
      </c>
      <c r="K38" s="3">
        <v>0</v>
      </c>
      <c r="L38" s="3">
        <v>0</v>
      </c>
      <c r="M38" s="3">
        <v>8</v>
      </c>
      <c r="N38" s="3">
        <v>15</v>
      </c>
      <c r="O38" s="3">
        <v>0</v>
      </c>
      <c r="P38" s="4">
        <f t="shared" si="0"/>
        <v>53</v>
      </c>
      <c r="Q38" s="1" t="s">
        <v>14</v>
      </c>
      <c r="R38" s="44">
        <v>50</v>
      </c>
      <c r="S38" s="46">
        <v>100</v>
      </c>
      <c r="T38" s="4"/>
    </row>
    <row r="39" spans="1:20" x14ac:dyDescent="0.25">
      <c r="A39" s="7">
        <v>36</v>
      </c>
      <c r="D39" s="9" t="s">
        <v>144</v>
      </c>
      <c r="E39" s="10"/>
      <c r="F39" s="10"/>
      <c r="G39" s="11"/>
      <c r="H39" s="12">
        <v>73</v>
      </c>
      <c r="I39" s="7" t="s">
        <v>2</v>
      </c>
      <c r="J39" s="3">
        <v>0</v>
      </c>
      <c r="K39" s="3">
        <v>0</v>
      </c>
      <c r="L39" s="3">
        <v>0</v>
      </c>
      <c r="M39" s="3">
        <v>8</v>
      </c>
      <c r="N39" s="3">
        <v>15</v>
      </c>
      <c r="O39" s="3">
        <v>0</v>
      </c>
      <c r="P39" s="4">
        <f t="shared" si="0"/>
        <v>50</v>
      </c>
      <c r="Q39" s="1" t="s">
        <v>14</v>
      </c>
      <c r="R39" s="44">
        <v>50</v>
      </c>
      <c r="S39" s="47">
        <v>100</v>
      </c>
      <c r="T39" s="4"/>
    </row>
    <row r="40" spans="1:20" x14ac:dyDescent="0.25">
      <c r="A40" s="7">
        <v>37</v>
      </c>
      <c r="D40" s="16" t="s">
        <v>42</v>
      </c>
      <c r="E40" s="17"/>
      <c r="F40" s="17"/>
      <c r="G40" s="18"/>
      <c r="H40" s="12">
        <v>76</v>
      </c>
      <c r="I40" s="7" t="s">
        <v>2</v>
      </c>
      <c r="J40" s="3">
        <v>0</v>
      </c>
      <c r="K40" s="3">
        <v>0</v>
      </c>
      <c r="L40" s="3">
        <v>0</v>
      </c>
      <c r="M40" s="3">
        <v>8</v>
      </c>
      <c r="N40" s="3">
        <v>15</v>
      </c>
      <c r="O40" s="3">
        <v>0</v>
      </c>
      <c r="P40" s="4">
        <f t="shared" si="0"/>
        <v>53</v>
      </c>
      <c r="Q40" s="1" t="s">
        <v>14</v>
      </c>
      <c r="R40" s="44">
        <v>50</v>
      </c>
      <c r="S40" s="47">
        <v>100</v>
      </c>
      <c r="T40" s="4"/>
    </row>
    <row r="41" spans="1:20" x14ac:dyDescent="0.25">
      <c r="A41" s="7">
        <v>38</v>
      </c>
      <c r="D41" s="9" t="s">
        <v>133</v>
      </c>
      <c r="E41" s="10"/>
      <c r="F41" s="10"/>
      <c r="G41" s="11"/>
      <c r="H41" s="12">
        <v>52</v>
      </c>
      <c r="I41" s="7" t="s">
        <v>2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4">
        <f t="shared" si="0"/>
        <v>52</v>
      </c>
      <c r="Q41" s="1" t="s">
        <v>14</v>
      </c>
      <c r="R41" s="44">
        <v>50</v>
      </c>
      <c r="S41" s="47">
        <v>100</v>
      </c>
      <c r="T41" s="4"/>
    </row>
    <row r="42" spans="1:20" x14ac:dyDescent="0.25">
      <c r="A42" s="7">
        <v>39</v>
      </c>
      <c r="D42" s="16" t="s">
        <v>145</v>
      </c>
      <c r="E42" s="17"/>
      <c r="F42" s="17"/>
      <c r="G42" s="18"/>
      <c r="H42" s="12">
        <v>52</v>
      </c>
      <c r="I42" s="7" t="s">
        <v>2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4">
        <f t="shared" si="0"/>
        <v>52</v>
      </c>
      <c r="Q42" s="1" t="s">
        <v>14</v>
      </c>
      <c r="R42" s="44">
        <v>50</v>
      </c>
      <c r="S42" s="46">
        <v>100</v>
      </c>
      <c r="T42" s="4"/>
    </row>
    <row r="43" spans="1:20" x14ac:dyDescent="0.25">
      <c r="A43" s="7">
        <v>40</v>
      </c>
      <c r="D43" s="9" t="s">
        <v>190</v>
      </c>
      <c r="E43" s="10"/>
      <c r="F43" s="10" t="s">
        <v>14</v>
      </c>
      <c r="G43" s="11" t="s">
        <v>14</v>
      </c>
      <c r="H43" s="12">
        <v>20</v>
      </c>
      <c r="I43" s="7" t="s">
        <v>75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4">
        <f t="shared" si="0"/>
        <v>20</v>
      </c>
      <c r="Q43" s="1" t="s">
        <v>75</v>
      </c>
      <c r="R43" s="44">
        <v>50</v>
      </c>
      <c r="S43" s="47">
        <v>200</v>
      </c>
      <c r="T43" s="4"/>
    </row>
    <row r="44" spans="1:20" x14ac:dyDescent="0.25">
      <c r="A44" s="7">
        <v>41</v>
      </c>
      <c r="D44" s="16" t="s">
        <v>10</v>
      </c>
      <c r="E44" s="17"/>
      <c r="F44" s="17"/>
      <c r="G44" s="18"/>
      <c r="H44" s="12">
        <v>8</v>
      </c>
      <c r="I44" s="7" t="s">
        <v>2</v>
      </c>
      <c r="J44" s="3">
        <v>0</v>
      </c>
      <c r="K44" s="3">
        <v>0</v>
      </c>
      <c r="L44" s="3">
        <v>0</v>
      </c>
      <c r="M44" s="3">
        <v>2</v>
      </c>
      <c r="N44" s="3">
        <v>0</v>
      </c>
      <c r="O44" s="3">
        <v>0</v>
      </c>
      <c r="P44" s="4">
        <f t="shared" si="0"/>
        <v>6</v>
      </c>
      <c r="Q44" s="1" t="s">
        <v>132</v>
      </c>
      <c r="R44" s="44">
        <v>20</v>
      </c>
      <c r="S44" s="47">
        <v>50</v>
      </c>
      <c r="T44" s="4"/>
    </row>
    <row r="45" spans="1:20" x14ac:dyDescent="0.25">
      <c r="A45" s="7">
        <v>42</v>
      </c>
      <c r="D45" s="9" t="s">
        <v>45</v>
      </c>
      <c r="E45" s="10"/>
      <c r="F45" s="10"/>
      <c r="G45" s="11"/>
      <c r="H45" s="12">
        <v>19</v>
      </c>
      <c r="I45" s="7" t="s">
        <v>2</v>
      </c>
      <c r="J45" s="3">
        <v>0</v>
      </c>
      <c r="K45" s="3">
        <v>0</v>
      </c>
      <c r="L45" s="3">
        <v>0</v>
      </c>
      <c r="M45" s="3">
        <v>2</v>
      </c>
      <c r="N45" s="3">
        <v>0</v>
      </c>
      <c r="O45" s="3">
        <v>0</v>
      </c>
      <c r="P45" s="4">
        <f t="shared" si="0"/>
        <v>17</v>
      </c>
      <c r="Q45" s="1" t="s">
        <v>14</v>
      </c>
      <c r="R45" s="44">
        <v>20</v>
      </c>
      <c r="S45" s="47">
        <v>50</v>
      </c>
      <c r="T45" s="4"/>
    </row>
    <row r="46" spans="1:20" x14ac:dyDescent="0.25">
      <c r="A46" s="7">
        <v>43</v>
      </c>
      <c r="D46" s="16" t="s">
        <v>46</v>
      </c>
      <c r="E46" s="17"/>
      <c r="F46" s="17"/>
      <c r="G46" s="18"/>
      <c r="H46" s="12">
        <v>20</v>
      </c>
      <c r="I46" s="7" t="s">
        <v>2</v>
      </c>
      <c r="J46" s="3">
        <v>0</v>
      </c>
      <c r="K46" s="3">
        <v>0</v>
      </c>
      <c r="L46" s="3">
        <v>0</v>
      </c>
      <c r="M46" s="3">
        <v>2</v>
      </c>
      <c r="N46" s="3">
        <v>0</v>
      </c>
      <c r="O46" s="3">
        <v>0</v>
      </c>
      <c r="P46" s="4">
        <f t="shared" si="0"/>
        <v>18</v>
      </c>
      <c r="Q46" s="1" t="s">
        <v>14</v>
      </c>
      <c r="R46" s="44">
        <v>20</v>
      </c>
      <c r="S46" s="47">
        <v>50</v>
      </c>
      <c r="T46" s="4"/>
    </row>
    <row r="47" spans="1:20" x14ac:dyDescent="0.25">
      <c r="A47" s="7">
        <v>44</v>
      </c>
      <c r="D47" s="9" t="s">
        <v>47</v>
      </c>
      <c r="E47" s="10"/>
      <c r="F47" s="10"/>
      <c r="G47" s="11" t="s">
        <v>14</v>
      </c>
      <c r="H47" s="12">
        <v>16</v>
      </c>
      <c r="I47" s="7" t="s">
        <v>2</v>
      </c>
      <c r="J47" s="3">
        <v>0</v>
      </c>
      <c r="K47" s="3">
        <v>0</v>
      </c>
      <c r="L47" s="3">
        <v>0</v>
      </c>
      <c r="M47" s="3">
        <v>2</v>
      </c>
      <c r="N47" s="3">
        <v>0</v>
      </c>
      <c r="O47" s="3">
        <v>0</v>
      </c>
      <c r="P47" s="4">
        <f t="shared" si="0"/>
        <v>14</v>
      </c>
      <c r="Q47" s="1" t="s">
        <v>14</v>
      </c>
      <c r="R47" s="44">
        <v>20</v>
      </c>
      <c r="S47" s="47">
        <v>50</v>
      </c>
      <c r="T47" s="4"/>
    </row>
    <row r="48" spans="1:20" x14ac:dyDescent="0.25">
      <c r="A48" s="7">
        <v>45</v>
      </c>
      <c r="D48" s="16" t="s">
        <v>175</v>
      </c>
      <c r="E48" s="17"/>
      <c r="F48" s="17"/>
      <c r="G48" s="18"/>
      <c r="H48" s="12">
        <v>600</v>
      </c>
      <c r="I48" s="7" t="s">
        <v>2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4">
        <f t="shared" si="0"/>
        <v>600</v>
      </c>
      <c r="Q48" s="1" t="s">
        <v>14</v>
      </c>
      <c r="R48" s="44">
        <v>500</v>
      </c>
      <c r="S48" s="47">
        <v>2000</v>
      </c>
      <c r="T48" s="4"/>
    </row>
    <row r="49" spans="1:20" x14ac:dyDescent="0.25">
      <c r="A49" s="7">
        <v>46</v>
      </c>
      <c r="D49" s="9" t="s">
        <v>48</v>
      </c>
      <c r="E49" s="10"/>
      <c r="F49" s="10"/>
      <c r="G49" s="11"/>
      <c r="H49" s="12">
        <v>20</v>
      </c>
      <c r="I49" s="7" t="s">
        <v>2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4">
        <f t="shared" si="0"/>
        <v>20</v>
      </c>
      <c r="Q49" s="1" t="s">
        <v>14</v>
      </c>
      <c r="R49" s="44">
        <v>10</v>
      </c>
      <c r="S49" s="47">
        <v>20</v>
      </c>
      <c r="T49" s="4" t="s">
        <v>14</v>
      </c>
    </row>
    <row r="50" spans="1:20" x14ac:dyDescent="0.25">
      <c r="A50" s="7">
        <v>47</v>
      </c>
      <c r="D50" s="16" t="s">
        <v>49</v>
      </c>
      <c r="E50" s="17"/>
      <c r="F50" s="17"/>
      <c r="G50" s="18"/>
      <c r="H50" s="12">
        <v>87</v>
      </c>
      <c r="I50" s="7" t="s">
        <v>2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4">
        <f t="shared" si="0"/>
        <v>87</v>
      </c>
      <c r="Q50" s="1" t="s">
        <v>14</v>
      </c>
      <c r="R50" s="44">
        <v>10</v>
      </c>
      <c r="S50" s="47">
        <v>20</v>
      </c>
      <c r="T50" s="4"/>
    </row>
    <row r="51" spans="1:20" x14ac:dyDescent="0.25">
      <c r="A51" s="7">
        <v>48</v>
      </c>
      <c r="D51" s="9" t="s">
        <v>189</v>
      </c>
      <c r="E51" s="10"/>
      <c r="F51" s="10"/>
      <c r="G51" s="11"/>
      <c r="H51" s="12">
        <v>30</v>
      </c>
      <c r="I51" s="7" t="s">
        <v>1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4">
        <f t="shared" si="0"/>
        <v>30</v>
      </c>
      <c r="Q51" s="1" t="s">
        <v>75</v>
      </c>
      <c r="R51" s="44">
        <v>50</v>
      </c>
      <c r="S51" s="47">
        <v>100</v>
      </c>
      <c r="T51" s="4"/>
    </row>
    <row r="52" spans="1:20" x14ac:dyDescent="0.25">
      <c r="A52" s="7">
        <v>49</v>
      </c>
      <c r="D52" s="94" t="s">
        <v>185</v>
      </c>
      <c r="E52" s="91" t="s">
        <v>186</v>
      </c>
      <c r="F52" s="92" t="s">
        <v>187</v>
      </c>
      <c r="G52" s="93"/>
      <c r="H52" s="12">
        <v>97</v>
      </c>
      <c r="I52" s="7" t="s">
        <v>2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4">
        <f t="shared" si="0"/>
        <v>97</v>
      </c>
      <c r="Q52" s="1" t="s">
        <v>14</v>
      </c>
      <c r="R52" s="44">
        <v>20</v>
      </c>
      <c r="S52" s="47">
        <v>50</v>
      </c>
      <c r="T52" s="4"/>
    </row>
    <row r="53" spans="1:20" x14ac:dyDescent="0.25">
      <c r="A53" s="7">
        <v>50</v>
      </c>
      <c r="D53" s="9" t="s">
        <v>51</v>
      </c>
      <c r="E53" s="10"/>
      <c r="F53" s="10"/>
      <c r="G53" s="11"/>
      <c r="H53" s="12">
        <v>85</v>
      </c>
      <c r="I53" s="7" t="s">
        <v>2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4">
        <f t="shared" si="0"/>
        <v>85</v>
      </c>
      <c r="Q53" s="1" t="s">
        <v>14</v>
      </c>
      <c r="R53" s="44">
        <v>20</v>
      </c>
      <c r="S53" s="47">
        <v>50</v>
      </c>
      <c r="T53" s="4"/>
    </row>
    <row r="54" spans="1:20" x14ac:dyDescent="0.25">
      <c r="A54" s="7">
        <v>51</v>
      </c>
      <c r="D54" s="16" t="s">
        <v>52</v>
      </c>
      <c r="E54" s="17"/>
      <c r="F54" s="17"/>
      <c r="G54" s="18"/>
      <c r="H54" s="12">
        <v>101</v>
      </c>
      <c r="I54" s="7" t="s">
        <v>2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  <c r="P54" s="4">
        <f t="shared" si="0"/>
        <v>101</v>
      </c>
      <c r="Q54" s="1" t="s">
        <v>14</v>
      </c>
      <c r="R54" s="44">
        <v>20</v>
      </c>
      <c r="S54" s="47">
        <v>50</v>
      </c>
      <c r="T54" s="4" t="s">
        <v>14</v>
      </c>
    </row>
    <row r="55" spans="1:20" x14ac:dyDescent="0.25">
      <c r="A55" s="7">
        <v>52</v>
      </c>
      <c r="D55" s="9" t="s">
        <v>53</v>
      </c>
      <c r="E55" s="10"/>
      <c r="F55" s="10"/>
      <c r="G55" s="11"/>
      <c r="H55" s="12">
        <v>107</v>
      </c>
      <c r="I55" s="7" t="s">
        <v>2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  <c r="P55" s="4">
        <f t="shared" si="0"/>
        <v>107</v>
      </c>
      <c r="Q55" s="1" t="s">
        <v>14</v>
      </c>
      <c r="R55" s="44">
        <v>20</v>
      </c>
      <c r="S55" s="47">
        <v>50</v>
      </c>
      <c r="T55" s="4"/>
    </row>
    <row r="56" spans="1:20" x14ac:dyDescent="0.25">
      <c r="A56" s="7">
        <v>53</v>
      </c>
      <c r="D56" s="70" t="s">
        <v>191</v>
      </c>
      <c r="E56" s="71"/>
      <c r="F56" s="71"/>
      <c r="G56" s="72"/>
      <c r="H56" s="12">
        <v>595</v>
      </c>
      <c r="I56" s="7" t="s">
        <v>1</v>
      </c>
      <c r="J56" s="3">
        <v>900</v>
      </c>
      <c r="K56" s="3">
        <v>265</v>
      </c>
      <c r="L56" s="3">
        <v>165</v>
      </c>
      <c r="M56" s="3">
        <v>75</v>
      </c>
      <c r="N56" s="3">
        <v>75</v>
      </c>
      <c r="O56" s="3">
        <v>0</v>
      </c>
      <c r="P56" s="4">
        <f t="shared" si="0"/>
        <v>915</v>
      </c>
      <c r="Q56" s="1" t="s">
        <v>120</v>
      </c>
      <c r="R56" s="44">
        <v>300</v>
      </c>
      <c r="S56" s="47">
        <v>750</v>
      </c>
      <c r="T56" s="4"/>
    </row>
    <row r="57" spans="1:20" x14ac:dyDescent="0.25">
      <c r="A57" s="7">
        <v>54</v>
      </c>
      <c r="D57" s="16" t="s">
        <v>61</v>
      </c>
      <c r="E57" s="17"/>
      <c r="F57" s="17"/>
      <c r="G57" s="18"/>
      <c r="H57" s="12">
        <v>145</v>
      </c>
      <c r="I57" s="7" t="s">
        <v>2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  <c r="P57" s="4">
        <f t="shared" si="0"/>
        <v>145</v>
      </c>
      <c r="Q57" s="1" t="s">
        <v>14</v>
      </c>
      <c r="R57" s="44">
        <v>10</v>
      </c>
      <c r="S57" s="46">
        <v>200</v>
      </c>
      <c r="T57" s="4"/>
    </row>
    <row r="58" spans="1:20" x14ac:dyDescent="0.25">
      <c r="A58" s="7">
        <v>55</v>
      </c>
      <c r="D58" s="9" t="s">
        <v>62</v>
      </c>
      <c r="E58" s="10"/>
      <c r="F58" s="10"/>
      <c r="G58" s="11"/>
      <c r="H58" s="12">
        <v>1316</v>
      </c>
      <c r="I58" s="7" t="s">
        <v>2</v>
      </c>
      <c r="J58" s="3">
        <v>0</v>
      </c>
      <c r="K58" s="3">
        <v>0</v>
      </c>
      <c r="L58" s="3">
        <v>15</v>
      </c>
      <c r="M58" s="3">
        <v>182</v>
      </c>
      <c r="N58" s="3">
        <v>76</v>
      </c>
      <c r="O58" s="3">
        <v>0</v>
      </c>
      <c r="P58" s="4">
        <f t="shared" si="0"/>
        <v>1043</v>
      </c>
      <c r="Q58" s="1" t="s">
        <v>14</v>
      </c>
      <c r="R58" s="44">
        <v>500</v>
      </c>
      <c r="S58" s="47">
        <v>1000</v>
      </c>
      <c r="T58" s="4"/>
    </row>
    <row r="59" spans="1:20" x14ac:dyDescent="0.25">
      <c r="A59" s="7">
        <v>56</v>
      </c>
      <c r="D59" s="16" t="s">
        <v>13</v>
      </c>
      <c r="E59" s="17"/>
      <c r="F59" s="17"/>
      <c r="G59" s="18"/>
      <c r="H59" s="12">
        <v>268</v>
      </c>
      <c r="I59" s="7" t="s">
        <v>2</v>
      </c>
      <c r="J59" s="3">
        <v>0</v>
      </c>
      <c r="K59" s="3">
        <v>14</v>
      </c>
      <c r="L59" s="3">
        <v>0</v>
      </c>
      <c r="M59" s="3">
        <v>21</v>
      </c>
      <c r="N59" s="3">
        <v>0</v>
      </c>
      <c r="O59" s="3">
        <v>0</v>
      </c>
      <c r="P59" s="4">
        <f t="shared" si="0"/>
        <v>233</v>
      </c>
      <c r="Q59" s="1" t="s">
        <v>14</v>
      </c>
      <c r="R59" s="44">
        <v>200</v>
      </c>
      <c r="S59" s="47">
        <v>500</v>
      </c>
      <c r="T59" s="4"/>
    </row>
    <row r="60" spans="1:20" x14ac:dyDescent="0.25">
      <c r="A60" s="7">
        <v>57</v>
      </c>
      <c r="D60" s="9" t="s">
        <v>72</v>
      </c>
      <c r="E60" s="10"/>
      <c r="F60" s="10"/>
      <c r="G60" s="11"/>
      <c r="H60" s="12">
        <v>50</v>
      </c>
      <c r="I60" s="7" t="s">
        <v>2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4">
        <f t="shared" si="0"/>
        <v>50</v>
      </c>
      <c r="Q60" s="1" t="s">
        <v>14</v>
      </c>
      <c r="R60" s="44">
        <v>15</v>
      </c>
      <c r="S60" s="47">
        <v>300</v>
      </c>
      <c r="T60" s="4"/>
    </row>
    <row r="61" spans="1:20" x14ac:dyDescent="0.25">
      <c r="A61" s="7">
        <v>58</v>
      </c>
      <c r="D61" s="16" t="s">
        <v>182</v>
      </c>
      <c r="E61" s="17"/>
      <c r="F61" s="17"/>
      <c r="G61" s="18"/>
      <c r="H61" s="12">
        <v>460</v>
      </c>
      <c r="I61" s="7" t="s">
        <v>2</v>
      </c>
      <c r="J61" s="3">
        <v>0</v>
      </c>
      <c r="K61" s="3">
        <v>30</v>
      </c>
      <c r="L61" s="3">
        <v>18</v>
      </c>
      <c r="M61" s="3">
        <v>0</v>
      </c>
      <c r="N61" s="3">
        <v>36</v>
      </c>
      <c r="O61" s="3">
        <v>0</v>
      </c>
      <c r="P61" s="4">
        <f t="shared" si="0"/>
        <v>376</v>
      </c>
      <c r="Q61" s="1" t="s">
        <v>14</v>
      </c>
      <c r="R61" s="44">
        <v>150</v>
      </c>
      <c r="S61" s="47">
        <v>600</v>
      </c>
      <c r="T61" s="4"/>
    </row>
    <row r="62" spans="1:20" x14ac:dyDescent="0.25">
      <c r="A62" s="7">
        <v>59</v>
      </c>
      <c r="D62" s="9" t="s">
        <v>181</v>
      </c>
      <c r="E62" s="10"/>
      <c r="F62" s="10"/>
      <c r="G62" s="11"/>
      <c r="H62" s="12">
        <v>40</v>
      </c>
      <c r="I62" s="7" t="s">
        <v>2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4">
        <f t="shared" si="0"/>
        <v>40</v>
      </c>
      <c r="Q62" s="1" t="s">
        <v>14</v>
      </c>
      <c r="R62" s="44">
        <v>50</v>
      </c>
      <c r="S62" s="47">
        <v>200</v>
      </c>
      <c r="T62" s="4"/>
    </row>
    <row r="63" spans="1:20" x14ac:dyDescent="0.25">
      <c r="A63" s="7">
        <v>60</v>
      </c>
      <c r="D63" s="16" t="s">
        <v>130</v>
      </c>
      <c r="E63" s="17"/>
      <c r="F63" s="17"/>
      <c r="G63" s="18"/>
      <c r="H63" s="12">
        <v>173</v>
      </c>
      <c r="I63" s="7" t="s">
        <v>2</v>
      </c>
      <c r="J63" s="3">
        <v>0</v>
      </c>
      <c r="K63" s="3">
        <v>0</v>
      </c>
      <c r="L63" s="3">
        <v>0</v>
      </c>
      <c r="M63" s="3">
        <v>1</v>
      </c>
      <c r="N63" s="3">
        <v>0</v>
      </c>
      <c r="O63" s="3">
        <v>0</v>
      </c>
      <c r="P63" s="4">
        <f t="shared" si="0"/>
        <v>172</v>
      </c>
      <c r="Q63" s="1" t="s">
        <v>14</v>
      </c>
      <c r="R63" s="44">
        <v>20</v>
      </c>
      <c r="S63" s="46">
        <v>200</v>
      </c>
      <c r="T63" s="4"/>
    </row>
    <row r="64" spans="1:20" x14ac:dyDescent="0.25">
      <c r="A64" s="7">
        <v>61</v>
      </c>
      <c r="D64" s="26" t="s">
        <v>14</v>
      </c>
      <c r="E64" s="27"/>
      <c r="F64" s="27"/>
      <c r="G64" s="28"/>
      <c r="H64" s="12">
        <v>0</v>
      </c>
      <c r="I64" s="30" t="s">
        <v>2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4">
        <f t="shared" si="0"/>
        <v>0</v>
      </c>
      <c r="Q64" s="1" t="s">
        <v>14</v>
      </c>
      <c r="R64" s="44">
        <v>0</v>
      </c>
      <c r="S64" s="47">
        <v>0</v>
      </c>
      <c r="T64" s="4"/>
    </row>
    <row r="65" spans="1:20" x14ac:dyDescent="0.25">
      <c r="A65" s="7">
        <v>62</v>
      </c>
      <c r="D65" s="16" t="s">
        <v>65</v>
      </c>
      <c r="E65" s="17"/>
      <c r="F65" s="17"/>
      <c r="G65" s="18"/>
      <c r="H65" s="12">
        <v>25</v>
      </c>
      <c r="I65" s="7" t="s">
        <v>2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4">
        <f t="shared" si="0"/>
        <v>25</v>
      </c>
      <c r="Q65" s="1" t="s">
        <v>14</v>
      </c>
      <c r="R65" s="44">
        <v>10</v>
      </c>
      <c r="S65" s="46">
        <v>50</v>
      </c>
      <c r="T65" s="4"/>
    </row>
    <row r="66" spans="1:20" x14ac:dyDescent="0.25">
      <c r="A66" s="7">
        <v>63</v>
      </c>
      <c r="D66" s="9" t="s">
        <v>66</v>
      </c>
      <c r="E66" s="10"/>
      <c r="F66" s="10"/>
      <c r="G66" s="11"/>
      <c r="H66" s="12">
        <v>50</v>
      </c>
      <c r="I66" s="7" t="s">
        <v>2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  <c r="P66" s="4">
        <f t="shared" si="0"/>
        <v>50</v>
      </c>
      <c r="Q66" s="1" t="s">
        <v>14</v>
      </c>
      <c r="R66" s="44">
        <v>300</v>
      </c>
      <c r="S66" s="47">
        <v>1000</v>
      </c>
      <c r="T66" s="4"/>
    </row>
    <row r="67" spans="1:20" x14ac:dyDescent="0.25">
      <c r="A67" s="7">
        <v>64</v>
      </c>
      <c r="D67" s="19" t="s">
        <v>165</v>
      </c>
      <c r="E67" s="20"/>
      <c r="F67" s="20"/>
      <c r="G67" s="21"/>
      <c r="H67" s="12">
        <v>50</v>
      </c>
      <c r="I67" s="7" t="s">
        <v>2</v>
      </c>
      <c r="J67" s="3">
        <v>0</v>
      </c>
      <c r="K67" s="3">
        <v>0</v>
      </c>
      <c r="L67" s="3">
        <v>0</v>
      </c>
      <c r="M67" s="3">
        <v>1</v>
      </c>
      <c r="N67" s="3">
        <v>0</v>
      </c>
      <c r="O67" s="3">
        <v>0</v>
      </c>
      <c r="P67" s="4">
        <f t="shared" si="0"/>
        <v>49</v>
      </c>
      <c r="Q67" s="1" t="s">
        <v>14</v>
      </c>
      <c r="R67" s="44">
        <v>50</v>
      </c>
      <c r="S67" s="47">
        <v>150</v>
      </c>
      <c r="T67" s="4"/>
    </row>
    <row r="68" spans="1:20" x14ac:dyDescent="0.25">
      <c r="A68" s="7">
        <v>65</v>
      </c>
      <c r="D68" s="22" t="s">
        <v>74</v>
      </c>
      <c r="E68" s="10"/>
      <c r="F68" s="10"/>
      <c r="G68" s="11"/>
      <c r="H68" s="12">
        <v>140</v>
      </c>
      <c r="I68" s="8" t="s">
        <v>75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4">
        <f t="shared" ref="P68:P89" si="1">+H68+J68-K68-L68-M68-N68-O68</f>
        <v>140</v>
      </c>
      <c r="Q68" s="1">
        <v>22</v>
      </c>
      <c r="R68" s="44">
        <v>65</v>
      </c>
      <c r="S68" s="47">
        <v>150</v>
      </c>
      <c r="T68" s="4"/>
    </row>
    <row r="69" spans="1:20" x14ac:dyDescent="0.25">
      <c r="A69" s="7">
        <v>66</v>
      </c>
      <c r="C69" s="1" t="s">
        <v>14</v>
      </c>
      <c r="D69" s="22" t="s">
        <v>76</v>
      </c>
      <c r="E69" s="10"/>
      <c r="F69" s="10"/>
      <c r="G69" s="11"/>
      <c r="H69" s="12">
        <v>215</v>
      </c>
      <c r="I69" s="8" t="s">
        <v>2</v>
      </c>
      <c r="J69" s="3">
        <v>0</v>
      </c>
      <c r="K69" s="3">
        <v>0</v>
      </c>
      <c r="L69" s="3">
        <v>0</v>
      </c>
      <c r="M69" s="3">
        <v>0</v>
      </c>
      <c r="N69" s="3">
        <v>2</v>
      </c>
      <c r="O69" s="3">
        <v>0</v>
      </c>
      <c r="P69" s="4">
        <f t="shared" si="1"/>
        <v>213</v>
      </c>
      <c r="Q69" s="1" t="s">
        <v>14</v>
      </c>
      <c r="R69" s="44">
        <v>50</v>
      </c>
      <c r="S69" s="47">
        <v>100</v>
      </c>
      <c r="T69" s="4"/>
    </row>
    <row r="70" spans="1:20" x14ac:dyDescent="0.25">
      <c r="A70" s="7">
        <v>67</v>
      </c>
      <c r="D70" s="25" t="s">
        <v>147</v>
      </c>
      <c r="H70" s="12">
        <v>53</v>
      </c>
      <c r="I70" s="30" t="s">
        <v>2</v>
      </c>
      <c r="J70" s="3">
        <v>0</v>
      </c>
      <c r="K70" s="3">
        <v>0</v>
      </c>
      <c r="L70" s="3">
        <v>0</v>
      </c>
      <c r="M70" s="3">
        <v>25</v>
      </c>
      <c r="N70" s="3">
        <v>10</v>
      </c>
      <c r="O70" s="3">
        <v>0</v>
      </c>
      <c r="P70" s="4">
        <f t="shared" si="1"/>
        <v>18</v>
      </c>
      <c r="Q70" s="1" t="s">
        <v>14</v>
      </c>
      <c r="R70" s="44">
        <v>50</v>
      </c>
      <c r="S70" s="47">
        <v>100</v>
      </c>
      <c r="T70" s="4"/>
    </row>
    <row r="71" spans="1:20" x14ac:dyDescent="0.25">
      <c r="A71" s="7">
        <v>68</v>
      </c>
      <c r="D71" s="26" t="s">
        <v>80</v>
      </c>
      <c r="E71" s="27"/>
      <c r="F71" s="27"/>
      <c r="G71" s="28"/>
      <c r="H71" s="12">
        <v>24</v>
      </c>
      <c r="I71" s="8" t="s">
        <v>2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4">
        <f t="shared" si="1"/>
        <v>24</v>
      </c>
      <c r="Q71" s="1" t="s">
        <v>14</v>
      </c>
      <c r="R71" s="44">
        <v>20</v>
      </c>
      <c r="S71" s="46">
        <v>200</v>
      </c>
      <c r="T71" s="4"/>
    </row>
    <row r="72" spans="1:20" x14ac:dyDescent="0.25">
      <c r="A72" s="7">
        <v>69</v>
      </c>
      <c r="D72" s="26" t="s">
        <v>14</v>
      </c>
      <c r="E72" s="27"/>
      <c r="F72" s="27"/>
      <c r="G72" s="28"/>
      <c r="H72" s="12">
        <v>0</v>
      </c>
      <c r="I72" s="8" t="s">
        <v>2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  <c r="P72" s="4">
        <f t="shared" si="1"/>
        <v>0</v>
      </c>
      <c r="Q72" s="1" t="s">
        <v>14</v>
      </c>
      <c r="R72" s="44" t="s">
        <v>14</v>
      </c>
      <c r="S72" s="47" t="s">
        <v>14</v>
      </c>
      <c r="T72" s="4"/>
    </row>
    <row r="73" spans="1:20" x14ac:dyDescent="0.25">
      <c r="A73" s="7">
        <v>70</v>
      </c>
      <c r="D73" s="26" t="s">
        <v>167</v>
      </c>
      <c r="E73" s="27"/>
      <c r="F73" s="27"/>
      <c r="G73" s="28"/>
      <c r="H73" s="12">
        <v>43</v>
      </c>
      <c r="I73" s="8" t="s">
        <v>2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4">
        <f t="shared" si="1"/>
        <v>43</v>
      </c>
      <c r="R73" s="44">
        <v>20</v>
      </c>
      <c r="S73" s="46">
        <v>200</v>
      </c>
      <c r="T73" s="4"/>
    </row>
    <row r="74" spans="1:20" x14ac:dyDescent="0.25">
      <c r="A74" s="7">
        <v>71</v>
      </c>
      <c r="D74" s="37" t="s">
        <v>176</v>
      </c>
      <c r="E74" s="17"/>
      <c r="F74" s="33"/>
      <c r="G74" s="33"/>
      <c r="H74" s="12">
        <v>1960</v>
      </c>
      <c r="I74" s="8" t="s">
        <v>2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4">
        <f t="shared" si="1"/>
        <v>1960</v>
      </c>
      <c r="Q74" s="1" t="s">
        <v>14</v>
      </c>
      <c r="R74" s="44">
        <v>100</v>
      </c>
      <c r="S74" s="47">
        <v>500</v>
      </c>
      <c r="T74" s="4"/>
    </row>
    <row r="75" spans="1:20" x14ac:dyDescent="0.25">
      <c r="A75" s="7">
        <v>72</v>
      </c>
      <c r="D75" s="22" t="s">
        <v>14</v>
      </c>
      <c r="E75" s="10"/>
      <c r="F75" s="10"/>
      <c r="G75" s="28"/>
      <c r="H75" s="12">
        <v>0</v>
      </c>
      <c r="I75" s="8" t="s">
        <v>2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4">
        <f t="shared" si="1"/>
        <v>0</v>
      </c>
      <c r="R75" s="44">
        <v>0</v>
      </c>
      <c r="S75" s="46"/>
      <c r="T75" s="4"/>
    </row>
    <row r="76" spans="1:20" x14ac:dyDescent="0.25">
      <c r="A76" s="7">
        <v>73</v>
      </c>
      <c r="D76" s="37" t="s">
        <v>113</v>
      </c>
      <c r="E76" s="17"/>
      <c r="F76" s="17"/>
      <c r="G76" s="33"/>
      <c r="H76" s="12">
        <v>1100</v>
      </c>
      <c r="I76" s="8" t="s">
        <v>97</v>
      </c>
      <c r="J76" s="3">
        <v>0</v>
      </c>
      <c r="K76" s="3">
        <v>55</v>
      </c>
      <c r="L76" s="3">
        <v>50</v>
      </c>
      <c r="M76" s="3">
        <v>58</v>
      </c>
      <c r="N76" s="3">
        <v>51</v>
      </c>
      <c r="O76" s="3">
        <v>0</v>
      </c>
      <c r="P76" s="4">
        <f t="shared" si="1"/>
        <v>886</v>
      </c>
      <c r="Q76" s="65" t="s">
        <v>121</v>
      </c>
      <c r="R76" s="44">
        <v>300</v>
      </c>
      <c r="S76" s="47">
        <v>1000</v>
      </c>
      <c r="T76" s="4"/>
    </row>
    <row r="77" spans="1:20" x14ac:dyDescent="0.25">
      <c r="A77" s="7">
        <v>74</v>
      </c>
      <c r="D77" s="22" t="s">
        <v>103</v>
      </c>
      <c r="E77" s="10"/>
      <c r="F77" s="10"/>
      <c r="G77" s="28"/>
      <c r="H77" s="12">
        <v>38</v>
      </c>
      <c r="I77" s="8" t="s">
        <v>132</v>
      </c>
      <c r="J77" s="3">
        <v>100</v>
      </c>
      <c r="K77" s="3">
        <v>20</v>
      </c>
      <c r="L77" s="3">
        <v>0</v>
      </c>
      <c r="M77" s="3">
        <v>0</v>
      </c>
      <c r="N77" s="3">
        <v>0</v>
      </c>
      <c r="O77" s="3">
        <v>0</v>
      </c>
      <c r="P77" s="4">
        <f t="shared" si="1"/>
        <v>118</v>
      </c>
      <c r="R77" s="44">
        <v>60</v>
      </c>
      <c r="S77" s="47">
        <v>100</v>
      </c>
      <c r="T77" s="4"/>
    </row>
    <row r="78" spans="1:20" x14ac:dyDescent="0.25">
      <c r="A78" s="8">
        <v>75</v>
      </c>
      <c r="D78" s="49" t="s">
        <v>108</v>
      </c>
      <c r="E78" s="20"/>
      <c r="F78" s="20"/>
      <c r="G78" s="20"/>
      <c r="H78" s="12">
        <v>9500</v>
      </c>
      <c r="I78" s="8" t="s">
        <v>110</v>
      </c>
      <c r="J78" s="3">
        <v>2000</v>
      </c>
      <c r="K78" s="3">
        <v>1000</v>
      </c>
      <c r="L78" s="3">
        <v>3500</v>
      </c>
      <c r="M78" s="3">
        <v>0</v>
      </c>
      <c r="N78" s="3">
        <v>1700</v>
      </c>
      <c r="O78" s="3">
        <v>0</v>
      </c>
      <c r="P78" s="99">
        <f t="shared" si="1"/>
        <v>5300</v>
      </c>
      <c r="R78" s="95">
        <v>10000</v>
      </c>
      <c r="S78" s="96">
        <v>30000</v>
      </c>
      <c r="T78" s="4"/>
    </row>
    <row r="79" spans="1:20" x14ac:dyDescent="0.25">
      <c r="A79" s="48">
        <v>76</v>
      </c>
      <c r="B79" s="41"/>
      <c r="C79" s="41"/>
      <c r="D79" s="22" t="s">
        <v>115</v>
      </c>
      <c r="E79" s="10"/>
      <c r="F79" s="10"/>
      <c r="G79" s="11"/>
      <c r="H79" s="12">
        <v>48</v>
      </c>
      <c r="I79" s="62" t="s">
        <v>2</v>
      </c>
      <c r="J79" s="3">
        <v>0</v>
      </c>
      <c r="K79" s="3">
        <v>0</v>
      </c>
      <c r="L79" s="3">
        <v>0</v>
      </c>
      <c r="M79" s="3">
        <v>25</v>
      </c>
      <c r="N79" s="3">
        <v>10</v>
      </c>
      <c r="O79" s="3">
        <v>0</v>
      </c>
      <c r="P79" s="64">
        <f t="shared" si="1"/>
        <v>13</v>
      </c>
      <c r="R79" s="64">
        <v>50</v>
      </c>
      <c r="S79" s="64">
        <v>100</v>
      </c>
      <c r="T79" s="4" t="s">
        <v>14</v>
      </c>
    </row>
    <row r="80" spans="1:20" x14ac:dyDescent="0.25">
      <c r="A80" s="73">
        <v>77</v>
      </c>
      <c r="B80" s="41"/>
      <c r="C80" s="41"/>
      <c r="D80" s="49" t="s">
        <v>134</v>
      </c>
      <c r="E80" s="35"/>
      <c r="F80" s="35"/>
      <c r="G80" s="60"/>
      <c r="H80" s="12">
        <v>115</v>
      </c>
      <c r="I80" s="8" t="s">
        <v>2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  <c r="P80" s="4">
        <f t="shared" si="1"/>
        <v>115</v>
      </c>
      <c r="Q80" s="4"/>
      <c r="R80" s="4">
        <v>20</v>
      </c>
      <c r="S80" s="4">
        <v>50</v>
      </c>
      <c r="T80" s="4"/>
    </row>
    <row r="81" spans="1:20" x14ac:dyDescent="0.25">
      <c r="A81" s="8">
        <v>78</v>
      </c>
      <c r="D81" s="22" t="s">
        <v>123</v>
      </c>
      <c r="E81" s="10"/>
      <c r="F81" s="10"/>
      <c r="G81" s="11"/>
      <c r="H81" s="12">
        <v>500</v>
      </c>
      <c r="I81" s="8" t="s">
        <v>2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  <c r="P81" s="4">
        <f t="shared" si="1"/>
        <v>500</v>
      </c>
      <c r="Q81" s="4"/>
      <c r="R81" s="4">
        <v>500</v>
      </c>
      <c r="S81" s="4">
        <v>2500</v>
      </c>
      <c r="T81" s="4"/>
    </row>
    <row r="82" spans="1:20" x14ac:dyDescent="0.25">
      <c r="A82" s="48">
        <v>79</v>
      </c>
      <c r="B82" s="41"/>
      <c r="C82" s="41"/>
      <c r="D82" s="22" t="s">
        <v>177</v>
      </c>
      <c r="E82" s="10"/>
      <c r="F82" s="10"/>
      <c r="G82" s="11"/>
      <c r="H82" s="4">
        <v>400</v>
      </c>
      <c r="I82" s="8" t="s">
        <v>110</v>
      </c>
      <c r="J82" s="3">
        <v>0</v>
      </c>
      <c r="K82" s="3">
        <v>0</v>
      </c>
      <c r="L82" s="3">
        <v>0</v>
      </c>
      <c r="M82" s="3">
        <v>0</v>
      </c>
      <c r="N82" s="3">
        <v>100</v>
      </c>
      <c r="O82" s="3">
        <v>0</v>
      </c>
      <c r="P82" s="4">
        <f t="shared" si="1"/>
        <v>300</v>
      </c>
      <c r="Q82" s="4" t="s">
        <v>110</v>
      </c>
      <c r="R82" s="4">
        <v>250</v>
      </c>
      <c r="S82" s="4">
        <v>2000</v>
      </c>
      <c r="T82" s="4"/>
    </row>
    <row r="83" spans="1:20" x14ac:dyDescent="0.25">
      <c r="A83" s="48">
        <v>80</v>
      </c>
      <c r="B83" s="41"/>
      <c r="C83" s="41"/>
      <c r="D83" s="37" t="s">
        <v>178</v>
      </c>
      <c r="E83" s="17"/>
      <c r="F83" s="17"/>
      <c r="G83" s="18"/>
      <c r="H83" s="64">
        <v>3500</v>
      </c>
      <c r="I83" s="62" t="s">
        <v>110</v>
      </c>
      <c r="J83" s="3">
        <v>0</v>
      </c>
      <c r="K83" s="3">
        <v>0</v>
      </c>
      <c r="L83" s="3">
        <v>0</v>
      </c>
      <c r="M83" s="3">
        <v>0</v>
      </c>
      <c r="N83" s="3">
        <v>500</v>
      </c>
      <c r="O83" s="3">
        <v>0</v>
      </c>
      <c r="P83" s="64">
        <f t="shared" si="1"/>
        <v>3000</v>
      </c>
      <c r="Q83" s="64" t="s">
        <v>110</v>
      </c>
      <c r="R83" s="64">
        <v>3000</v>
      </c>
      <c r="S83" s="64">
        <v>10000</v>
      </c>
      <c r="T83" s="4"/>
    </row>
    <row r="84" spans="1:20" x14ac:dyDescent="0.25">
      <c r="A84" s="48">
        <v>81</v>
      </c>
      <c r="B84" s="11"/>
      <c r="C84" s="23"/>
      <c r="D84" s="68" t="s">
        <v>192</v>
      </c>
      <c r="E84" s="27"/>
      <c r="F84" s="27"/>
      <c r="G84" s="28"/>
      <c r="H84" s="74">
        <v>300</v>
      </c>
      <c r="I84" s="75" t="s">
        <v>110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4">
        <f t="shared" si="1"/>
        <v>300</v>
      </c>
      <c r="Q84" s="4"/>
      <c r="R84" s="4">
        <v>10</v>
      </c>
      <c r="S84" s="4">
        <v>50</v>
      </c>
      <c r="T84" s="4"/>
    </row>
    <row r="85" spans="1:20" x14ac:dyDescent="0.25">
      <c r="A85" s="8">
        <v>82</v>
      </c>
      <c r="D85" s="68" t="s">
        <v>148</v>
      </c>
      <c r="E85" s="27"/>
      <c r="F85" s="27"/>
      <c r="G85" s="28"/>
      <c r="H85" s="4">
        <v>0</v>
      </c>
      <c r="I85" s="8" t="s">
        <v>2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4">
        <f t="shared" si="1"/>
        <v>0</v>
      </c>
      <c r="Q85" s="4"/>
      <c r="R85" s="4">
        <v>50</v>
      </c>
      <c r="S85" s="4">
        <v>200</v>
      </c>
      <c r="T85" s="4"/>
    </row>
    <row r="86" spans="1:20" ht="15.75" customHeight="1" x14ac:dyDescent="0.25">
      <c r="A86" s="8">
        <v>83</v>
      </c>
      <c r="D86" s="79" t="s">
        <v>150</v>
      </c>
      <c r="E86" s="80"/>
      <c r="F86" s="81"/>
      <c r="G86" s="82"/>
      <c r="H86" s="4">
        <v>298</v>
      </c>
      <c r="I86" s="8" t="s">
        <v>2</v>
      </c>
      <c r="J86" s="3">
        <v>0</v>
      </c>
      <c r="K86" s="3">
        <v>4</v>
      </c>
      <c r="L86" s="3">
        <v>43</v>
      </c>
      <c r="M86" s="3">
        <v>35</v>
      </c>
      <c r="N86" s="3">
        <v>19</v>
      </c>
      <c r="O86" s="3">
        <v>0</v>
      </c>
      <c r="P86" s="4">
        <f t="shared" si="1"/>
        <v>197</v>
      </c>
      <c r="Q86" s="4"/>
      <c r="R86" s="4">
        <v>100</v>
      </c>
      <c r="S86" s="4">
        <v>500</v>
      </c>
      <c r="T86" s="4"/>
    </row>
    <row r="87" spans="1:20" x14ac:dyDescent="0.25">
      <c r="A87" s="8">
        <v>84</v>
      </c>
      <c r="D87" s="22" t="s">
        <v>183</v>
      </c>
      <c r="E87" s="10"/>
      <c r="F87" s="10"/>
      <c r="G87" s="11"/>
      <c r="H87" s="23">
        <v>600</v>
      </c>
      <c r="I87" s="8" t="s">
        <v>2</v>
      </c>
      <c r="J87" s="3">
        <v>0</v>
      </c>
      <c r="K87" s="3">
        <v>0</v>
      </c>
      <c r="L87" s="3">
        <v>0</v>
      </c>
      <c r="M87" s="3">
        <v>1</v>
      </c>
      <c r="N87" s="3">
        <v>2</v>
      </c>
      <c r="O87" s="3">
        <v>0</v>
      </c>
      <c r="P87" s="4">
        <f t="shared" si="1"/>
        <v>597</v>
      </c>
      <c r="Q87" s="4"/>
      <c r="R87" s="4">
        <v>20</v>
      </c>
      <c r="S87" s="4">
        <v>300</v>
      </c>
      <c r="T87" s="4"/>
    </row>
    <row r="88" spans="1:20" x14ac:dyDescent="0.25">
      <c r="A88" s="8">
        <v>85</v>
      </c>
      <c r="D88" s="49" t="s">
        <v>153</v>
      </c>
      <c r="E88" s="20"/>
      <c r="F88" s="20"/>
      <c r="G88" s="21"/>
      <c r="H88" s="23">
        <v>8</v>
      </c>
      <c r="I88" s="8" t="s">
        <v>2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4">
        <f t="shared" si="1"/>
        <v>8</v>
      </c>
      <c r="Q88" s="4"/>
      <c r="R88" s="4">
        <v>10</v>
      </c>
      <c r="S88" s="4">
        <v>200</v>
      </c>
      <c r="T88" s="4"/>
    </row>
    <row r="89" spans="1:20" x14ac:dyDescent="0.25">
      <c r="A89" s="77">
        <v>86</v>
      </c>
      <c r="D89" s="68" t="s">
        <v>14</v>
      </c>
      <c r="E89" s="27"/>
      <c r="F89" s="27"/>
      <c r="G89" s="28"/>
      <c r="H89" s="74">
        <v>0</v>
      </c>
      <c r="I89" s="75" t="s">
        <v>14</v>
      </c>
      <c r="J89" s="3">
        <v>0</v>
      </c>
      <c r="K89" s="3">
        <v>0</v>
      </c>
      <c r="L89" s="3">
        <v>0</v>
      </c>
      <c r="M89" s="3">
        <v>0</v>
      </c>
      <c r="N89" s="3">
        <v>0</v>
      </c>
      <c r="O89" s="3">
        <v>0</v>
      </c>
      <c r="P89" s="4">
        <f t="shared" si="1"/>
        <v>0</v>
      </c>
      <c r="Q89" s="4"/>
      <c r="R89" s="4" t="s">
        <v>14</v>
      </c>
      <c r="S89" s="4" t="s">
        <v>14</v>
      </c>
      <c r="T89" s="4"/>
    </row>
  </sheetData>
  <pageMargins left="0.75" right="0.75" top="1" bottom="1" header="0.5" footer="0.5"/>
  <pageSetup paperSize="9" orientation="portrait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68CF52-097A-402F-833E-7ACD56FCE18E}">
  <dimension ref="A1:T89"/>
  <sheetViews>
    <sheetView topLeftCell="A47" workbookViewId="0">
      <selection activeCell="N58" sqref="N58"/>
    </sheetView>
  </sheetViews>
  <sheetFormatPr defaultRowHeight="15" x14ac:dyDescent="0.25"/>
  <cols>
    <col min="1" max="1" width="5.5703125" customWidth="1"/>
    <col min="2" max="3" width="9.140625" hidden="1" customWidth="1"/>
    <col min="6" max="6" width="12.7109375" customWidth="1"/>
    <col min="8" max="8" width="10.140625" customWidth="1"/>
    <col min="9" max="9" width="10" customWidth="1"/>
    <col min="10" max="10" width="7.7109375" customWidth="1"/>
    <col min="11" max="11" width="10.7109375" customWidth="1"/>
    <col min="12" max="12" width="10.140625" customWidth="1"/>
    <col min="13" max="13" width="11.85546875" customWidth="1"/>
    <col min="14" max="15" width="11.7109375" customWidth="1"/>
    <col min="16" max="16" width="10.140625" customWidth="1"/>
    <col min="17" max="17" width="4.7109375" customWidth="1"/>
    <col min="18" max="18" width="10.140625" customWidth="1"/>
    <col min="19" max="19" width="11.5703125" customWidth="1"/>
    <col min="20" max="20" width="0.28515625" customWidth="1"/>
  </cols>
  <sheetData>
    <row r="1" spans="1:20" x14ac:dyDescent="0.25">
      <c r="G1" s="1"/>
      <c r="P1">
        <f>+H1+J1-K1-L1-M1-N1-O1</f>
        <v>0</v>
      </c>
    </row>
    <row r="2" spans="1:20" x14ac:dyDescent="0.25">
      <c r="A2" t="s">
        <v>14</v>
      </c>
      <c r="D2" s="78" t="s">
        <v>193</v>
      </c>
      <c r="O2" s="38" t="s">
        <v>14</v>
      </c>
      <c r="S2" s="50">
        <v>45656</v>
      </c>
    </row>
    <row r="3" spans="1:20" x14ac:dyDescent="0.25">
      <c r="A3" s="3" t="s">
        <v>15</v>
      </c>
      <c r="D3" s="9" t="s">
        <v>17</v>
      </c>
      <c r="E3" s="10"/>
      <c r="F3" s="10"/>
      <c r="G3" s="11"/>
      <c r="H3" s="12" t="s">
        <v>18</v>
      </c>
      <c r="I3" s="4" t="s">
        <v>19</v>
      </c>
      <c r="J3" s="3" t="s">
        <v>20</v>
      </c>
      <c r="K3" s="5">
        <v>45814</v>
      </c>
      <c r="L3" s="6">
        <v>45821</v>
      </c>
      <c r="M3" s="5">
        <v>45828</v>
      </c>
      <c r="N3" s="5">
        <v>45835</v>
      </c>
      <c r="O3" s="6">
        <v>45838</v>
      </c>
      <c r="P3" s="3" t="s">
        <v>21</v>
      </c>
      <c r="R3" s="42" t="s">
        <v>105</v>
      </c>
      <c r="S3" s="45" t="s">
        <v>104</v>
      </c>
      <c r="T3" s="4"/>
    </row>
    <row r="4" spans="1:20" x14ac:dyDescent="0.25">
      <c r="A4" s="7">
        <v>1</v>
      </c>
      <c r="D4" s="13" t="s">
        <v>16</v>
      </c>
      <c r="E4" s="14"/>
      <c r="F4" s="14"/>
      <c r="G4" s="15"/>
      <c r="H4" s="12">
        <v>376</v>
      </c>
      <c r="I4" s="7" t="s">
        <v>1</v>
      </c>
      <c r="J4" s="3">
        <v>0</v>
      </c>
      <c r="K4" s="3">
        <v>0</v>
      </c>
      <c r="L4" s="3">
        <v>23</v>
      </c>
      <c r="M4" s="3">
        <v>23</v>
      </c>
      <c r="N4" s="3">
        <v>23</v>
      </c>
      <c r="O4" s="3">
        <v>0</v>
      </c>
      <c r="P4" s="4">
        <f t="shared" ref="P4:P67" si="0">+H4+J4-K4-L4-M4-N4-O4</f>
        <v>307</v>
      </c>
      <c r="Q4" t="s">
        <v>173</v>
      </c>
      <c r="R4" s="43">
        <v>150</v>
      </c>
      <c r="S4" s="46">
        <v>500</v>
      </c>
      <c r="T4" s="4" t="s">
        <v>14</v>
      </c>
    </row>
    <row r="5" spans="1:20" x14ac:dyDescent="0.25">
      <c r="A5" s="7">
        <v>2</v>
      </c>
      <c r="D5" s="9" t="s">
        <v>14</v>
      </c>
      <c r="E5" s="10"/>
      <c r="F5" s="10"/>
      <c r="G5" s="11"/>
      <c r="H5" s="12">
        <v>0</v>
      </c>
      <c r="I5" s="7" t="s">
        <v>14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4">
        <f t="shared" si="0"/>
        <v>0</v>
      </c>
      <c r="Q5" s="1" t="s">
        <v>14</v>
      </c>
      <c r="R5" s="44">
        <v>0</v>
      </c>
      <c r="S5" s="47">
        <v>0</v>
      </c>
      <c r="T5" s="4"/>
    </row>
    <row r="6" spans="1:20" x14ac:dyDescent="0.25">
      <c r="A6" s="7">
        <v>3</v>
      </c>
      <c r="D6" s="16" t="s">
        <v>23</v>
      </c>
      <c r="E6" s="17"/>
      <c r="F6" s="17"/>
      <c r="G6" s="18"/>
      <c r="H6" s="12">
        <v>34</v>
      </c>
      <c r="I6" s="7" t="s">
        <v>2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4">
        <f t="shared" si="0"/>
        <v>34</v>
      </c>
      <c r="Q6" s="1" t="s">
        <v>14</v>
      </c>
      <c r="R6" s="44">
        <v>6</v>
      </c>
      <c r="S6" s="47">
        <v>10</v>
      </c>
      <c r="T6" s="4"/>
    </row>
    <row r="7" spans="1:20" x14ac:dyDescent="0.25">
      <c r="A7" s="7">
        <v>4</v>
      </c>
      <c r="D7" s="9" t="s">
        <v>3</v>
      </c>
      <c r="E7" s="10"/>
      <c r="F7" s="10"/>
      <c r="G7" s="11"/>
      <c r="H7" s="12">
        <v>22</v>
      </c>
      <c r="I7" s="7" t="s">
        <v>2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4">
        <f t="shared" si="0"/>
        <v>22</v>
      </c>
      <c r="Q7" s="1" t="s">
        <v>14</v>
      </c>
      <c r="R7" s="44">
        <v>6</v>
      </c>
      <c r="S7" s="47">
        <v>10</v>
      </c>
      <c r="T7" s="4"/>
    </row>
    <row r="8" spans="1:20" x14ac:dyDescent="0.25">
      <c r="A8" s="7">
        <v>5</v>
      </c>
      <c r="D8" s="16" t="s">
        <v>139</v>
      </c>
      <c r="E8" s="17"/>
      <c r="F8" s="17"/>
      <c r="G8" s="18"/>
      <c r="H8" s="12">
        <v>98</v>
      </c>
      <c r="I8" s="7" t="s">
        <v>2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4">
        <f t="shared" si="0"/>
        <v>98</v>
      </c>
      <c r="Q8" s="1" t="s">
        <v>14</v>
      </c>
      <c r="R8" s="44">
        <v>50</v>
      </c>
      <c r="S8" s="47">
        <v>400</v>
      </c>
      <c r="T8" s="4"/>
    </row>
    <row r="9" spans="1:20" x14ac:dyDescent="0.25">
      <c r="A9" s="7">
        <v>6</v>
      </c>
      <c r="D9" s="9" t="s">
        <v>24</v>
      </c>
      <c r="E9" s="10"/>
      <c r="F9" s="10"/>
      <c r="G9" s="11"/>
      <c r="H9" s="12">
        <v>200</v>
      </c>
      <c r="I9" s="7" t="s">
        <v>171</v>
      </c>
      <c r="J9" s="3">
        <v>0</v>
      </c>
      <c r="K9" s="3">
        <v>0</v>
      </c>
      <c r="L9" s="3">
        <v>20</v>
      </c>
      <c r="M9" s="3">
        <v>10</v>
      </c>
      <c r="N9" s="3">
        <v>0</v>
      </c>
      <c r="O9" s="3">
        <v>0</v>
      </c>
      <c r="P9" s="4">
        <f t="shared" si="0"/>
        <v>170</v>
      </c>
      <c r="Q9" s="1" t="s">
        <v>132</v>
      </c>
      <c r="R9" s="44">
        <v>100</v>
      </c>
      <c r="S9" s="47">
        <v>400</v>
      </c>
      <c r="T9" s="4"/>
    </row>
    <row r="10" spans="1:20" x14ac:dyDescent="0.25">
      <c r="A10" s="7">
        <v>7</v>
      </c>
      <c r="D10" s="16" t="s">
        <v>101</v>
      </c>
      <c r="E10" s="17"/>
      <c r="F10" s="17"/>
      <c r="G10" s="18"/>
      <c r="H10" s="12">
        <v>270</v>
      </c>
      <c r="I10" s="7" t="s">
        <v>171</v>
      </c>
      <c r="J10" s="3">
        <v>100</v>
      </c>
      <c r="K10" s="3">
        <v>0</v>
      </c>
      <c r="L10" s="3">
        <v>72</v>
      </c>
      <c r="M10" s="3">
        <v>12</v>
      </c>
      <c r="N10" s="3">
        <v>95</v>
      </c>
      <c r="O10" s="3">
        <v>0</v>
      </c>
      <c r="P10" s="4">
        <f t="shared" si="0"/>
        <v>191</v>
      </c>
      <c r="Q10" s="1" t="s">
        <v>171</v>
      </c>
      <c r="R10" s="44">
        <v>200</v>
      </c>
      <c r="S10" s="47">
        <v>500</v>
      </c>
      <c r="T10" s="4"/>
    </row>
    <row r="11" spans="1:20" x14ac:dyDescent="0.25">
      <c r="A11" s="7">
        <v>8</v>
      </c>
      <c r="D11" s="9" t="s">
        <v>25</v>
      </c>
      <c r="E11" s="10"/>
      <c r="F11" s="10"/>
      <c r="G11" s="11"/>
      <c r="H11" s="12">
        <v>290</v>
      </c>
      <c r="I11" s="7" t="s">
        <v>2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4">
        <f t="shared" si="0"/>
        <v>290</v>
      </c>
      <c r="Q11" s="1" t="s">
        <v>14</v>
      </c>
      <c r="R11" s="44">
        <v>50</v>
      </c>
      <c r="S11" s="47">
        <v>300</v>
      </c>
      <c r="T11" s="4"/>
    </row>
    <row r="12" spans="1:20" x14ac:dyDescent="0.25">
      <c r="A12" s="7">
        <v>9</v>
      </c>
      <c r="D12" s="16" t="s">
        <v>174</v>
      </c>
      <c r="E12" s="17"/>
      <c r="F12" s="17"/>
      <c r="G12" s="18"/>
      <c r="H12" s="12">
        <v>80</v>
      </c>
      <c r="I12" s="7" t="s">
        <v>2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4">
        <f t="shared" si="0"/>
        <v>80</v>
      </c>
      <c r="Q12" s="1" t="s">
        <v>14</v>
      </c>
      <c r="R12" s="44">
        <v>45</v>
      </c>
      <c r="S12" s="47">
        <v>200</v>
      </c>
      <c r="T12" s="4"/>
    </row>
    <row r="13" spans="1:20" x14ac:dyDescent="0.25">
      <c r="A13" s="7">
        <v>10</v>
      </c>
      <c r="D13" s="9" t="s">
        <v>6</v>
      </c>
      <c r="E13" s="10"/>
      <c r="F13" s="10"/>
      <c r="G13" s="11"/>
      <c r="H13" s="12">
        <v>30</v>
      </c>
      <c r="I13" s="7" t="s">
        <v>2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4">
        <f t="shared" si="0"/>
        <v>30</v>
      </c>
      <c r="Q13" s="1" t="s">
        <v>14</v>
      </c>
      <c r="R13" s="44">
        <v>10</v>
      </c>
      <c r="S13" s="46">
        <v>100</v>
      </c>
      <c r="T13" s="4"/>
    </row>
    <row r="14" spans="1:20" x14ac:dyDescent="0.25">
      <c r="A14" s="7">
        <v>11</v>
      </c>
      <c r="D14" s="16" t="s">
        <v>7</v>
      </c>
      <c r="E14" s="17"/>
      <c r="F14" s="17"/>
      <c r="G14" s="18"/>
      <c r="H14" s="12">
        <v>0</v>
      </c>
      <c r="I14" s="7" t="s">
        <v>171</v>
      </c>
      <c r="J14" s="3">
        <v>20</v>
      </c>
      <c r="K14" s="3">
        <v>0</v>
      </c>
      <c r="L14" s="3">
        <v>5</v>
      </c>
      <c r="M14" s="3">
        <v>0</v>
      </c>
      <c r="N14" s="3">
        <v>0</v>
      </c>
      <c r="O14" s="3">
        <v>0</v>
      </c>
      <c r="P14" s="4">
        <f t="shared" si="0"/>
        <v>15</v>
      </c>
      <c r="Q14" s="1" t="s">
        <v>14</v>
      </c>
      <c r="R14" s="44">
        <v>10</v>
      </c>
      <c r="S14" s="47">
        <v>50</v>
      </c>
      <c r="T14" s="4"/>
    </row>
    <row r="15" spans="1:20" x14ac:dyDescent="0.25">
      <c r="A15" s="7">
        <v>12</v>
      </c>
      <c r="D15" s="9" t="s">
        <v>69</v>
      </c>
      <c r="E15" s="10"/>
      <c r="F15" s="10"/>
      <c r="G15" s="11"/>
      <c r="H15" s="12">
        <v>6</v>
      </c>
      <c r="I15" s="7" t="s">
        <v>171</v>
      </c>
      <c r="J15" s="3">
        <v>10</v>
      </c>
      <c r="K15" s="3">
        <v>0</v>
      </c>
      <c r="L15" s="3">
        <v>6</v>
      </c>
      <c r="M15" s="3">
        <v>0</v>
      </c>
      <c r="N15" s="3">
        <v>0</v>
      </c>
      <c r="O15" s="3">
        <v>0</v>
      </c>
      <c r="P15" s="4">
        <f t="shared" si="0"/>
        <v>10</v>
      </c>
      <c r="Q15" s="1" t="s">
        <v>132</v>
      </c>
      <c r="R15" s="44">
        <v>200</v>
      </c>
      <c r="S15" s="47">
        <v>400</v>
      </c>
      <c r="T15" s="4"/>
    </row>
    <row r="16" spans="1:20" x14ac:dyDescent="0.25">
      <c r="A16" s="7">
        <v>13</v>
      </c>
      <c r="D16" s="100"/>
      <c r="E16" s="89"/>
      <c r="F16" s="90" t="s">
        <v>111</v>
      </c>
      <c r="G16" s="87"/>
      <c r="H16" s="12">
        <v>105</v>
      </c>
      <c r="I16" s="7" t="s">
        <v>2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4">
        <f t="shared" si="0"/>
        <v>105</v>
      </c>
      <c r="Q16" s="1" t="s">
        <v>14</v>
      </c>
      <c r="R16" s="44">
        <v>100</v>
      </c>
      <c r="S16" s="46">
        <v>500</v>
      </c>
      <c r="T16" s="4"/>
    </row>
    <row r="17" spans="1:20" x14ac:dyDescent="0.25">
      <c r="A17" s="7">
        <v>14</v>
      </c>
      <c r="D17" s="9" t="s">
        <v>73</v>
      </c>
      <c r="E17" s="10"/>
      <c r="F17" s="10"/>
      <c r="G17" s="11"/>
      <c r="H17" s="12">
        <v>690</v>
      </c>
      <c r="I17" s="7" t="s">
        <v>2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4">
        <f t="shared" si="0"/>
        <v>690</v>
      </c>
      <c r="Q17" s="1" t="s">
        <v>14</v>
      </c>
      <c r="R17" s="44">
        <v>0</v>
      </c>
      <c r="S17" s="46"/>
      <c r="T17" s="4"/>
    </row>
    <row r="18" spans="1:20" x14ac:dyDescent="0.25">
      <c r="A18" s="7">
        <v>15</v>
      </c>
      <c r="D18" s="16" t="s">
        <v>28</v>
      </c>
      <c r="E18" s="17"/>
      <c r="F18" s="17"/>
      <c r="G18" s="18"/>
      <c r="H18" s="12">
        <v>25</v>
      </c>
      <c r="I18" s="7" t="s">
        <v>2</v>
      </c>
      <c r="J18" s="3">
        <v>50</v>
      </c>
      <c r="K18" s="3">
        <v>0</v>
      </c>
      <c r="L18" s="3">
        <v>15</v>
      </c>
      <c r="M18" s="3">
        <v>3</v>
      </c>
      <c r="N18" s="3">
        <v>0</v>
      </c>
      <c r="O18" s="3">
        <v>0</v>
      </c>
      <c r="P18" s="4">
        <f t="shared" si="0"/>
        <v>57</v>
      </c>
      <c r="Q18" s="1" t="s">
        <v>14</v>
      </c>
      <c r="R18" s="44">
        <v>50</v>
      </c>
      <c r="S18" s="47">
        <v>100</v>
      </c>
      <c r="T18" s="4"/>
    </row>
    <row r="19" spans="1:20" x14ac:dyDescent="0.25">
      <c r="A19" s="7">
        <v>16</v>
      </c>
      <c r="D19" s="9" t="s">
        <v>29</v>
      </c>
      <c r="E19" s="10"/>
      <c r="F19" s="10"/>
      <c r="G19" s="11"/>
      <c r="H19" s="12">
        <v>25</v>
      </c>
      <c r="I19" s="7" t="s">
        <v>2</v>
      </c>
      <c r="J19" s="3">
        <v>50</v>
      </c>
      <c r="K19" s="3">
        <v>0</v>
      </c>
      <c r="L19" s="3">
        <v>15</v>
      </c>
      <c r="M19" s="3">
        <v>3</v>
      </c>
      <c r="N19" s="3">
        <v>0</v>
      </c>
      <c r="O19" s="3">
        <v>0</v>
      </c>
      <c r="P19" s="4">
        <f t="shared" si="0"/>
        <v>57</v>
      </c>
      <c r="Q19" s="1" t="s">
        <v>14</v>
      </c>
      <c r="R19" s="44">
        <v>50</v>
      </c>
      <c r="S19" s="47">
        <v>100</v>
      </c>
      <c r="T19" s="4"/>
    </row>
    <row r="20" spans="1:20" x14ac:dyDescent="0.25">
      <c r="A20" s="7">
        <v>17</v>
      </c>
      <c r="D20" s="16" t="s">
        <v>14</v>
      </c>
      <c r="E20" s="17" t="s">
        <v>14</v>
      </c>
      <c r="F20" s="17" t="s">
        <v>14</v>
      </c>
      <c r="G20" s="18"/>
      <c r="H20" s="12">
        <v>0</v>
      </c>
      <c r="I20" s="7" t="s">
        <v>2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4">
        <f t="shared" si="0"/>
        <v>0</v>
      </c>
      <c r="Q20" s="1" t="s">
        <v>14</v>
      </c>
      <c r="R20" s="44" t="s">
        <v>14</v>
      </c>
      <c r="S20" s="47" t="s">
        <v>14</v>
      </c>
      <c r="T20" s="4"/>
    </row>
    <row r="21" spans="1:20" x14ac:dyDescent="0.25">
      <c r="A21" s="7">
        <v>18</v>
      </c>
      <c r="D21" s="9" t="s">
        <v>129</v>
      </c>
      <c r="E21" s="10"/>
      <c r="F21" s="10"/>
      <c r="G21" s="11"/>
      <c r="H21" s="12">
        <v>5</v>
      </c>
      <c r="I21" s="7" t="s">
        <v>2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4">
        <f t="shared" si="0"/>
        <v>5</v>
      </c>
      <c r="Q21" s="1" t="s">
        <v>14</v>
      </c>
      <c r="R21" s="44">
        <v>10</v>
      </c>
      <c r="S21" s="46">
        <v>50</v>
      </c>
      <c r="T21" s="4"/>
    </row>
    <row r="22" spans="1:20" x14ac:dyDescent="0.25">
      <c r="A22" s="7">
        <v>19</v>
      </c>
      <c r="D22" s="55" t="s">
        <v>184</v>
      </c>
      <c r="E22" s="56"/>
      <c r="F22" s="56"/>
      <c r="G22" s="57"/>
      <c r="H22" s="12">
        <v>90</v>
      </c>
      <c r="I22" s="59" t="s">
        <v>1</v>
      </c>
      <c r="J22" s="3">
        <v>500</v>
      </c>
      <c r="K22" s="3">
        <v>0</v>
      </c>
      <c r="L22" s="3">
        <v>40</v>
      </c>
      <c r="M22" s="3">
        <v>40</v>
      </c>
      <c r="N22" s="3">
        <v>10</v>
      </c>
      <c r="O22" s="3">
        <v>0</v>
      </c>
      <c r="P22" s="46">
        <f t="shared" si="0"/>
        <v>500</v>
      </c>
      <c r="Q22" s="1" t="s">
        <v>75</v>
      </c>
      <c r="R22" s="44">
        <v>200</v>
      </c>
      <c r="S22" s="47">
        <v>400</v>
      </c>
      <c r="T22" s="4"/>
    </row>
    <row r="23" spans="1:20" x14ac:dyDescent="0.25">
      <c r="A23" s="7">
        <v>20</v>
      </c>
      <c r="D23" s="9" t="s">
        <v>32</v>
      </c>
      <c r="E23" s="10"/>
      <c r="F23" s="10"/>
      <c r="G23" s="11"/>
      <c r="H23" s="12">
        <v>800</v>
      </c>
      <c r="I23" s="7" t="s">
        <v>2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4">
        <f t="shared" si="0"/>
        <v>800</v>
      </c>
      <c r="Q23" s="1" t="s">
        <v>14</v>
      </c>
      <c r="R23" s="44">
        <v>0</v>
      </c>
      <c r="S23" s="46">
        <v>0</v>
      </c>
      <c r="T23" s="4"/>
    </row>
    <row r="24" spans="1:20" x14ac:dyDescent="0.25">
      <c r="A24" s="7">
        <v>21</v>
      </c>
      <c r="D24" s="16" t="s">
        <v>188</v>
      </c>
      <c r="E24" s="17"/>
      <c r="F24" s="17"/>
      <c r="G24" s="18"/>
      <c r="H24" s="12">
        <v>100</v>
      </c>
      <c r="I24" s="7" t="s">
        <v>2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4">
        <f t="shared" si="0"/>
        <v>100</v>
      </c>
      <c r="Q24" s="1" t="s">
        <v>14</v>
      </c>
      <c r="R24" s="44">
        <v>10</v>
      </c>
      <c r="S24" s="46">
        <v>100</v>
      </c>
      <c r="T24" s="4"/>
    </row>
    <row r="25" spans="1:20" x14ac:dyDescent="0.25">
      <c r="A25" s="7">
        <v>22</v>
      </c>
      <c r="D25" s="9" t="s">
        <v>34</v>
      </c>
      <c r="E25" s="10"/>
      <c r="F25" s="10"/>
      <c r="G25" s="11"/>
      <c r="H25" s="12">
        <v>43</v>
      </c>
      <c r="I25" s="7" t="s">
        <v>2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4">
        <f t="shared" si="0"/>
        <v>43</v>
      </c>
      <c r="Q25" s="1" t="s">
        <v>14</v>
      </c>
      <c r="R25" s="44">
        <v>20</v>
      </c>
      <c r="S25" s="46">
        <v>50</v>
      </c>
      <c r="T25" s="4"/>
    </row>
    <row r="26" spans="1:20" x14ac:dyDescent="0.25">
      <c r="A26" s="7">
        <v>23</v>
      </c>
      <c r="D26" s="16" t="s">
        <v>142</v>
      </c>
      <c r="E26" s="17"/>
      <c r="F26" s="17"/>
      <c r="G26" s="18"/>
      <c r="H26" s="12">
        <v>54</v>
      </c>
      <c r="I26" s="7" t="s">
        <v>2</v>
      </c>
      <c r="J26" s="3">
        <v>0</v>
      </c>
      <c r="K26" s="3">
        <v>0</v>
      </c>
      <c r="L26" s="3">
        <v>0</v>
      </c>
      <c r="M26" s="3">
        <v>10</v>
      </c>
      <c r="N26" s="3">
        <v>0</v>
      </c>
      <c r="O26" s="3">
        <v>0</v>
      </c>
      <c r="P26" s="4">
        <f t="shared" si="0"/>
        <v>44</v>
      </c>
      <c r="Q26" s="1" t="s">
        <v>14</v>
      </c>
      <c r="R26" s="44">
        <v>20</v>
      </c>
      <c r="S26" s="47">
        <v>50</v>
      </c>
      <c r="T26" s="4"/>
    </row>
    <row r="27" spans="1:20" x14ac:dyDescent="0.25">
      <c r="A27" s="7">
        <v>24</v>
      </c>
      <c r="D27" s="9" t="s">
        <v>141</v>
      </c>
      <c r="E27" s="10"/>
      <c r="F27" s="10"/>
      <c r="G27" s="11"/>
      <c r="H27" s="12">
        <v>0</v>
      </c>
      <c r="I27" s="7" t="s">
        <v>2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  <c r="P27" s="4">
        <f t="shared" si="0"/>
        <v>0</v>
      </c>
      <c r="Q27" s="1"/>
      <c r="R27" s="44">
        <v>20</v>
      </c>
      <c r="S27" s="47">
        <v>50</v>
      </c>
      <c r="T27" s="4"/>
    </row>
    <row r="28" spans="1:20" x14ac:dyDescent="0.25">
      <c r="A28" s="7">
        <v>25</v>
      </c>
      <c r="D28" s="9" t="s">
        <v>137</v>
      </c>
      <c r="E28" s="10"/>
      <c r="F28" s="10"/>
      <c r="G28" s="11"/>
      <c r="H28" s="12">
        <v>48</v>
      </c>
      <c r="I28" s="7" t="s">
        <v>2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4">
        <f t="shared" si="0"/>
        <v>48</v>
      </c>
      <c r="Q28" s="1" t="s">
        <v>14</v>
      </c>
      <c r="R28" s="44">
        <v>20</v>
      </c>
      <c r="S28" s="47">
        <v>50</v>
      </c>
      <c r="T28" s="4"/>
    </row>
    <row r="29" spans="1:20" x14ac:dyDescent="0.25">
      <c r="A29" s="7">
        <v>26</v>
      </c>
      <c r="D29" s="9" t="s">
        <v>138</v>
      </c>
      <c r="E29" s="10"/>
      <c r="F29" s="10"/>
      <c r="G29" s="11"/>
      <c r="H29" s="12">
        <v>0</v>
      </c>
      <c r="I29" s="7" t="s">
        <v>2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4">
        <f t="shared" si="0"/>
        <v>0</v>
      </c>
      <c r="Q29" s="1"/>
      <c r="R29" s="44">
        <v>20</v>
      </c>
      <c r="S29" s="47">
        <v>50</v>
      </c>
      <c r="T29" s="4"/>
    </row>
    <row r="30" spans="1:20" x14ac:dyDescent="0.25">
      <c r="A30" s="7">
        <v>27</v>
      </c>
      <c r="D30" s="16" t="s">
        <v>35</v>
      </c>
      <c r="E30" s="17"/>
      <c r="F30" s="17"/>
      <c r="G30" s="18"/>
      <c r="H30" s="12">
        <v>178</v>
      </c>
      <c r="I30" s="7" t="s">
        <v>2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4">
        <f t="shared" si="0"/>
        <v>178</v>
      </c>
      <c r="Q30" s="1" t="s">
        <v>14</v>
      </c>
      <c r="R30" s="44">
        <v>50</v>
      </c>
      <c r="S30" s="47">
        <v>100</v>
      </c>
      <c r="T30" s="4"/>
    </row>
    <row r="31" spans="1:20" x14ac:dyDescent="0.25">
      <c r="A31" s="7">
        <v>28</v>
      </c>
      <c r="D31" s="9" t="s">
        <v>36</v>
      </c>
      <c r="E31" s="10"/>
      <c r="F31" s="10"/>
      <c r="G31" s="11"/>
      <c r="H31" s="12">
        <v>20</v>
      </c>
      <c r="I31" s="7" t="s">
        <v>2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4">
        <f t="shared" si="0"/>
        <v>20</v>
      </c>
      <c r="Q31" s="1" t="s">
        <v>14</v>
      </c>
      <c r="R31" s="44">
        <v>50</v>
      </c>
      <c r="S31" s="47">
        <v>100</v>
      </c>
      <c r="T31" s="4"/>
    </row>
    <row r="32" spans="1:20" x14ac:dyDescent="0.25">
      <c r="A32" s="7">
        <v>29</v>
      </c>
      <c r="D32" s="16" t="s">
        <v>37</v>
      </c>
      <c r="E32" s="17"/>
      <c r="F32" s="17"/>
      <c r="G32" s="18"/>
      <c r="H32" s="12">
        <v>148</v>
      </c>
      <c r="I32" s="7" t="s">
        <v>2</v>
      </c>
      <c r="J32" s="3">
        <v>0</v>
      </c>
      <c r="K32" s="3">
        <v>0</v>
      </c>
      <c r="L32" s="3">
        <v>0</v>
      </c>
      <c r="M32" s="3">
        <v>10</v>
      </c>
      <c r="N32" s="3">
        <v>0</v>
      </c>
      <c r="O32" s="3">
        <v>0</v>
      </c>
      <c r="P32" s="4">
        <f t="shared" si="0"/>
        <v>138</v>
      </c>
      <c r="Q32" s="1" t="s">
        <v>14</v>
      </c>
      <c r="R32" s="44">
        <v>20</v>
      </c>
      <c r="S32" s="47">
        <v>50</v>
      </c>
      <c r="T32" s="4"/>
    </row>
    <row r="33" spans="1:20" x14ac:dyDescent="0.25">
      <c r="A33" s="7">
        <v>30</v>
      </c>
      <c r="D33" s="9" t="s">
        <v>38</v>
      </c>
      <c r="E33" s="10"/>
      <c r="F33" s="10"/>
      <c r="G33" s="11"/>
      <c r="H33" s="12">
        <v>2</v>
      </c>
      <c r="I33" s="7" t="s">
        <v>2</v>
      </c>
      <c r="J33" s="3">
        <v>100</v>
      </c>
      <c r="K33" s="3">
        <v>0</v>
      </c>
      <c r="L33" s="3">
        <v>2</v>
      </c>
      <c r="M33" s="3">
        <v>0</v>
      </c>
      <c r="N33" s="3">
        <v>0</v>
      </c>
      <c r="O33" s="3">
        <v>0</v>
      </c>
      <c r="P33" s="4">
        <f t="shared" si="0"/>
        <v>100</v>
      </c>
      <c r="Q33" s="1" t="s">
        <v>14</v>
      </c>
      <c r="R33" s="44">
        <v>50</v>
      </c>
      <c r="S33" s="47">
        <v>100</v>
      </c>
      <c r="T33" s="4"/>
    </row>
    <row r="34" spans="1:20" x14ac:dyDescent="0.25">
      <c r="A34" s="7">
        <v>31</v>
      </c>
      <c r="D34" s="16" t="s">
        <v>39</v>
      </c>
      <c r="E34" s="17"/>
      <c r="F34" s="17"/>
      <c r="G34" s="18"/>
      <c r="H34" s="12">
        <v>38</v>
      </c>
      <c r="I34" s="7" t="s">
        <v>2</v>
      </c>
      <c r="J34" s="3">
        <v>0</v>
      </c>
      <c r="K34" s="3">
        <v>0</v>
      </c>
      <c r="L34" s="3">
        <v>0</v>
      </c>
      <c r="M34" s="3">
        <v>10</v>
      </c>
      <c r="N34" s="3">
        <v>0</v>
      </c>
      <c r="O34" s="3">
        <v>0</v>
      </c>
      <c r="P34" s="4">
        <f t="shared" si="0"/>
        <v>28</v>
      </c>
      <c r="Q34" s="1" t="s">
        <v>14</v>
      </c>
      <c r="R34" s="44">
        <v>20</v>
      </c>
      <c r="S34" s="47">
        <v>50</v>
      </c>
      <c r="T34" s="4"/>
    </row>
    <row r="35" spans="1:20" x14ac:dyDescent="0.25">
      <c r="A35" s="7">
        <v>32</v>
      </c>
      <c r="D35" s="9" t="s">
        <v>40</v>
      </c>
      <c r="E35" s="10"/>
      <c r="F35" s="10"/>
      <c r="G35" s="11"/>
      <c r="H35" s="12">
        <v>1050</v>
      </c>
      <c r="I35" s="7" t="s">
        <v>2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4">
        <f t="shared" si="0"/>
        <v>1050</v>
      </c>
      <c r="Q35" s="1" t="s">
        <v>14</v>
      </c>
      <c r="R35" s="44">
        <v>0</v>
      </c>
      <c r="S35" s="46">
        <v>0</v>
      </c>
      <c r="T35" s="4"/>
    </row>
    <row r="36" spans="1:20" x14ac:dyDescent="0.25">
      <c r="A36" s="7">
        <v>33</v>
      </c>
      <c r="D36" s="9" t="s">
        <v>9</v>
      </c>
      <c r="E36" s="10"/>
      <c r="F36" s="10"/>
      <c r="G36" s="11"/>
      <c r="H36" s="83">
        <v>46</v>
      </c>
      <c r="I36" s="7" t="s">
        <v>132</v>
      </c>
      <c r="J36" s="3">
        <v>50</v>
      </c>
      <c r="K36" s="3">
        <v>0</v>
      </c>
      <c r="L36" s="3">
        <v>5</v>
      </c>
      <c r="M36" s="3">
        <v>1</v>
      </c>
      <c r="N36" s="3">
        <v>45</v>
      </c>
      <c r="O36" s="3">
        <v>0</v>
      </c>
      <c r="P36" s="4">
        <f t="shared" si="0"/>
        <v>45</v>
      </c>
      <c r="Q36" s="1" t="s">
        <v>132</v>
      </c>
      <c r="R36" s="44">
        <v>50</v>
      </c>
      <c r="S36" s="47">
        <v>100</v>
      </c>
      <c r="T36" s="4"/>
    </row>
    <row r="37" spans="1:20" x14ac:dyDescent="0.25">
      <c r="A37" s="7">
        <v>34</v>
      </c>
      <c r="D37" s="19" t="s">
        <v>166</v>
      </c>
      <c r="E37" s="20"/>
      <c r="F37" s="20"/>
      <c r="G37" s="21"/>
      <c r="H37" s="69">
        <v>46</v>
      </c>
      <c r="I37" s="7" t="s">
        <v>2</v>
      </c>
      <c r="J37" s="3">
        <v>50</v>
      </c>
      <c r="K37" s="3">
        <v>0</v>
      </c>
      <c r="L37" s="3">
        <v>5</v>
      </c>
      <c r="M37" s="3">
        <v>1</v>
      </c>
      <c r="N37" s="3">
        <v>10</v>
      </c>
      <c r="O37" s="3">
        <v>0</v>
      </c>
      <c r="P37" s="4">
        <f t="shared" si="0"/>
        <v>80</v>
      </c>
      <c r="Q37" s="1" t="s">
        <v>14</v>
      </c>
      <c r="R37" s="44">
        <v>50</v>
      </c>
      <c r="S37" s="46">
        <v>100</v>
      </c>
      <c r="T37" s="4"/>
    </row>
    <row r="38" spans="1:20" x14ac:dyDescent="0.25">
      <c r="A38" s="7">
        <v>35</v>
      </c>
      <c r="D38" s="16" t="s">
        <v>143</v>
      </c>
      <c r="E38" s="17"/>
      <c r="F38" s="17"/>
      <c r="G38" s="18"/>
      <c r="H38" s="12">
        <v>46</v>
      </c>
      <c r="I38" s="7" t="s">
        <v>2</v>
      </c>
      <c r="J38" s="3">
        <v>50</v>
      </c>
      <c r="K38" s="3">
        <v>0</v>
      </c>
      <c r="L38" s="3">
        <v>5</v>
      </c>
      <c r="M38" s="3">
        <v>1</v>
      </c>
      <c r="N38" s="3">
        <v>45</v>
      </c>
      <c r="O38" s="3">
        <v>0</v>
      </c>
      <c r="P38" s="4">
        <f t="shared" si="0"/>
        <v>45</v>
      </c>
      <c r="Q38" s="1" t="s">
        <v>14</v>
      </c>
      <c r="R38" s="44">
        <v>50</v>
      </c>
      <c r="S38" s="46">
        <v>100</v>
      </c>
      <c r="T38" s="4"/>
    </row>
    <row r="39" spans="1:20" x14ac:dyDescent="0.25">
      <c r="A39" s="7">
        <v>36</v>
      </c>
      <c r="D39" s="9" t="s">
        <v>144</v>
      </c>
      <c r="E39" s="10"/>
      <c r="F39" s="10"/>
      <c r="G39" s="11"/>
      <c r="H39" s="12">
        <v>46</v>
      </c>
      <c r="I39" s="7" t="s">
        <v>2</v>
      </c>
      <c r="J39" s="3">
        <v>50</v>
      </c>
      <c r="K39" s="3">
        <v>0</v>
      </c>
      <c r="L39" s="3">
        <v>5</v>
      </c>
      <c r="M39" s="3">
        <v>1</v>
      </c>
      <c r="N39" s="3">
        <v>45</v>
      </c>
      <c r="O39" s="3">
        <v>0</v>
      </c>
      <c r="P39" s="4">
        <f t="shared" si="0"/>
        <v>45</v>
      </c>
      <c r="Q39" s="1" t="s">
        <v>14</v>
      </c>
      <c r="R39" s="44">
        <v>50</v>
      </c>
      <c r="S39" s="47">
        <v>100</v>
      </c>
      <c r="T39" s="4"/>
    </row>
    <row r="40" spans="1:20" x14ac:dyDescent="0.25">
      <c r="A40" s="7">
        <v>37</v>
      </c>
      <c r="D40" s="16" t="s">
        <v>42</v>
      </c>
      <c r="E40" s="17"/>
      <c r="F40" s="17"/>
      <c r="G40" s="18"/>
      <c r="H40" s="12">
        <v>46</v>
      </c>
      <c r="I40" s="7" t="s">
        <v>2</v>
      </c>
      <c r="J40" s="3">
        <v>50</v>
      </c>
      <c r="K40" s="3">
        <v>0</v>
      </c>
      <c r="L40" s="3">
        <v>5</v>
      </c>
      <c r="M40" s="3">
        <v>1</v>
      </c>
      <c r="N40" s="3">
        <v>45</v>
      </c>
      <c r="O40" s="3">
        <v>0</v>
      </c>
      <c r="P40" s="4">
        <f t="shared" si="0"/>
        <v>45</v>
      </c>
      <c r="Q40" s="1" t="s">
        <v>14</v>
      </c>
      <c r="R40" s="44">
        <v>50</v>
      </c>
      <c r="S40" s="47">
        <v>100</v>
      </c>
      <c r="T40" s="4"/>
    </row>
    <row r="41" spans="1:20" x14ac:dyDescent="0.25">
      <c r="A41" s="7">
        <v>38</v>
      </c>
      <c r="D41" s="9" t="s">
        <v>133</v>
      </c>
      <c r="E41" s="10"/>
      <c r="F41" s="10"/>
      <c r="G41" s="11"/>
      <c r="H41" s="12">
        <v>52</v>
      </c>
      <c r="I41" s="7" t="s">
        <v>2</v>
      </c>
      <c r="J41" s="3">
        <v>0</v>
      </c>
      <c r="K41" s="3">
        <v>0</v>
      </c>
      <c r="L41" s="3">
        <v>0</v>
      </c>
      <c r="M41" s="3">
        <v>2</v>
      </c>
      <c r="N41" s="3">
        <v>0</v>
      </c>
      <c r="O41" s="3">
        <v>0</v>
      </c>
      <c r="P41" s="4">
        <f t="shared" si="0"/>
        <v>50</v>
      </c>
      <c r="Q41" s="1" t="s">
        <v>14</v>
      </c>
      <c r="R41" s="44">
        <v>50</v>
      </c>
      <c r="S41" s="47">
        <v>100</v>
      </c>
      <c r="T41" s="4"/>
    </row>
    <row r="42" spans="1:20" x14ac:dyDescent="0.25">
      <c r="A42" s="7">
        <v>39</v>
      </c>
      <c r="D42" s="16" t="s">
        <v>145</v>
      </c>
      <c r="E42" s="17"/>
      <c r="F42" s="17"/>
      <c r="G42" s="18"/>
      <c r="H42" s="12">
        <v>52</v>
      </c>
      <c r="I42" s="7" t="s">
        <v>2</v>
      </c>
      <c r="J42" s="3">
        <v>0</v>
      </c>
      <c r="K42" s="3">
        <v>0</v>
      </c>
      <c r="L42" s="3">
        <v>0</v>
      </c>
      <c r="M42" s="3">
        <v>2</v>
      </c>
      <c r="N42" s="3">
        <v>0</v>
      </c>
      <c r="O42" s="3">
        <v>0</v>
      </c>
      <c r="P42" s="4">
        <f t="shared" si="0"/>
        <v>50</v>
      </c>
      <c r="Q42" s="1" t="s">
        <v>14</v>
      </c>
      <c r="R42" s="44">
        <v>50</v>
      </c>
      <c r="S42" s="46">
        <v>100</v>
      </c>
      <c r="T42" s="4"/>
    </row>
    <row r="43" spans="1:20" x14ac:dyDescent="0.25">
      <c r="A43" s="7">
        <v>40</v>
      </c>
      <c r="D43" s="9" t="s">
        <v>190</v>
      </c>
      <c r="E43" s="10"/>
      <c r="F43" s="10" t="s">
        <v>14</v>
      </c>
      <c r="G43" s="11" t="s">
        <v>14</v>
      </c>
      <c r="H43" s="12">
        <v>20</v>
      </c>
      <c r="I43" s="7" t="s">
        <v>75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4">
        <f t="shared" si="0"/>
        <v>20</v>
      </c>
      <c r="Q43" s="1" t="s">
        <v>75</v>
      </c>
      <c r="R43" s="44">
        <v>50</v>
      </c>
      <c r="S43" s="47">
        <v>200</v>
      </c>
      <c r="T43" s="4"/>
    </row>
    <row r="44" spans="1:20" x14ac:dyDescent="0.25">
      <c r="A44" s="7">
        <v>41</v>
      </c>
      <c r="D44" s="16" t="s">
        <v>10</v>
      </c>
      <c r="E44" s="17"/>
      <c r="F44" s="17"/>
      <c r="G44" s="18"/>
      <c r="H44" s="12">
        <v>6</v>
      </c>
      <c r="I44" s="7" t="s">
        <v>2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4">
        <f t="shared" si="0"/>
        <v>6</v>
      </c>
      <c r="Q44" s="1" t="s">
        <v>132</v>
      </c>
      <c r="R44" s="44">
        <v>20</v>
      </c>
      <c r="S44" s="47">
        <v>50</v>
      </c>
      <c r="T44" s="4"/>
    </row>
    <row r="45" spans="1:20" x14ac:dyDescent="0.25">
      <c r="A45" s="7">
        <v>42</v>
      </c>
      <c r="D45" s="9" t="s">
        <v>45</v>
      </c>
      <c r="E45" s="10"/>
      <c r="F45" s="10"/>
      <c r="G45" s="11"/>
      <c r="H45" s="12">
        <v>17</v>
      </c>
      <c r="I45" s="7" t="s">
        <v>2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4">
        <f t="shared" si="0"/>
        <v>17</v>
      </c>
      <c r="Q45" s="1" t="s">
        <v>14</v>
      </c>
      <c r="R45" s="44">
        <v>20</v>
      </c>
      <c r="S45" s="47">
        <v>50</v>
      </c>
      <c r="T45" s="4"/>
    </row>
    <row r="46" spans="1:20" x14ac:dyDescent="0.25">
      <c r="A46" s="7">
        <v>43</v>
      </c>
      <c r="D46" s="16" t="s">
        <v>46</v>
      </c>
      <c r="E46" s="17"/>
      <c r="F46" s="17"/>
      <c r="G46" s="18"/>
      <c r="H46" s="12">
        <v>18</v>
      </c>
      <c r="I46" s="7" t="s">
        <v>2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4">
        <f t="shared" si="0"/>
        <v>18</v>
      </c>
      <c r="Q46" s="1" t="s">
        <v>14</v>
      </c>
      <c r="R46" s="44">
        <v>20</v>
      </c>
      <c r="S46" s="47">
        <v>50</v>
      </c>
      <c r="T46" s="4"/>
    </row>
    <row r="47" spans="1:20" x14ac:dyDescent="0.25">
      <c r="A47" s="7">
        <v>44</v>
      </c>
      <c r="D47" s="9" t="s">
        <v>47</v>
      </c>
      <c r="E47" s="10"/>
      <c r="F47" s="10"/>
      <c r="G47" s="11" t="s">
        <v>14</v>
      </c>
      <c r="H47" s="12">
        <v>14</v>
      </c>
      <c r="I47" s="7" t="s">
        <v>2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4">
        <f t="shared" si="0"/>
        <v>14</v>
      </c>
      <c r="Q47" s="1" t="s">
        <v>14</v>
      </c>
      <c r="R47" s="44">
        <v>20</v>
      </c>
      <c r="S47" s="47">
        <v>50</v>
      </c>
      <c r="T47" s="4"/>
    </row>
    <row r="48" spans="1:20" x14ac:dyDescent="0.25">
      <c r="A48" s="7">
        <v>45</v>
      </c>
      <c r="D48" s="16" t="s">
        <v>175</v>
      </c>
      <c r="E48" s="17"/>
      <c r="F48" s="17"/>
      <c r="G48" s="18"/>
      <c r="H48" s="12">
        <v>600</v>
      </c>
      <c r="I48" s="7" t="s">
        <v>2</v>
      </c>
      <c r="J48" s="3">
        <v>0</v>
      </c>
      <c r="K48" s="3">
        <v>0</v>
      </c>
      <c r="L48" s="3">
        <v>0</v>
      </c>
      <c r="M48" s="3">
        <v>400</v>
      </c>
      <c r="N48" s="3">
        <v>0</v>
      </c>
      <c r="O48" s="3">
        <v>0</v>
      </c>
      <c r="P48" s="4">
        <f t="shared" si="0"/>
        <v>200</v>
      </c>
      <c r="Q48" s="1" t="s">
        <v>14</v>
      </c>
      <c r="R48" s="44">
        <v>500</v>
      </c>
      <c r="S48" s="47">
        <v>2000</v>
      </c>
      <c r="T48" s="4"/>
    </row>
    <row r="49" spans="1:20" x14ac:dyDescent="0.25">
      <c r="A49" s="7">
        <v>46</v>
      </c>
      <c r="D49" s="9" t="s">
        <v>48</v>
      </c>
      <c r="E49" s="10"/>
      <c r="F49" s="10"/>
      <c r="G49" s="11"/>
      <c r="H49" s="12">
        <v>20</v>
      </c>
      <c r="I49" s="7" t="s">
        <v>2</v>
      </c>
      <c r="J49" s="3">
        <v>0</v>
      </c>
      <c r="K49" s="3">
        <v>0</v>
      </c>
      <c r="L49" s="3">
        <v>1</v>
      </c>
      <c r="M49" s="3">
        <v>1</v>
      </c>
      <c r="N49" s="3">
        <v>0</v>
      </c>
      <c r="O49" s="3">
        <v>0</v>
      </c>
      <c r="P49" s="4">
        <f t="shared" si="0"/>
        <v>18</v>
      </c>
      <c r="Q49" s="1" t="s">
        <v>14</v>
      </c>
      <c r="R49" s="44">
        <v>10</v>
      </c>
      <c r="S49" s="47">
        <v>20</v>
      </c>
      <c r="T49" s="4" t="s">
        <v>14</v>
      </c>
    </row>
    <row r="50" spans="1:20" x14ac:dyDescent="0.25">
      <c r="A50" s="7">
        <v>47</v>
      </c>
      <c r="D50" s="16" t="s">
        <v>49</v>
      </c>
      <c r="E50" s="17"/>
      <c r="F50" s="17"/>
      <c r="G50" s="18"/>
      <c r="H50" s="12">
        <v>87</v>
      </c>
      <c r="I50" s="7" t="s">
        <v>2</v>
      </c>
      <c r="J50" s="3">
        <v>0</v>
      </c>
      <c r="K50" s="3">
        <v>0</v>
      </c>
      <c r="L50" s="3">
        <v>1</v>
      </c>
      <c r="M50" s="3">
        <v>1</v>
      </c>
      <c r="N50" s="3">
        <v>0</v>
      </c>
      <c r="O50" s="3">
        <v>0</v>
      </c>
      <c r="P50" s="4">
        <f t="shared" si="0"/>
        <v>85</v>
      </c>
      <c r="Q50" s="1" t="s">
        <v>14</v>
      </c>
      <c r="R50" s="44">
        <v>10</v>
      </c>
      <c r="S50" s="47">
        <v>20</v>
      </c>
      <c r="T50" s="4"/>
    </row>
    <row r="51" spans="1:20" x14ac:dyDescent="0.25">
      <c r="A51" s="7">
        <v>48</v>
      </c>
      <c r="D51" s="9" t="s">
        <v>189</v>
      </c>
      <c r="E51" s="10"/>
      <c r="F51" s="10"/>
      <c r="G51" s="11"/>
      <c r="H51" s="12">
        <v>30</v>
      </c>
      <c r="I51" s="7" t="s">
        <v>1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4">
        <f t="shared" si="0"/>
        <v>30</v>
      </c>
      <c r="Q51" s="1" t="s">
        <v>75</v>
      </c>
      <c r="R51" s="44">
        <v>50</v>
      </c>
      <c r="S51" s="47">
        <v>100</v>
      </c>
      <c r="T51" s="4"/>
    </row>
    <row r="52" spans="1:20" x14ac:dyDescent="0.25">
      <c r="A52" s="7">
        <v>49</v>
      </c>
      <c r="D52" s="94" t="s">
        <v>185</v>
      </c>
      <c r="E52" s="91" t="s">
        <v>186</v>
      </c>
      <c r="F52" s="92" t="s">
        <v>187</v>
      </c>
      <c r="G52" s="93"/>
      <c r="H52" s="12">
        <v>97</v>
      </c>
      <c r="I52" s="7" t="s">
        <v>2</v>
      </c>
      <c r="J52" s="3">
        <v>0</v>
      </c>
      <c r="K52" s="3">
        <v>0</v>
      </c>
      <c r="L52" s="3">
        <v>6</v>
      </c>
      <c r="M52" s="3">
        <v>0</v>
      </c>
      <c r="N52" s="3">
        <v>0</v>
      </c>
      <c r="O52" s="3">
        <v>0</v>
      </c>
      <c r="P52" s="4">
        <f t="shared" si="0"/>
        <v>91</v>
      </c>
      <c r="Q52" s="1" t="s">
        <v>14</v>
      </c>
      <c r="R52" s="44">
        <v>20</v>
      </c>
      <c r="S52" s="47">
        <v>50</v>
      </c>
      <c r="T52" s="4"/>
    </row>
    <row r="53" spans="1:20" x14ac:dyDescent="0.25">
      <c r="A53" s="7">
        <v>50</v>
      </c>
      <c r="D53" s="9" t="s">
        <v>51</v>
      </c>
      <c r="E53" s="10"/>
      <c r="F53" s="10"/>
      <c r="G53" s="11"/>
      <c r="H53" s="12">
        <v>85</v>
      </c>
      <c r="I53" s="7" t="s">
        <v>2</v>
      </c>
      <c r="J53" s="3">
        <v>0</v>
      </c>
      <c r="K53" s="3">
        <v>0</v>
      </c>
      <c r="L53" s="3">
        <v>6</v>
      </c>
      <c r="M53" s="3">
        <v>0</v>
      </c>
      <c r="N53" s="3">
        <v>0</v>
      </c>
      <c r="O53" s="3">
        <v>0</v>
      </c>
      <c r="P53" s="4">
        <f t="shared" si="0"/>
        <v>79</v>
      </c>
      <c r="Q53" s="1" t="s">
        <v>14</v>
      </c>
      <c r="R53" s="44">
        <v>20</v>
      </c>
      <c r="S53" s="47">
        <v>50</v>
      </c>
      <c r="T53" s="4"/>
    </row>
    <row r="54" spans="1:20" x14ac:dyDescent="0.25">
      <c r="A54" s="7">
        <v>51</v>
      </c>
      <c r="D54" s="16" t="s">
        <v>52</v>
      </c>
      <c r="E54" s="17"/>
      <c r="F54" s="17"/>
      <c r="G54" s="18"/>
      <c r="H54" s="12">
        <v>101</v>
      </c>
      <c r="I54" s="7" t="s">
        <v>2</v>
      </c>
      <c r="J54" s="3">
        <v>0</v>
      </c>
      <c r="K54" s="3">
        <v>0</v>
      </c>
      <c r="L54" s="3">
        <v>6</v>
      </c>
      <c r="M54" s="3">
        <v>0</v>
      </c>
      <c r="N54" s="3">
        <v>0</v>
      </c>
      <c r="O54" s="3">
        <v>0</v>
      </c>
      <c r="P54" s="4">
        <f t="shared" si="0"/>
        <v>95</v>
      </c>
      <c r="Q54" s="1" t="s">
        <v>14</v>
      </c>
      <c r="R54" s="44">
        <v>20</v>
      </c>
      <c r="S54" s="47">
        <v>50</v>
      </c>
      <c r="T54" s="4" t="s">
        <v>14</v>
      </c>
    </row>
    <row r="55" spans="1:20" x14ac:dyDescent="0.25">
      <c r="A55" s="7">
        <v>52</v>
      </c>
      <c r="D55" s="9" t="s">
        <v>53</v>
      </c>
      <c r="E55" s="10"/>
      <c r="F55" s="10"/>
      <c r="G55" s="11"/>
      <c r="H55" s="12">
        <v>107</v>
      </c>
      <c r="I55" s="7" t="s">
        <v>2</v>
      </c>
      <c r="J55" s="3">
        <v>0</v>
      </c>
      <c r="K55" s="3">
        <v>0</v>
      </c>
      <c r="L55" s="3">
        <v>6</v>
      </c>
      <c r="M55" s="3">
        <v>0</v>
      </c>
      <c r="N55" s="3">
        <v>0</v>
      </c>
      <c r="O55" s="3">
        <v>0</v>
      </c>
      <c r="P55" s="4">
        <f t="shared" si="0"/>
        <v>101</v>
      </c>
      <c r="Q55" s="1" t="s">
        <v>14</v>
      </c>
      <c r="R55" s="44">
        <v>20</v>
      </c>
      <c r="S55" s="47">
        <v>50</v>
      </c>
      <c r="T55" s="4"/>
    </row>
    <row r="56" spans="1:20" x14ac:dyDescent="0.25">
      <c r="A56" s="7">
        <v>53</v>
      </c>
      <c r="D56" s="70" t="s">
        <v>191</v>
      </c>
      <c r="E56" s="71"/>
      <c r="F56" s="71"/>
      <c r="G56" s="72"/>
      <c r="H56" s="12">
        <v>915</v>
      </c>
      <c r="I56" s="7" t="s">
        <v>1</v>
      </c>
      <c r="J56" s="3">
        <v>1020</v>
      </c>
      <c r="K56" s="3">
        <v>0</v>
      </c>
      <c r="L56" s="3">
        <v>135</v>
      </c>
      <c r="M56" s="3">
        <v>75</v>
      </c>
      <c r="N56" s="3">
        <v>45</v>
      </c>
      <c r="O56" s="3">
        <v>0</v>
      </c>
      <c r="P56" s="4">
        <f t="shared" si="0"/>
        <v>1680</v>
      </c>
      <c r="Q56" s="1" t="s">
        <v>120</v>
      </c>
      <c r="R56" s="44">
        <v>300</v>
      </c>
      <c r="S56" s="47">
        <v>750</v>
      </c>
      <c r="T56" s="4"/>
    </row>
    <row r="57" spans="1:20" x14ac:dyDescent="0.25">
      <c r="A57" s="7">
        <v>54</v>
      </c>
      <c r="D57" s="16" t="s">
        <v>61</v>
      </c>
      <c r="E57" s="17"/>
      <c r="F57" s="17"/>
      <c r="G57" s="18"/>
      <c r="H57" s="12">
        <v>145</v>
      </c>
      <c r="I57" s="7" t="s">
        <v>2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  <c r="P57" s="4">
        <f t="shared" si="0"/>
        <v>145</v>
      </c>
      <c r="Q57" s="1" t="s">
        <v>14</v>
      </c>
      <c r="R57" s="44">
        <v>10</v>
      </c>
      <c r="S57" s="46">
        <v>200</v>
      </c>
      <c r="T57" s="4"/>
    </row>
    <row r="58" spans="1:20" x14ac:dyDescent="0.25">
      <c r="A58" s="7">
        <v>55</v>
      </c>
      <c r="D58" s="9" t="s">
        <v>62</v>
      </c>
      <c r="E58" s="10"/>
      <c r="F58" s="10"/>
      <c r="G58" s="11"/>
      <c r="H58" s="12">
        <v>1043</v>
      </c>
      <c r="I58" s="7" t="s">
        <v>2</v>
      </c>
      <c r="J58" s="3">
        <v>0</v>
      </c>
      <c r="K58" s="3">
        <v>0</v>
      </c>
      <c r="L58" s="3">
        <v>44</v>
      </c>
      <c r="M58" s="3">
        <v>24</v>
      </c>
      <c r="N58" s="3">
        <v>30</v>
      </c>
      <c r="O58" s="3">
        <v>0</v>
      </c>
      <c r="P58" s="4">
        <f t="shared" si="0"/>
        <v>945</v>
      </c>
      <c r="Q58" s="1" t="s">
        <v>14</v>
      </c>
      <c r="R58" s="44">
        <v>500</v>
      </c>
      <c r="S58" s="47">
        <v>1000</v>
      </c>
      <c r="T58" s="4"/>
    </row>
    <row r="59" spans="1:20" x14ac:dyDescent="0.25">
      <c r="A59" s="7">
        <v>56</v>
      </c>
      <c r="D59" s="16" t="s">
        <v>13</v>
      </c>
      <c r="E59" s="17"/>
      <c r="F59" s="17"/>
      <c r="G59" s="18"/>
      <c r="H59" s="12">
        <v>233</v>
      </c>
      <c r="I59" s="7" t="s">
        <v>2</v>
      </c>
      <c r="J59" s="3">
        <v>0</v>
      </c>
      <c r="K59" s="3">
        <v>0</v>
      </c>
      <c r="L59" s="3">
        <v>0</v>
      </c>
      <c r="M59" s="3">
        <v>15</v>
      </c>
      <c r="N59" s="3">
        <v>0</v>
      </c>
      <c r="O59" s="3">
        <v>0</v>
      </c>
      <c r="P59" s="4">
        <f t="shared" si="0"/>
        <v>218</v>
      </c>
      <c r="Q59" s="1" t="s">
        <v>14</v>
      </c>
      <c r="R59" s="44">
        <v>200</v>
      </c>
      <c r="S59" s="47">
        <v>500</v>
      </c>
      <c r="T59" s="4"/>
    </row>
    <row r="60" spans="1:20" x14ac:dyDescent="0.25">
      <c r="A60" s="7">
        <v>57</v>
      </c>
      <c r="D60" s="9" t="s">
        <v>72</v>
      </c>
      <c r="E60" s="10"/>
      <c r="F60" s="10"/>
      <c r="G60" s="11"/>
      <c r="H60" s="12">
        <v>50</v>
      </c>
      <c r="I60" s="7" t="s">
        <v>2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4">
        <f t="shared" si="0"/>
        <v>50</v>
      </c>
      <c r="Q60" s="1" t="s">
        <v>14</v>
      </c>
      <c r="R60" s="44">
        <v>15</v>
      </c>
      <c r="S60" s="47">
        <v>300</v>
      </c>
      <c r="T60" s="4"/>
    </row>
    <row r="61" spans="1:20" x14ac:dyDescent="0.25">
      <c r="A61" s="7">
        <v>58</v>
      </c>
      <c r="D61" s="16" t="s">
        <v>182</v>
      </c>
      <c r="E61" s="17"/>
      <c r="F61" s="17"/>
      <c r="G61" s="18"/>
      <c r="H61" s="12">
        <v>376</v>
      </c>
      <c r="I61" s="7" t="s">
        <v>2</v>
      </c>
      <c r="J61" s="3">
        <v>0</v>
      </c>
      <c r="K61" s="3">
        <v>0</v>
      </c>
      <c r="L61" s="3">
        <v>9</v>
      </c>
      <c r="M61" s="3">
        <v>0</v>
      </c>
      <c r="N61" s="3">
        <v>0</v>
      </c>
      <c r="O61" s="3">
        <v>0</v>
      </c>
      <c r="P61" s="4">
        <f t="shared" si="0"/>
        <v>367</v>
      </c>
      <c r="Q61" s="1" t="s">
        <v>14</v>
      </c>
      <c r="R61" s="44">
        <v>150</v>
      </c>
      <c r="S61" s="47">
        <v>600</v>
      </c>
      <c r="T61" s="4"/>
    </row>
    <row r="62" spans="1:20" x14ac:dyDescent="0.25">
      <c r="A62" s="7">
        <v>59</v>
      </c>
      <c r="D62" s="9" t="s">
        <v>181</v>
      </c>
      <c r="E62" s="10"/>
      <c r="F62" s="10"/>
      <c r="G62" s="11"/>
      <c r="H62" s="12">
        <v>40</v>
      </c>
      <c r="I62" s="7" t="s">
        <v>2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4">
        <f t="shared" si="0"/>
        <v>40</v>
      </c>
      <c r="Q62" s="1" t="s">
        <v>14</v>
      </c>
      <c r="R62" s="44">
        <v>50</v>
      </c>
      <c r="S62" s="47">
        <v>200</v>
      </c>
      <c r="T62" s="4"/>
    </row>
    <row r="63" spans="1:20" x14ac:dyDescent="0.25">
      <c r="A63" s="7">
        <v>60</v>
      </c>
      <c r="D63" s="16" t="s">
        <v>130</v>
      </c>
      <c r="E63" s="17"/>
      <c r="F63" s="17"/>
      <c r="G63" s="18"/>
      <c r="H63" s="12">
        <v>172</v>
      </c>
      <c r="I63" s="7" t="s">
        <v>2</v>
      </c>
      <c r="J63" s="3">
        <v>0</v>
      </c>
      <c r="K63" s="3">
        <v>0</v>
      </c>
      <c r="L63" s="3">
        <v>4</v>
      </c>
      <c r="M63" s="3">
        <v>0</v>
      </c>
      <c r="N63" s="3">
        <v>0</v>
      </c>
      <c r="O63" s="3">
        <v>0</v>
      </c>
      <c r="P63" s="4">
        <f t="shared" si="0"/>
        <v>168</v>
      </c>
      <c r="Q63" s="1" t="s">
        <v>14</v>
      </c>
      <c r="R63" s="44">
        <v>20</v>
      </c>
      <c r="S63" s="46">
        <v>200</v>
      </c>
      <c r="T63" s="4"/>
    </row>
    <row r="64" spans="1:20" x14ac:dyDescent="0.25">
      <c r="A64" s="7">
        <v>61</v>
      </c>
      <c r="D64" s="26" t="s">
        <v>14</v>
      </c>
      <c r="E64" s="27"/>
      <c r="F64" s="27"/>
      <c r="G64" s="28"/>
      <c r="H64" s="12">
        <v>0</v>
      </c>
      <c r="I64" s="30" t="s">
        <v>2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4">
        <f t="shared" si="0"/>
        <v>0</v>
      </c>
      <c r="Q64" s="1" t="s">
        <v>14</v>
      </c>
      <c r="R64" s="44">
        <v>0</v>
      </c>
      <c r="S64" s="47">
        <v>0</v>
      </c>
      <c r="T64" s="4"/>
    </row>
    <row r="65" spans="1:20" x14ac:dyDescent="0.25">
      <c r="A65" s="7">
        <v>62</v>
      </c>
      <c r="D65" s="16" t="s">
        <v>65</v>
      </c>
      <c r="E65" s="17"/>
      <c r="F65" s="17"/>
      <c r="G65" s="18"/>
      <c r="H65" s="12">
        <v>25</v>
      </c>
      <c r="I65" s="7" t="s">
        <v>2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4">
        <f t="shared" si="0"/>
        <v>25</v>
      </c>
      <c r="Q65" s="1" t="s">
        <v>14</v>
      </c>
      <c r="R65" s="44">
        <v>10</v>
      </c>
      <c r="S65" s="46">
        <v>50</v>
      </c>
      <c r="T65" s="4"/>
    </row>
    <row r="66" spans="1:20" x14ac:dyDescent="0.25">
      <c r="A66" s="7">
        <v>63</v>
      </c>
      <c r="D66" s="9" t="s">
        <v>66</v>
      </c>
      <c r="E66" s="10"/>
      <c r="F66" s="10"/>
      <c r="G66" s="11"/>
      <c r="H66" s="12">
        <v>50</v>
      </c>
      <c r="I66" s="7" t="s">
        <v>2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  <c r="P66" s="4">
        <f t="shared" si="0"/>
        <v>50</v>
      </c>
      <c r="Q66" s="1" t="s">
        <v>14</v>
      </c>
      <c r="R66" s="44">
        <v>300</v>
      </c>
      <c r="S66" s="47">
        <v>1000</v>
      </c>
      <c r="T66" s="4"/>
    </row>
    <row r="67" spans="1:20" x14ac:dyDescent="0.25">
      <c r="A67" s="7">
        <v>64</v>
      </c>
      <c r="D67" s="19" t="s">
        <v>165</v>
      </c>
      <c r="E67" s="20"/>
      <c r="F67" s="20"/>
      <c r="G67" s="21"/>
      <c r="H67" s="12">
        <v>49</v>
      </c>
      <c r="I67" s="7" t="s">
        <v>2</v>
      </c>
      <c r="J67" s="3">
        <v>0</v>
      </c>
      <c r="K67" s="3">
        <v>0</v>
      </c>
      <c r="L67" s="3">
        <v>4</v>
      </c>
      <c r="M67" s="3">
        <v>0</v>
      </c>
      <c r="N67" s="3">
        <v>0</v>
      </c>
      <c r="O67" s="3">
        <v>0</v>
      </c>
      <c r="P67" s="4">
        <f t="shared" si="0"/>
        <v>45</v>
      </c>
      <c r="Q67" s="1" t="s">
        <v>14</v>
      </c>
      <c r="R67" s="44">
        <v>50</v>
      </c>
      <c r="S67" s="47">
        <v>150</v>
      </c>
      <c r="T67" s="4"/>
    </row>
    <row r="68" spans="1:20" x14ac:dyDescent="0.25">
      <c r="A68" s="7">
        <v>65</v>
      </c>
      <c r="D68" s="22" t="s">
        <v>74</v>
      </c>
      <c r="E68" s="10"/>
      <c r="F68" s="10"/>
      <c r="G68" s="11"/>
      <c r="H68" s="12">
        <v>140</v>
      </c>
      <c r="I68" s="8" t="s">
        <v>75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4">
        <f t="shared" ref="P68:P89" si="1">+H68+J68-K68-L68-M68-N68-O68</f>
        <v>140</v>
      </c>
      <c r="Q68" s="1">
        <v>22</v>
      </c>
      <c r="R68" s="44">
        <v>65</v>
      </c>
      <c r="S68" s="47">
        <v>150</v>
      </c>
      <c r="T68" s="4"/>
    </row>
    <row r="69" spans="1:20" x14ac:dyDescent="0.25">
      <c r="A69" s="7">
        <v>66</v>
      </c>
      <c r="C69" s="1" t="s">
        <v>14</v>
      </c>
      <c r="D69" s="22" t="s">
        <v>76</v>
      </c>
      <c r="E69" s="10"/>
      <c r="F69" s="10"/>
      <c r="G69" s="11"/>
      <c r="H69" s="12">
        <v>213</v>
      </c>
      <c r="I69" s="8" t="s">
        <v>2</v>
      </c>
      <c r="J69" s="3">
        <v>0</v>
      </c>
      <c r="K69" s="3">
        <v>0</v>
      </c>
      <c r="L69" s="3">
        <v>44</v>
      </c>
      <c r="M69" s="3">
        <v>0</v>
      </c>
      <c r="N69" s="3">
        <v>16</v>
      </c>
      <c r="O69" s="3">
        <v>0</v>
      </c>
      <c r="P69" s="4">
        <f t="shared" si="1"/>
        <v>153</v>
      </c>
      <c r="Q69" s="1" t="s">
        <v>14</v>
      </c>
      <c r="R69" s="44">
        <v>50</v>
      </c>
      <c r="S69" s="47">
        <v>100</v>
      </c>
      <c r="T69" s="4"/>
    </row>
    <row r="70" spans="1:20" x14ac:dyDescent="0.25">
      <c r="A70" s="7">
        <v>67</v>
      </c>
      <c r="D70" s="25" t="s">
        <v>147</v>
      </c>
      <c r="H70" s="12">
        <v>18</v>
      </c>
      <c r="I70" s="30" t="s">
        <v>2</v>
      </c>
      <c r="J70" s="3">
        <v>100</v>
      </c>
      <c r="K70" s="3">
        <v>0</v>
      </c>
      <c r="L70" s="3">
        <v>9</v>
      </c>
      <c r="M70" s="3">
        <v>2</v>
      </c>
      <c r="N70" s="3">
        <v>90</v>
      </c>
      <c r="O70" s="3">
        <v>0</v>
      </c>
      <c r="P70" s="4">
        <f t="shared" si="1"/>
        <v>17</v>
      </c>
      <c r="Q70" s="1" t="s">
        <v>14</v>
      </c>
      <c r="R70" s="44">
        <v>50</v>
      </c>
      <c r="S70" s="47">
        <v>100</v>
      </c>
      <c r="T70" s="4"/>
    </row>
    <row r="71" spans="1:20" x14ac:dyDescent="0.25">
      <c r="A71" s="7">
        <v>68</v>
      </c>
      <c r="D71" s="26" t="s">
        <v>80</v>
      </c>
      <c r="E71" s="27"/>
      <c r="F71" s="27"/>
      <c r="G71" s="28"/>
      <c r="H71" s="12">
        <v>24</v>
      </c>
      <c r="I71" s="8" t="s">
        <v>2</v>
      </c>
      <c r="J71" s="3">
        <v>0</v>
      </c>
      <c r="K71" s="3">
        <v>0</v>
      </c>
      <c r="L71" s="3">
        <v>4</v>
      </c>
      <c r="M71" s="3">
        <v>0</v>
      </c>
      <c r="N71" s="3">
        <v>0</v>
      </c>
      <c r="O71" s="3">
        <v>0</v>
      </c>
      <c r="P71" s="4">
        <f t="shared" si="1"/>
        <v>20</v>
      </c>
      <c r="Q71" s="1" t="s">
        <v>14</v>
      </c>
      <c r="R71" s="44">
        <v>20</v>
      </c>
      <c r="S71" s="46">
        <v>200</v>
      </c>
      <c r="T71" s="4"/>
    </row>
    <row r="72" spans="1:20" x14ac:dyDescent="0.25">
      <c r="A72" s="7">
        <v>69</v>
      </c>
      <c r="D72" s="26" t="s">
        <v>194</v>
      </c>
      <c r="E72" s="27"/>
      <c r="F72" s="27"/>
      <c r="G72" s="28"/>
      <c r="H72" s="12">
        <v>0</v>
      </c>
      <c r="I72" s="8" t="s">
        <v>2</v>
      </c>
      <c r="J72" s="3">
        <v>250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  <c r="P72" s="4">
        <f t="shared" si="1"/>
        <v>250</v>
      </c>
      <c r="Q72" s="1" t="s">
        <v>14</v>
      </c>
      <c r="R72" s="44" t="s">
        <v>14</v>
      </c>
      <c r="S72" s="47" t="s">
        <v>14</v>
      </c>
      <c r="T72" s="4"/>
    </row>
    <row r="73" spans="1:20" x14ac:dyDescent="0.25">
      <c r="A73" s="7">
        <v>70</v>
      </c>
      <c r="D73" s="26" t="s">
        <v>167</v>
      </c>
      <c r="E73" s="27"/>
      <c r="F73" s="27"/>
      <c r="G73" s="28"/>
      <c r="H73" s="12">
        <v>43</v>
      </c>
      <c r="I73" s="8" t="s">
        <v>2</v>
      </c>
      <c r="J73" s="3">
        <v>0</v>
      </c>
      <c r="K73" s="3">
        <v>0</v>
      </c>
      <c r="L73" s="3">
        <v>4</v>
      </c>
      <c r="M73" s="3">
        <v>0</v>
      </c>
      <c r="N73" s="3">
        <v>0</v>
      </c>
      <c r="O73" s="3">
        <v>0</v>
      </c>
      <c r="P73" s="4">
        <f t="shared" si="1"/>
        <v>39</v>
      </c>
      <c r="R73" s="44">
        <v>20</v>
      </c>
      <c r="S73" s="46">
        <v>200</v>
      </c>
      <c r="T73" s="4"/>
    </row>
    <row r="74" spans="1:20" x14ac:dyDescent="0.25">
      <c r="A74" s="7">
        <v>71</v>
      </c>
      <c r="D74" s="37" t="s">
        <v>176</v>
      </c>
      <c r="E74" s="17"/>
      <c r="F74" s="33"/>
      <c r="G74" s="33"/>
      <c r="H74" s="12">
        <v>1960</v>
      </c>
      <c r="I74" s="8" t="s">
        <v>2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4">
        <f t="shared" si="1"/>
        <v>1960</v>
      </c>
      <c r="Q74" s="1" t="s">
        <v>14</v>
      </c>
      <c r="R74" s="44">
        <v>100</v>
      </c>
      <c r="S74" s="47">
        <v>500</v>
      </c>
      <c r="T74" s="4"/>
    </row>
    <row r="75" spans="1:20" x14ac:dyDescent="0.25">
      <c r="A75" s="7">
        <v>72</v>
      </c>
      <c r="D75" s="22" t="s">
        <v>14</v>
      </c>
      <c r="E75" s="10"/>
      <c r="F75" s="10"/>
      <c r="G75" s="28"/>
      <c r="H75" s="12">
        <v>0</v>
      </c>
      <c r="I75" s="8" t="s">
        <v>2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4">
        <f t="shared" si="1"/>
        <v>0</v>
      </c>
      <c r="R75" s="44">
        <v>0</v>
      </c>
      <c r="S75" s="46"/>
      <c r="T75" s="4"/>
    </row>
    <row r="76" spans="1:20" x14ac:dyDescent="0.25">
      <c r="A76" s="7">
        <v>73</v>
      </c>
      <c r="D76" s="37" t="s">
        <v>113</v>
      </c>
      <c r="E76" s="17"/>
      <c r="F76" s="17"/>
      <c r="G76" s="33"/>
      <c r="H76" s="12">
        <v>886</v>
      </c>
      <c r="I76" s="8" t="s">
        <v>97</v>
      </c>
      <c r="J76" s="3">
        <v>0</v>
      </c>
      <c r="K76" s="3">
        <v>0</v>
      </c>
      <c r="L76" s="3">
        <v>115</v>
      </c>
      <c r="M76" s="3">
        <v>51</v>
      </c>
      <c r="N76" s="3">
        <v>83</v>
      </c>
      <c r="O76" s="3">
        <v>0</v>
      </c>
      <c r="P76" s="4">
        <f t="shared" si="1"/>
        <v>637</v>
      </c>
      <c r="Q76" s="65" t="s">
        <v>121</v>
      </c>
      <c r="R76" s="44">
        <v>300</v>
      </c>
      <c r="S76" s="47">
        <v>1000</v>
      </c>
      <c r="T76" s="4"/>
    </row>
    <row r="77" spans="1:20" x14ac:dyDescent="0.25">
      <c r="A77" s="7">
        <v>74</v>
      </c>
      <c r="D77" s="22" t="s">
        <v>103</v>
      </c>
      <c r="E77" s="10"/>
      <c r="F77" s="10"/>
      <c r="G77" s="28"/>
      <c r="H77" s="12">
        <v>118</v>
      </c>
      <c r="I77" s="8" t="s">
        <v>132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4">
        <f t="shared" si="1"/>
        <v>118</v>
      </c>
      <c r="R77" s="44">
        <v>60</v>
      </c>
      <c r="S77" s="47">
        <v>100</v>
      </c>
      <c r="T77" s="4"/>
    </row>
    <row r="78" spans="1:20" x14ac:dyDescent="0.25">
      <c r="A78" s="8">
        <v>75</v>
      </c>
      <c r="D78" s="49" t="s">
        <v>108</v>
      </c>
      <c r="E78" s="20"/>
      <c r="F78" s="20"/>
      <c r="G78" s="20"/>
      <c r="H78" s="12">
        <v>5300</v>
      </c>
      <c r="I78" s="8" t="s">
        <v>110</v>
      </c>
      <c r="J78" s="3">
        <v>7000</v>
      </c>
      <c r="K78" s="3">
        <v>0</v>
      </c>
      <c r="L78" s="3">
        <v>2300</v>
      </c>
      <c r="M78" s="3">
        <v>500</v>
      </c>
      <c r="N78" s="3">
        <v>500</v>
      </c>
      <c r="O78" s="3">
        <v>0</v>
      </c>
      <c r="P78" s="99">
        <f t="shared" si="1"/>
        <v>9000</v>
      </c>
      <c r="R78" s="95">
        <v>10000</v>
      </c>
      <c r="S78" s="96">
        <v>30000</v>
      </c>
      <c r="T78" s="4"/>
    </row>
    <row r="79" spans="1:20" x14ac:dyDescent="0.25">
      <c r="A79" s="48">
        <v>76</v>
      </c>
      <c r="B79" s="41"/>
      <c r="C79" s="41"/>
      <c r="D79" s="22" t="s">
        <v>115</v>
      </c>
      <c r="E79" s="10"/>
      <c r="F79" s="10"/>
      <c r="G79" s="11"/>
      <c r="H79" s="12">
        <v>13</v>
      </c>
      <c r="I79" s="62" t="s">
        <v>2</v>
      </c>
      <c r="J79" s="3">
        <v>100</v>
      </c>
      <c r="K79" s="3">
        <v>0</v>
      </c>
      <c r="L79" s="3">
        <v>9</v>
      </c>
      <c r="M79" s="3">
        <v>2</v>
      </c>
      <c r="N79" s="3">
        <v>90</v>
      </c>
      <c r="O79" s="3">
        <v>0</v>
      </c>
      <c r="P79" s="64">
        <f t="shared" si="1"/>
        <v>12</v>
      </c>
      <c r="R79" s="64">
        <v>50</v>
      </c>
      <c r="S79" s="64">
        <v>100</v>
      </c>
      <c r="T79" s="4" t="s">
        <v>14</v>
      </c>
    </row>
    <row r="80" spans="1:20" x14ac:dyDescent="0.25">
      <c r="A80" s="73">
        <v>77</v>
      </c>
      <c r="B80" s="41"/>
      <c r="C80" s="41"/>
      <c r="D80" s="49" t="s">
        <v>134</v>
      </c>
      <c r="E80" s="35"/>
      <c r="F80" s="35"/>
      <c r="G80" s="60"/>
      <c r="H80" s="12">
        <v>115</v>
      </c>
      <c r="I80" s="8" t="s">
        <v>2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  <c r="P80" s="4">
        <f t="shared" si="1"/>
        <v>115</v>
      </c>
      <c r="Q80" s="4"/>
      <c r="R80" s="4">
        <v>20</v>
      </c>
      <c r="S80" s="4">
        <v>50</v>
      </c>
      <c r="T80" s="4"/>
    </row>
    <row r="81" spans="1:20" x14ac:dyDescent="0.25">
      <c r="A81" s="8">
        <v>78</v>
      </c>
      <c r="D81" s="22" t="s">
        <v>123</v>
      </c>
      <c r="E81" s="10"/>
      <c r="F81" s="10"/>
      <c r="G81" s="11"/>
      <c r="H81" s="12">
        <v>500</v>
      </c>
      <c r="I81" s="8" t="s">
        <v>2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  <c r="P81" s="4">
        <f t="shared" si="1"/>
        <v>500</v>
      </c>
      <c r="Q81" s="4"/>
      <c r="R81" s="4">
        <v>500</v>
      </c>
      <c r="S81" s="4">
        <v>2500</v>
      </c>
      <c r="T81" s="4"/>
    </row>
    <row r="82" spans="1:20" x14ac:dyDescent="0.25">
      <c r="A82" s="48">
        <v>79</v>
      </c>
      <c r="B82" s="41"/>
      <c r="C82" s="41"/>
      <c r="D82" s="22" t="s">
        <v>177</v>
      </c>
      <c r="E82" s="10"/>
      <c r="F82" s="10"/>
      <c r="G82" s="11"/>
      <c r="H82" s="4">
        <v>300</v>
      </c>
      <c r="I82" s="8" t="s">
        <v>110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  <c r="P82" s="4">
        <f t="shared" si="1"/>
        <v>300</v>
      </c>
      <c r="Q82" s="4" t="s">
        <v>110</v>
      </c>
      <c r="R82" s="4">
        <v>250</v>
      </c>
      <c r="S82" s="4">
        <v>2000</v>
      </c>
      <c r="T82" s="4"/>
    </row>
    <row r="83" spans="1:20" x14ac:dyDescent="0.25">
      <c r="A83" s="48">
        <v>80</v>
      </c>
      <c r="B83" s="41"/>
      <c r="C83" s="41"/>
      <c r="D83" s="37" t="s">
        <v>178</v>
      </c>
      <c r="E83" s="17"/>
      <c r="F83" s="17"/>
      <c r="G83" s="18"/>
      <c r="H83" s="64">
        <v>3000</v>
      </c>
      <c r="I83" s="62" t="s">
        <v>110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64">
        <f t="shared" si="1"/>
        <v>3000</v>
      </c>
      <c r="Q83" s="64" t="s">
        <v>110</v>
      </c>
      <c r="R83" s="64">
        <v>3000</v>
      </c>
      <c r="S83" s="64">
        <v>10000</v>
      </c>
      <c r="T83" s="4"/>
    </row>
    <row r="84" spans="1:20" x14ac:dyDescent="0.25">
      <c r="A84" s="48">
        <v>81</v>
      </c>
      <c r="B84" s="11"/>
      <c r="C84" s="23"/>
      <c r="D84" s="68" t="s">
        <v>192</v>
      </c>
      <c r="E84" s="27"/>
      <c r="F84" s="27"/>
      <c r="G84" s="28"/>
      <c r="H84" s="74">
        <v>300</v>
      </c>
      <c r="I84" s="75" t="s">
        <v>110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4">
        <f t="shared" si="1"/>
        <v>300</v>
      </c>
      <c r="Q84" s="4"/>
      <c r="R84" s="4">
        <v>10</v>
      </c>
      <c r="S84" s="4">
        <v>50</v>
      </c>
      <c r="T84" s="4"/>
    </row>
    <row r="85" spans="1:20" x14ac:dyDescent="0.25">
      <c r="A85" s="8">
        <v>82</v>
      </c>
      <c r="D85" s="68" t="s">
        <v>148</v>
      </c>
      <c r="E85" s="27"/>
      <c r="F85" s="27"/>
      <c r="G85" s="28"/>
      <c r="H85" s="4">
        <v>0</v>
      </c>
      <c r="I85" s="8" t="s">
        <v>2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4">
        <f t="shared" si="1"/>
        <v>0</v>
      </c>
      <c r="Q85" s="4"/>
      <c r="R85" s="4">
        <v>50</v>
      </c>
      <c r="S85" s="4">
        <v>200</v>
      </c>
      <c r="T85" s="4"/>
    </row>
    <row r="86" spans="1:20" ht="15.75" customHeight="1" x14ac:dyDescent="0.25">
      <c r="A86" s="8">
        <v>83</v>
      </c>
      <c r="D86" s="79" t="s">
        <v>150</v>
      </c>
      <c r="E86" s="80"/>
      <c r="F86" s="81"/>
      <c r="G86" s="82"/>
      <c r="H86" s="4">
        <v>197</v>
      </c>
      <c r="I86" s="8" t="s">
        <v>2</v>
      </c>
      <c r="J86" s="3">
        <v>0</v>
      </c>
      <c r="K86" s="3">
        <v>0</v>
      </c>
      <c r="L86" s="3">
        <v>5</v>
      </c>
      <c r="M86" s="3">
        <v>0</v>
      </c>
      <c r="N86" s="3">
        <v>0</v>
      </c>
      <c r="O86" s="3">
        <v>0</v>
      </c>
      <c r="P86" s="4">
        <f t="shared" si="1"/>
        <v>192</v>
      </c>
      <c r="Q86" s="4"/>
      <c r="R86" s="4">
        <v>100</v>
      </c>
      <c r="S86" s="4">
        <v>500</v>
      </c>
      <c r="T86" s="4"/>
    </row>
    <row r="87" spans="1:20" x14ac:dyDescent="0.25">
      <c r="A87" s="8">
        <v>84</v>
      </c>
      <c r="D87" s="22" t="s">
        <v>183</v>
      </c>
      <c r="E87" s="10"/>
      <c r="F87" s="10"/>
      <c r="G87" s="11"/>
      <c r="H87" s="23">
        <v>597</v>
      </c>
      <c r="I87" s="8" t="s">
        <v>2</v>
      </c>
      <c r="J87" s="3">
        <v>0</v>
      </c>
      <c r="K87" s="3">
        <v>0</v>
      </c>
      <c r="L87" s="3">
        <v>0</v>
      </c>
      <c r="M87" s="3">
        <v>0</v>
      </c>
      <c r="N87" s="3">
        <v>1</v>
      </c>
      <c r="O87" s="3">
        <v>0</v>
      </c>
      <c r="P87" s="4">
        <f t="shared" si="1"/>
        <v>596</v>
      </c>
      <c r="Q87" s="4"/>
      <c r="R87" s="4">
        <v>20</v>
      </c>
      <c r="S87" s="4">
        <v>300</v>
      </c>
      <c r="T87" s="4"/>
    </row>
    <row r="88" spans="1:20" x14ac:dyDescent="0.25">
      <c r="A88" s="8">
        <v>85</v>
      </c>
      <c r="D88" s="49" t="s">
        <v>153</v>
      </c>
      <c r="E88" s="20"/>
      <c r="F88" s="20"/>
      <c r="G88" s="21"/>
      <c r="H88" s="23">
        <v>8</v>
      </c>
      <c r="I88" s="8" t="s">
        <v>2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4">
        <f t="shared" si="1"/>
        <v>8</v>
      </c>
      <c r="Q88" s="4"/>
      <c r="R88" s="4">
        <v>10</v>
      </c>
      <c r="S88" s="4">
        <v>200</v>
      </c>
      <c r="T88" s="4"/>
    </row>
    <row r="89" spans="1:20" x14ac:dyDescent="0.25">
      <c r="A89" s="77">
        <v>86</v>
      </c>
      <c r="D89" s="68" t="s">
        <v>14</v>
      </c>
      <c r="E89" s="27"/>
      <c r="F89" s="27"/>
      <c r="G89" s="28"/>
      <c r="H89" s="74">
        <v>0</v>
      </c>
      <c r="I89" s="75" t="s">
        <v>14</v>
      </c>
      <c r="J89" s="3">
        <v>0</v>
      </c>
      <c r="K89" s="3">
        <v>0</v>
      </c>
      <c r="L89" s="3">
        <v>0</v>
      </c>
      <c r="M89" s="3">
        <v>0</v>
      </c>
      <c r="N89" s="3">
        <v>0</v>
      </c>
      <c r="O89" s="3">
        <v>0</v>
      </c>
      <c r="P89" s="4">
        <f t="shared" si="1"/>
        <v>0</v>
      </c>
      <c r="Q89" s="4"/>
      <c r="R89" s="4" t="s">
        <v>14</v>
      </c>
      <c r="S89" s="4" t="s">
        <v>14</v>
      </c>
      <c r="T89" s="4"/>
    </row>
  </sheetData>
  <pageMargins left="0.75" right="0.75" top="1" bottom="1" header="0.5" footer="0.5"/>
  <pageSetup paperSize="9" orientation="portrait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858B30-D301-4DE1-B53D-D8838029D019}">
  <dimension ref="A1:T89"/>
  <sheetViews>
    <sheetView workbookViewId="0">
      <selection activeCell="N14" sqref="N14"/>
    </sheetView>
  </sheetViews>
  <sheetFormatPr defaultRowHeight="15" x14ac:dyDescent="0.25"/>
  <cols>
    <col min="1" max="1" width="5.5703125" customWidth="1"/>
    <col min="2" max="3" width="9.140625" hidden="1" customWidth="1"/>
    <col min="6" max="6" width="12.7109375" customWidth="1"/>
    <col min="8" max="8" width="10.140625" customWidth="1"/>
    <col min="9" max="9" width="10" customWidth="1"/>
    <col min="10" max="10" width="7.7109375" customWidth="1"/>
    <col min="11" max="11" width="10.7109375" customWidth="1"/>
    <col min="12" max="12" width="10.140625" customWidth="1"/>
    <col min="13" max="13" width="11.85546875" customWidth="1"/>
    <col min="14" max="15" width="11.7109375" customWidth="1"/>
    <col min="16" max="16" width="10.140625" customWidth="1"/>
    <col min="17" max="17" width="4.7109375" customWidth="1"/>
    <col min="18" max="18" width="10.140625" customWidth="1"/>
    <col min="19" max="19" width="11.5703125" customWidth="1"/>
    <col min="20" max="20" width="0.28515625" customWidth="1"/>
  </cols>
  <sheetData>
    <row r="1" spans="1:20" x14ac:dyDescent="0.25">
      <c r="G1" s="1"/>
      <c r="P1">
        <f>+H1+J1-K1-L1-M1-N1-O1</f>
        <v>0</v>
      </c>
    </row>
    <row r="2" spans="1:20" x14ac:dyDescent="0.25">
      <c r="A2" t="s">
        <v>14</v>
      </c>
      <c r="D2" s="78" t="s">
        <v>195</v>
      </c>
      <c r="O2" s="38" t="s">
        <v>14</v>
      </c>
      <c r="S2" s="50">
        <v>45656</v>
      </c>
    </row>
    <row r="3" spans="1:20" x14ac:dyDescent="0.25">
      <c r="A3" s="3" t="s">
        <v>15</v>
      </c>
      <c r="D3" s="9" t="s">
        <v>17</v>
      </c>
      <c r="E3" s="10"/>
      <c r="F3" s="10"/>
      <c r="G3" s="11"/>
      <c r="H3" s="12" t="s">
        <v>18</v>
      </c>
      <c r="I3" s="4" t="s">
        <v>19</v>
      </c>
      <c r="J3" s="3" t="s">
        <v>20</v>
      </c>
      <c r="K3" s="5">
        <v>45842</v>
      </c>
      <c r="L3" s="6">
        <v>45849</v>
      </c>
      <c r="M3" s="5">
        <v>45856</v>
      </c>
      <c r="N3" s="5">
        <v>45863</v>
      </c>
      <c r="O3" s="6">
        <v>45869</v>
      </c>
      <c r="P3" s="3" t="s">
        <v>21</v>
      </c>
      <c r="R3" s="42" t="s">
        <v>105</v>
      </c>
      <c r="S3" s="45" t="s">
        <v>104</v>
      </c>
      <c r="T3" s="4"/>
    </row>
    <row r="4" spans="1:20" x14ac:dyDescent="0.25">
      <c r="A4" s="7">
        <v>1</v>
      </c>
      <c r="D4" s="13" t="s">
        <v>16</v>
      </c>
      <c r="E4" s="14"/>
      <c r="F4" s="14"/>
      <c r="G4" s="15"/>
      <c r="H4" s="12">
        <v>307</v>
      </c>
      <c r="I4" s="7" t="s">
        <v>1</v>
      </c>
      <c r="J4" s="3">
        <v>0</v>
      </c>
      <c r="K4" s="3">
        <v>23</v>
      </c>
      <c r="L4" s="3">
        <v>0</v>
      </c>
      <c r="M4" s="3">
        <v>0</v>
      </c>
      <c r="N4" s="3">
        <v>25</v>
      </c>
      <c r="O4" s="3">
        <v>0</v>
      </c>
      <c r="P4" s="4">
        <f t="shared" ref="P4:P67" si="0">+H4+J4-K4-L4-M4-N4-O4</f>
        <v>259</v>
      </c>
      <c r="Q4" t="s">
        <v>173</v>
      </c>
      <c r="R4" s="43">
        <v>150</v>
      </c>
      <c r="S4" s="46">
        <v>500</v>
      </c>
      <c r="T4" s="4" t="s">
        <v>14</v>
      </c>
    </row>
    <row r="5" spans="1:20" x14ac:dyDescent="0.25">
      <c r="A5" s="7">
        <v>2</v>
      </c>
      <c r="D5" s="9" t="s">
        <v>14</v>
      </c>
      <c r="E5" s="10"/>
      <c r="F5" s="10"/>
      <c r="G5" s="11"/>
      <c r="H5" s="12">
        <v>0</v>
      </c>
      <c r="I5" s="7" t="s">
        <v>14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4">
        <f t="shared" si="0"/>
        <v>0</v>
      </c>
      <c r="Q5" s="1" t="s">
        <v>14</v>
      </c>
      <c r="R5" s="44">
        <v>0</v>
      </c>
      <c r="S5" s="47">
        <v>0</v>
      </c>
      <c r="T5" s="4"/>
    </row>
    <row r="6" spans="1:20" x14ac:dyDescent="0.25">
      <c r="A6" s="7">
        <v>3</v>
      </c>
      <c r="D6" s="16" t="s">
        <v>23</v>
      </c>
      <c r="E6" s="17"/>
      <c r="F6" s="17"/>
      <c r="G6" s="18"/>
      <c r="H6" s="12">
        <v>34</v>
      </c>
      <c r="I6" s="7" t="s">
        <v>2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4">
        <f t="shared" si="0"/>
        <v>34</v>
      </c>
      <c r="Q6" s="1" t="s">
        <v>14</v>
      </c>
      <c r="R6" s="44">
        <v>6</v>
      </c>
      <c r="S6" s="47">
        <v>10</v>
      </c>
      <c r="T6" s="4"/>
    </row>
    <row r="7" spans="1:20" x14ac:dyDescent="0.25">
      <c r="A7" s="7">
        <v>4</v>
      </c>
      <c r="D7" s="9" t="s">
        <v>3</v>
      </c>
      <c r="E7" s="10"/>
      <c r="F7" s="10"/>
      <c r="G7" s="11"/>
      <c r="H7" s="12">
        <v>22</v>
      </c>
      <c r="I7" s="7" t="s">
        <v>2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4">
        <f t="shared" si="0"/>
        <v>22</v>
      </c>
      <c r="Q7" s="1" t="s">
        <v>14</v>
      </c>
      <c r="R7" s="44">
        <v>6</v>
      </c>
      <c r="S7" s="47">
        <v>10</v>
      </c>
      <c r="T7" s="4"/>
    </row>
    <row r="8" spans="1:20" x14ac:dyDescent="0.25">
      <c r="A8" s="7">
        <v>5</v>
      </c>
      <c r="D8" s="16" t="s">
        <v>139</v>
      </c>
      <c r="E8" s="17"/>
      <c r="F8" s="17"/>
      <c r="G8" s="18"/>
      <c r="H8" s="12">
        <v>98</v>
      </c>
      <c r="I8" s="7" t="s">
        <v>2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4">
        <f t="shared" si="0"/>
        <v>98</v>
      </c>
      <c r="Q8" s="1" t="s">
        <v>14</v>
      </c>
      <c r="R8" s="44">
        <v>50</v>
      </c>
      <c r="S8" s="47">
        <v>400</v>
      </c>
      <c r="T8" s="4"/>
    </row>
    <row r="9" spans="1:20" x14ac:dyDescent="0.25">
      <c r="A9" s="7">
        <v>6</v>
      </c>
      <c r="D9" s="9" t="s">
        <v>24</v>
      </c>
      <c r="E9" s="10"/>
      <c r="F9" s="10"/>
      <c r="G9" s="11"/>
      <c r="H9" s="12">
        <v>170</v>
      </c>
      <c r="I9" s="7" t="s">
        <v>171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4">
        <f t="shared" si="0"/>
        <v>170</v>
      </c>
      <c r="Q9" s="1" t="s">
        <v>132</v>
      </c>
      <c r="R9" s="44">
        <v>100</v>
      </c>
      <c r="S9" s="47">
        <v>400</v>
      </c>
      <c r="T9" s="4"/>
    </row>
    <row r="10" spans="1:20" x14ac:dyDescent="0.25">
      <c r="A10" s="7">
        <v>7</v>
      </c>
      <c r="D10" s="16" t="s">
        <v>101</v>
      </c>
      <c r="E10" s="17"/>
      <c r="F10" s="17"/>
      <c r="G10" s="18"/>
      <c r="H10" s="12">
        <v>191</v>
      </c>
      <c r="I10" s="7" t="s">
        <v>171</v>
      </c>
      <c r="J10" s="3">
        <v>420</v>
      </c>
      <c r="K10" s="3">
        <v>15</v>
      </c>
      <c r="L10" s="3">
        <v>20</v>
      </c>
      <c r="M10" s="3">
        <v>0</v>
      </c>
      <c r="N10" s="3">
        <v>350</v>
      </c>
      <c r="O10" s="3">
        <v>0</v>
      </c>
      <c r="P10" s="4">
        <f t="shared" si="0"/>
        <v>226</v>
      </c>
      <c r="Q10" s="1" t="s">
        <v>171</v>
      </c>
      <c r="R10" s="44">
        <v>200</v>
      </c>
      <c r="S10" s="47">
        <v>500</v>
      </c>
      <c r="T10" s="4"/>
    </row>
    <row r="11" spans="1:20" x14ac:dyDescent="0.25">
      <c r="A11" s="7">
        <v>8</v>
      </c>
      <c r="D11" s="9" t="s">
        <v>25</v>
      </c>
      <c r="E11" s="10"/>
      <c r="F11" s="10"/>
      <c r="G11" s="11"/>
      <c r="H11" s="12">
        <v>290</v>
      </c>
      <c r="I11" s="7" t="s">
        <v>2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4">
        <f t="shared" si="0"/>
        <v>290</v>
      </c>
      <c r="Q11" s="1" t="s">
        <v>14</v>
      </c>
      <c r="R11" s="44">
        <v>50</v>
      </c>
      <c r="S11" s="47">
        <v>300</v>
      </c>
      <c r="T11" s="4"/>
    </row>
    <row r="12" spans="1:20" x14ac:dyDescent="0.25">
      <c r="A12" s="7">
        <v>9</v>
      </c>
      <c r="D12" s="16" t="s">
        <v>174</v>
      </c>
      <c r="E12" s="17"/>
      <c r="F12" s="17"/>
      <c r="G12" s="18"/>
      <c r="H12" s="12">
        <v>80</v>
      </c>
      <c r="I12" s="7" t="s">
        <v>2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4">
        <f t="shared" si="0"/>
        <v>80</v>
      </c>
      <c r="Q12" s="1" t="s">
        <v>14</v>
      </c>
      <c r="R12" s="44">
        <v>45</v>
      </c>
      <c r="S12" s="47">
        <v>200</v>
      </c>
      <c r="T12" s="4"/>
    </row>
    <row r="13" spans="1:20" x14ac:dyDescent="0.25">
      <c r="A13" s="7">
        <v>10</v>
      </c>
      <c r="D13" s="9" t="s">
        <v>6</v>
      </c>
      <c r="E13" s="10"/>
      <c r="F13" s="10"/>
      <c r="G13" s="11"/>
      <c r="H13" s="12">
        <v>30</v>
      </c>
      <c r="I13" s="7" t="s">
        <v>2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4">
        <f t="shared" si="0"/>
        <v>30</v>
      </c>
      <c r="Q13" s="1" t="s">
        <v>14</v>
      </c>
      <c r="R13" s="44">
        <v>10</v>
      </c>
      <c r="S13" s="46">
        <v>100</v>
      </c>
      <c r="T13" s="4"/>
    </row>
    <row r="14" spans="1:20" x14ac:dyDescent="0.25">
      <c r="A14" s="7">
        <v>11</v>
      </c>
      <c r="D14" s="16" t="s">
        <v>7</v>
      </c>
      <c r="E14" s="17"/>
      <c r="F14" s="17"/>
      <c r="G14" s="18"/>
      <c r="H14" s="12">
        <v>15</v>
      </c>
      <c r="I14" s="7" t="s">
        <v>171</v>
      </c>
      <c r="J14" s="3">
        <v>0</v>
      </c>
      <c r="K14" s="3">
        <v>0</v>
      </c>
      <c r="L14" s="3">
        <v>0</v>
      </c>
      <c r="M14" s="3">
        <v>0</v>
      </c>
      <c r="N14" s="3">
        <v>1</v>
      </c>
      <c r="O14" s="3">
        <v>0</v>
      </c>
      <c r="P14" s="4">
        <f t="shared" si="0"/>
        <v>14</v>
      </c>
      <c r="Q14" s="1" t="s">
        <v>14</v>
      </c>
      <c r="R14" s="44">
        <v>10</v>
      </c>
      <c r="S14" s="47">
        <v>50</v>
      </c>
      <c r="T14" s="4"/>
    </row>
    <row r="15" spans="1:20" x14ac:dyDescent="0.25">
      <c r="A15" s="7">
        <v>12</v>
      </c>
      <c r="D15" s="9" t="s">
        <v>69</v>
      </c>
      <c r="E15" s="10"/>
      <c r="F15" s="10"/>
      <c r="G15" s="11"/>
      <c r="H15" s="12">
        <v>10</v>
      </c>
      <c r="I15" s="7" t="s">
        <v>171</v>
      </c>
      <c r="J15" s="3">
        <v>0</v>
      </c>
      <c r="K15" s="3">
        <v>0</v>
      </c>
      <c r="L15" s="3">
        <v>0</v>
      </c>
      <c r="M15" s="3">
        <v>0</v>
      </c>
      <c r="N15" s="3">
        <v>1</v>
      </c>
      <c r="O15" s="3">
        <v>4</v>
      </c>
      <c r="P15" s="4">
        <f t="shared" si="0"/>
        <v>5</v>
      </c>
      <c r="Q15" s="1" t="s">
        <v>132</v>
      </c>
      <c r="R15" s="44">
        <v>200</v>
      </c>
      <c r="S15" s="47">
        <v>400</v>
      </c>
      <c r="T15" s="4"/>
    </row>
    <row r="16" spans="1:20" x14ac:dyDescent="0.25">
      <c r="A16" s="7">
        <v>13</v>
      </c>
      <c r="D16" s="100"/>
      <c r="E16" s="89"/>
      <c r="F16" s="90" t="s">
        <v>111</v>
      </c>
      <c r="G16" s="87"/>
      <c r="H16" s="12">
        <v>105</v>
      </c>
      <c r="I16" s="7" t="s">
        <v>2</v>
      </c>
      <c r="J16" s="3">
        <v>0</v>
      </c>
      <c r="K16" s="3">
        <v>2</v>
      </c>
      <c r="L16" s="3">
        <v>1</v>
      </c>
      <c r="M16" s="3">
        <v>0</v>
      </c>
      <c r="N16" s="3">
        <v>0</v>
      </c>
      <c r="O16" s="3">
        <v>0</v>
      </c>
      <c r="P16" s="4">
        <f t="shared" si="0"/>
        <v>102</v>
      </c>
      <c r="Q16" s="1" t="s">
        <v>14</v>
      </c>
      <c r="R16" s="44">
        <v>100</v>
      </c>
      <c r="S16" s="46">
        <v>500</v>
      </c>
      <c r="T16" s="4"/>
    </row>
    <row r="17" spans="1:20" x14ac:dyDescent="0.25">
      <c r="A17" s="7">
        <v>14</v>
      </c>
      <c r="D17" s="9" t="s">
        <v>73</v>
      </c>
      <c r="E17" s="10"/>
      <c r="F17" s="10"/>
      <c r="G17" s="11"/>
      <c r="H17" s="12">
        <v>690</v>
      </c>
      <c r="I17" s="7" t="s">
        <v>2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4">
        <f t="shared" si="0"/>
        <v>690</v>
      </c>
      <c r="Q17" s="1" t="s">
        <v>14</v>
      </c>
      <c r="R17" s="44">
        <v>0</v>
      </c>
      <c r="S17" s="46"/>
      <c r="T17" s="4"/>
    </row>
    <row r="18" spans="1:20" x14ac:dyDescent="0.25">
      <c r="A18" s="7">
        <v>15</v>
      </c>
      <c r="D18" s="16" t="s">
        <v>28</v>
      </c>
      <c r="E18" s="17"/>
      <c r="F18" s="17"/>
      <c r="G18" s="18"/>
      <c r="H18" s="12">
        <v>57</v>
      </c>
      <c r="I18" s="7" t="s">
        <v>2</v>
      </c>
      <c r="J18" s="3">
        <v>0</v>
      </c>
      <c r="K18" s="3">
        <v>10</v>
      </c>
      <c r="L18" s="3">
        <v>0</v>
      </c>
      <c r="M18" s="3">
        <v>6</v>
      </c>
      <c r="N18" s="3">
        <v>3</v>
      </c>
      <c r="O18" s="3">
        <v>10</v>
      </c>
      <c r="P18" s="4">
        <f t="shared" si="0"/>
        <v>28</v>
      </c>
      <c r="Q18" s="1" t="s">
        <v>14</v>
      </c>
      <c r="R18" s="44">
        <v>50</v>
      </c>
      <c r="S18" s="47">
        <v>100</v>
      </c>
      <c r="T18" s="4"/>
    </row>
    <row r="19" spans="1:20" x14ac:dyDescent="0.25">
      <c r="A19" s="7">
        <v>16</v>
      </c>
      <c r="D19" s="9" t="s">
        <v>29</v>
      </c>
      <c r="E19" s="10"/>
      <c r="F19" s="10"/>
      <c r="G19" s="11"/>
      <c r="H19" s="12">
        <v>57</v>
      </c>
      <c r="I19" s="7" t="s">
        <v>2</v>
      </c>
      <c r="J19" s="3">
        <v>0</v>
      </c>
      <c r="K19" s="3">
        <v>10</v>
      </c>
      <c r="L19" s="3">
        <v>0</v>
      </c>
      <c r="M19" s="3">
        <v>6</v>
      </c>
      <c r="N19" s="3">
        <v>3</v>
      </c>
      <c r="O19" s="3">
        <v>10</v>
      </c>
      <c r="P19" s="4">
        <f t="shared" si="0"/>
        <v>28</v>
      </c>
      <c r="Q19" s="1" t="s">
        <v>14</v>
      </c>
      <c r="R19" s="44">
        <v>50</v>
      </c>
      <c r="S19" s="47">
        <v>100</v>
      </c>
      <c r="T19" s="4"/>
    </row>
    <row r="20" spans="1:20" x14ac:dyDescent="0.25">
      <c r="A20" s="7">
        <v>17</v>
      </c>
      <c r="D20" s="16" t="s">
        <v>14</v>
      </c>
      <c r="E20" s="17" t="s">
        <v>14</v>
      </c>
      <c r="F20" s="17" t="s">
        <v>14</v>
      </c>
      <c r="G20" s="18"/>
      <c r="H20" s="12">
        <v>0</v>
      </c>
      <c r="I20" s="7" t="s">
        <v>2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4">
        <f t="shared" si="0"/>
        <v>0</v>
      </c>
      <c r="Q20" s="1" t="s">
        <v>14</v>
      </c>
      <c r="R20" s="44" t="s">
        <v>14</v>
      </c>
      <c r="S20" s="47" t="s">
        <v>14</v>
      </c>
      <c r="T20" s="4"/>
    </row>
    <row r="21" spans="1:20" x14ac:dyDescent="0.25">
      <c r="A21" s="7">
        <v>18</v>
      </c>
      <c r="D21" s="9" t="s">
        <v>129</v>
      </c>
      <c r="E21" s="10"/>
      <c r="F21" s="10"/>
      <c r="G21" s="11"/>
      <c r="H21" s="12">
        <v>5</v>
      </c>
      <c r="I21" s="7" t="s">
        <v>2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4">
        <f t="shared" si="0"/>
        <v>5</v>
      </c>
      <c r="Q21" s="1" t="s">
        <v>14</v>
      </c>
      <c r="R21" s="44">
        <v>10</v>
      </c>
      <c r="S21" s="46">
        <v>50</v>
      </c>
      <c r="T21" s="4"/>
    </row>
    <row r="22" spans="1:20" x14ac:dyDescent="0.25">
      <c r="A22" s="7">
        <v>19</v>
      </c>
      <c r="D22" s="55" t="s">
        <v>184</v>
      </c>
      <c r="E22" s="56"/>
      <c r="F22" s="56"/>
      <c r="G22" s="57"/>
      <c r="H22" s="12">
        <v>500</v>
      </c>
      <c r="I22" s="59" t="s">
        <v>1</v>
      </c>
      <c r="J22" s="3">
        <v>0</v>
      </c>
      <c r="K22" s="3">
        <v>50</v>
      </c>
      <c r="L22" s="3">
        <v>90</v>
      </c>
      <c r="M22" s="3">
        <v>20</v>
      </c>
      <c r="N22" s="3">
        <v>0</v>
      </c>
      <c r="O22" s="3">
        <v>40</v>
      </c>
      <c r="P22" s="46">
        <f t="shared" si="0"/>
        <v>300</v>
      </c>
      <c r="Q22" s="1" t="s">
        <v>75</v>
      </c>
      <c r="R22" s="44">
        <v>200</v>
      </c>
      <c r="S22" s="47">
        <v>400</v>
      </c>
      <c r="T22" s="4"/>
    </row>
    <row r="23" spans="1:20" x14ac:dyDescent="0.25">
      <c r="A23" s="7">
        <v>20</v>
      </c>
      <c r="D23" s="9" t="s">
        <v>32</v>
      </c>
      <c r="E23" s="10"/>
      <c r="F23" s="10"/>
      <c r="G23" s="11"/>
      <c r="H23" s="12">
        <v>800</v>
      </c>
      <c r="I23" s="7" t="s">
        <v>2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4">
        <f t="shared" si="0"/>
        <v>800</v>
      </c>
      <c r="Q23" s="1" t="s">
        <v>14</v>
      </c>
      <c r="R23" s="44">
        <v>0</v>
      </c>
      <c r="S23" s="46">
        <v>0</v>
      </c>
      <c r="T23" s="4"/>
    </row>
    <row r="24" spans="1:20" x14ac:dyDescent="0.25">
      <c r="A24" s="7">
        <v>21</v>
      </c>
      <c r="D24" s="16" t="s">
        <v>188</v>
      </c>
      <c r="E24" s="17"/>
      <c r="F24" s="17"/>
      <c r="G24" s="18"/>
      <c r="H24" s="12">
        <v>100</v>
      </c>
      <c r="I24" s="7" t="s">
        <v>2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4">
        <f t="shared" si="0"/>
        <v>100</v>
      </c>
      <c r="Q24" s="1" t="s">
        <v>14</v>
      </c>
      <c r="R24" s="44">
        <v>10</v>
      </c>
      <c r="S24" s="46">
        <v>100</v>
      </c>
      <c r="T24" s="4"/>
    </row>
    <row r="25" spans="1:20" x14ac:dyDescent="0.25">
      <c r="A25" s="7">
        <v>22</v>
      </c>
      <c r="D25" s="9" t="s">
        <v>34</v>
      </c>
      <c r="E25" s="10"/>
      <c r="F25" s="10"/>
      <c r="G25" s="11"/>
      <c r="H25" s="12">
        <v>43</v>
      </c>
      <c r="I25" s="7" t="s">
        <v>2</v>
      </c>
      <c r="J25" s="3">
        <v>0</v>
      </c>
      <c r="K25" s="3">
        <v>0</v>
      </c>
      <c r="L25" s="3">
        <v>0</v>
      </c>
      <c r="M25" s="3">
        <v>6</v>
      </c>
      <c r="N25" s="3">
        <v>7</v>
      </c>
      <c r="O25" s="3">
        <v>0</v>
      </c>
      <c r="P25" s="4">
        <f t="shared" si="0"/>
        <v>30</v>
      </c>
      <c r="Q25" s="1" t="s">
        <v>14</v>
      </c>
      <c r="R25" s="44">
        <v>20</v>
      </c>
      <c r="S25" s="46">
        <v>50</v>
      </c>
      <c r="T25" s="4"/>
    </row>
    <row r="26" spans="1:20" x14ac:dyDescent="0.25">
      <c r="A26" s="7">
        <v>23</v>
      </c>
      <c r="D26" s="16" t="s">
        <v>142</v>
      </c>
      <c r="E26" s="17"/>
      <c r="F26" s="17"/>
      <c r="G26" s="18"/>
      <c r="H26" s="12">
        <v>44</v>
      </c>
      <c r="I26" s="7" t="s">
        <v>2</v>
      </c>
      <c r="J26" s="3">
        <v>110</v>
      </c>
      <c r="K26" s="3">
        <v>30</v>
      </c>
      <c r="L26" s="3">
        <v>0</v>
      </c>
      <c r="M26" s="3">
        <v>0</v>
      </c>
      <c r="N26" s="3">
        <v>0</v>
      </c>
      <c r="O26" s="3">
        <v>0</v>
      </c>
      <c r="P26" s="4">
        <f t="shared" si="0"/>
        <v>124</v>
      </c>
      <c r="Q26" s="1" t="s">
        <v>14</v>
      </c>
      <c r="R26" s="44">
        <v>20</v>
      </c>
      <c r="S26" s="47">
        <v>50</v>
      </c>
      <c r="T26" s="4"/>
    </row>
    <row r="27" spans="1:20" x14ac:dyDescent="0.25">
      <c r="A27" s="7">
        <v>24</v>
      </c>
      <c r="D27" s="9" t="s">
        <v>141</v>
      </c>
      <c r="E27" s="10"/>
      <c r="F27" s="10"/>
      <c r="G27" s="11"/>
      <c r="H27" s="12">
        <v>0</v>
      </c>
      <c r="I27" s="7" t="s">
        <v>2</v>
      </c>
      <c r="J27" s="3">
        <v>110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  <c r="P27" s="4">
        <f t="shared" si="0"/>
        <v>110</v>
      </c>
      <c r="Q27" s="1"/>
      <c r="R27" s="44">
        <v>20</v>
      </c>
      <c r="S27" s="47">
        <v>50</v>
      </c>
      <c r="T27" s="4"/>
    </row>
    <row r="28" spans="1:20" x14ac:dyDescent="0.25">
      <c r="A28" s="7">
        <v>25</v>
      </c>
      <c r="D28" s="9" t="s">
        <v>137</v>
      </c>
      <c r="E28" s="10"/>
      <c r="F28" s="10"/>
      <c r="G28" s="11"/>
      <c r="H28" s="12">
        <v>48</v>
      </c>
      <c r="I28" s="7" t="s">
        <v>2</v>
      </c>
      <c r="J28" s="3">
        <v>0</v>
      </c>
      <c r="K28" s="3">
        <v>0</v>
      </c>
      <c r="L28" s="3">
        <v>0</v>
      </c>
      <c r="M28" s="3">
        <v>6</v>
      </c>
      <c r="N28" s="3">
        <v>7</v>
      </c>
      <c r="O28" s="3">
        <v>0</v>
      </c>
      <c r="P28" s="4">
        <f t="shared" si="0"/>
        <v>35</v>
      </c>
      <c r="Q28" s="1" t="s">
        <v>14</v>
      </c>
      <c r="R28" s="44">
        <v>20</v>
      </c>
      <c r="S28" s="47">
        <v>50</v>
      </c>
      <c r="T28" s="4"/>
    </row>
    <row r="29" spans="1:20" x14ac:dyDescent="0.25">
      <c r="A29" s="7">
        <v>26</v>
      </c>
      <c r="D29" s="9" t="s">
        <v>138</v>
      </c>
      <c r="E29" s="10"/>
      <c r="F29" s="10"/>
      <c r="G29" s="11"/>
      <c r="H29" s="12">
        <v>0</v>
      </c>
      <c r="I29" s="7" t="s">
        <v>2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4">
        <f t="shared" si="0"/>
        <v>0</v>
      </c>
      <c r="Q29" s="1"/>
      <c r="R29" s="44">
        <v>20</v>
      </c>
      <c r="S29" s="47">
        <v>50</v>
      </c>
      <c r="T29" s="4"/>
    </row>
    <row r="30" spans="1:20" x14ac:dyDescent="0.25">
      <c r="A30" s="7">
        <v>27</v>
      </c>
      <c r="D30" s="16" t="s">
        <v>35</v>
      </c>
      <c r="E30" s="17"/>
      <c r="F30" s="17"/>
      <c r="G30" s="18"/>
      <c r="H30" s="12">
        <v>178</v>
      </c>
      <c r="I30" s="7" t="s">
        <v>2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4">
        <f t="shared" si="0"/>
        <v>178</v>
      </c>
      <c r="Q30" s="1" t="s">
        <v>14</v>
      </c>
      <c r="R30" s="44">
        <v>50</v>
      </c>
      <c r="S30" s="47">
        <v>100</v>
      </c>
      <c r="T30" s="4"/>
    </row>
    <row r="31" spans="1:20" x14ac:dyDescent="0.25">
      <c r="A31" s="7">
        <v>28</v>
      </c>
      <c r="D31" s="9" t="s">
        <v>36</v>
      </c>
      <c r="E31" s="10"/>
      <c r="F31" s="10"/>
      <c r="G31" s="11"/>
      <c r="H31" s="12">
        <v>20</v>
      </c>
      <c r="I31" s="7" t="s">
        <v>2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4">
        <f t="shared" si="0"/>
        <v>20</v>
      </c>
      <c r="Q31" s="1" t="s">
        <v>14</v>
      </c>
      <c r="R31" s="44">
        <v>50</v>
      </c>
      <c r="S31" s="47">
        <v>100</v>
      </c>
      <c r="T31" s="4"/>
    </row>
    <row r="32" spans="1:20" x14ac:dyDescent="0.25">
      <c r="A32" s="7">
        <v>29</v>
      </c>
      <c r="D32" s="16" t="s">
        <v>37</v>
      </c>
      <c r="E32" s="17"/>
      <c r="F32" s="17"/>
      <c r="G32" s="18"/>
      <c r="H32" s="12">
        <v>138</v>
      </c>
      <c r="I32" s="7" t="s">
        <v>2</v>
      </c>
      <c r="J32" s="3">
        <v>0</v>
      </c>
      <c r="K32" s="3">
        <v>30</v>
      </c>
      <c r="L32" s="3">
        <v>0</v>
      </c>
      <c r="M32" s="3">
        <v>0</v>
      </c>
      <c r="N32" s="3">
        <v>0</v>
      </c>
      <c r="O32" s="3">
        <v>0</v>
      </c>
      <c r="P32" s="4">
        <f t="shared" si="0"/>
        <v>108</v>
      </c>
      <c r="Q32" s="1" t="s">
        <v>14</v>
      </c>
      <c r="R32" s="44">
        <v>20</v>
      </c>
      <c r="S32" s="47">
        <v>50</v>
      </c>
      <c r="T32" s="4"/>
    </row>
    <row r="33" spans="1:20" x14ac:dyDescent="0.25">
      <c r="A33" s="7">
        <v>30</v>
      </c>
      <c r="D33" s="9" t="s">
        <v>38</v>
      </c>
      <c r="E33" s="10"/>
      <c r="F33" s="10"/>
      <c r="G33" s="11"/>
      <c r="H33" s="12">
        <v>100</v>
      </c>
      <c r="I33" s="7" t="s">
        <v>2</v>
      </c>
      <c r="J33" s="3">
        <v>0</v>
      </c>
      <c r="K33" s="3">
        <v>4</v>
      </c>
      <c r="L33" s="3">
        <v>7</v>
      </c>
      <c r="M33" s="3">
        <v>0</v>
      </c>
      <c r="N33" s="3">
        <v>4</v>
      </c>
      <c r="O33" s="3">
        <v>0</v>
      </c>
      <c r="P33" s="4">
        <f t="shared" si="0"/>
        <v>85</v>
      </c>
      <c r="Q33" s="1" t="s">
        <v>14</v>
      </c>
      <c r="R33" s="44">
        <v>50</v>
      </c>
      <c r="S33" s="47">
        <v>100</v>
      </c>
      <c r="T33" s="4"/>
    </row>
    <row r="34" spans="1:20" x14ac:dyDescent="0.25">
      <c r="A34" s="7">
        <v>31</v>
      </c>
      <c r="D34" s="16" t="s">
        <v>39</v>
      </c>
      <c r="E34" s="17"/>
      <c r="F34" s="17"/>
      <c r="G34" s="18"/>
      <c r="H34" s="12">
        <v>28</v>
      </c>
      <c r="I34" s="7" t="s">
        <v>2</v>
      </c>
      <c r="J34" s="3">
        <v>103</v>
      </c>
      <c r="K34" s="3">
        <v>30</v>
      </c>
      <c r="L34" s="3">
        <v>0</v>
      </c>
      <c r="M34" s="3">
        <v>0</v>
      </c>
      <c r="N34" s="3">
        <v>0</v>
      </c>
      <c r="O34" s="3">
        <v>0</v>
      </c>
      <c r="P34" s="4">
        <f t="shared" si="0"/>
        <v>101</v>
      </c>
      <c r="Q34" s="1" t="s">
        <v>14</v>
      </c>
      <c r="R34" s="44">
        <v>20</v>
      </c>
      <c r="S34" s="47">
        <v>50</v>
      </c>
      <c r="T34" s="4"/>
    </row>
    <row r="35" spans="1:20" x14ac:dyDescent="0.25">
      <c r="A35" s="7">
        <v>32</v>
      </c>
      <c r="D35" s="9" t="s">
        <v>40</v>
      </c>
      <c r="E35" s="10"/>
      <c r="F35" s="10"/>
      <c r="G35" s="11"/>
      <c r="H35" s="12">
        <v>1050</v>
      </c>
      <c r="I35" s="7" t="s">
        <v>2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4">
        <f t="shared" si="0"/>
        <v>1050</v>
      </c>
      <c r="Q35" s="1" t="s">
        <v>14</v>
      </c>
      <c r="R35" s="44">
        <v>0</v>
      </c>
      <c r="S35" s="46">
        <v>0</v>
      </c>
      <c r="T35" s="4"/>
    </row>
    <row r="36" spans="1:20" x14ac:dyDescent="0.25">
      <c r="A36" s="7">
        <v>33</v>
      </c>
      <c r="D36" s="9" t="s">
        <v>9</v>
      </c>
      <c r="E36" s="10"/>
      <c r="F36" s="10"/>
      <c r="G36" s="11"/>
      <c r="H36" s="83">
        <v>45</v>
      </c>
      <c r="I36" s="7" t="s">
        <v>132</v>
      </c>
      <c r="J36" s="3">
        <v>0</v>
      </c>
      <c r="K36" s="3">
        <v>3</v>
      </c>
      <c r="L36" s="3">
        <v>16</v>
      </c>
      <c r="M36" s="3">
        <v>1</v>
      </c>
      <c r="N36" s="3">
        <v>0</v>
      </c>
      <c r="O36" s="3">
        <v>0</v>
      </c>
      <c r="P36" s="4">
        <f t="shared" si="0"/>
        <v>25</v>
      </c>
      <c r="Q36" s="1" t="s">
        <v>132</v>
      </c>
      <c r="R36" s="44">
        <v>50</v>
      </c>
      <c r="S36" s="47">
        <v>100</v>
      </c>
      <c r="T36" s="4"/>
    </row>
    <row r="37" spans="1:20" x14ac:dyDescent="0.25">
      <c r="A37" s="7">
        <v>34</v>
      </c>
      <c r="D37" s="19" t="s">
        <v>166</v>
      </c>
      <c r="E37" s="20"/>
      <c r="F37" s="20"/>
      <c r="G37" s="21"/>
      <c r="H37" s="69">
        <v>80</v>
      </c>
      <c r="I37" s="7" t="s">
        <v>2</v>
      </c>
      <c r="J37" s="3">
        <v>0</v>
      </c>
      <c r="K37" s="3">
        <v>7</v>
      </c>
      <c r="L37" s="3">
        <v>0</v>
      </c>
      <c r="M37" s="3">
        <v>1</v>
      </c>
      <c r="N37" s="3">
        <v>0</v>
      </c>
      <c r="O37" s="3">
        <v>0</v>
      </c>
      <c r="P37" s="4">
        <f t="shared" si="0"/>
        <v>72</v>
      </c>
      <c r="Q37" s="1" t="s">
        <v>14</v>
      </c>
      <c r="R37" s="44">
        <v>50</v>
      </c>
      <c r="S37" s="46">
        <v>100</v>
      </c>
      <c r="T37" s="4"/>
    </row>
    <row r="38" spans="1:20" x14ac:dyDescent="0.25">
      <c r="A38" s="7">
        <v>35</v>
      </c>
      <c r="D38" s="16" t="s">
        <v>143</v>
      </c>
      <c r="E38" s="17"/>
      <c r="F38" s="17"/>
      <c r="G38" s="18"/>
      <c r="H38" s="12">
        <v>45</v>
      </c>
      <c r="I38" s="7" t="s">
        <v>2</v>
      </c>
      <c r="J38" s="3">
        <v>0</v>
      </c>
      <c r="K38" s="3">
        <v>7</v>
      </c>
      <c r="L38" s="3">
        <v>16</v>
      </c>
      <c r="M38" s="3">
        <v>1</v>
      </c>
      <c r="N38" s="3">
        <v>0</v>
      </c>
      <c r="O38" s="3">
        <v>0</v>
      </c>
      <c r="P38" s="4">
        <f t="shared" si="0"/>
        <v>21</v>
      </c>
      <c r="Q38" s="1" t="s">
        <v>14</v>
      </c>
      <c r="R38" s="44">
        <v>50</v>
      </c>
      <c r="S38" s="46">
        <v>100</v>
      </c>
      <c r="T38" s="4"/>
    </row>
    <row r="39" spans="1:20" x14ac:dyDescent="0.25">
      <c r="A39" s="7">
        <v>36</v>
      </c>
      <c r="D39" s="9" t="s">
        <v>144</v>
      </c>
      <c r="E39" s="10"/>
      <c r="F39" s="10"/>
      <c r="G39" s="11"/>
      <c r="H39" s="12">
        <v>45</v>
      </c>
      <c r="I39" s="7" t="s">
        <v>2</v>
      </c>
      <c r="J39" s="3">
        <v>0</v>
      </c>
      <c r="K39" s="3">
        <v>7</v>
      </c>
      <c r="L39" s="3">
        <v>16</v>
      </c>
      <c r="M39" s="3">
        <v>1</v>
      </c>
      <c r="N39" s="3">
        <v>0</v>
      </c>
      <c r="O39" s="3">
        <v>0</v>
      </c>
      <c r="P39" s="4">
        <f t="shared" si="0"/>
        <v>21</v>
      </c>
      <c r="Q39" s="1" t="s">
        <v>14</v>
      </c>
      <c r="R39" s="44">
        <v>50</v>
      </c>
      <c r="S39" s="47">
        <v>100</v>
      </c>
      <c r="T39" s="4"/>
    </row>
    <row r="40" spans="1:20" x14ac:dyDescent="0.25">
      <c r="A40" s="7">
        <v>37</v>
      </c>
      <c r="D40" s="16" t="s">
        <v>42</v>
      </c>
      <c r="E40" s="17"/>
      <c r="F40" s="17"/>
      <c r="G40" s="18"/>
      <c r="H40" s="12">
        <v>45</v>
      </c>
      <c r="I40" s="7" t="s">
        <v>2</v>
      </c>
      <c r="J40" s="3">
        <v>0</v>
      </c>
      <c r="K40" s="3">
        <v>7</v>
      </c>
      <c r="L40" s="3">
        <v>16</v>
      </c>
      <c r="M40" s="3">
        <v>1</v>
      </c>
      <c r="N40" s="3">
        <v>0</v>
      </c>
      <c r="O40" s="3">
        <v>0</v>
      </c>
      <c r="P40" s="4">
        <f t="shared" si="0"/>
        <v>21</v>
      </c>
      <c r="Q40" s="1" t="s">
        <v>14</v>
      </c>
      <c r="R40" s="44">
        <v>50</v>
      </c>
      <c r="S40" s="47">
        <v>100</v>
      </c>
      <c r="T40" s="4"/>
    </row>
    <row r="41" spans="1:20" x14ac:dyDescent="0.25">
      <c r="A41" s="7">
        <v>38</v>
      </c>
      <c r="D41" s="9" t="s">
        <v>133</v>
      </c>
      <c r="E41" s="10"/>
      <c r="F41" s="10"/>
      <c r="G41" s="11"/>
      <c r="H41" s="12">
        <v>50</v>
      </c>
      <c r="I41" s="7" t="s">
        <v>2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4">
        <f t="shared" si="0"/>
        <v>50</v>
      </c>
      <c r="Q41" s="1" t="s">
        <v>14</v>
      </c>
      <c r="R41" s="44">
        <v>50</v>
      </c>
      <c r="S41" s="47">
        <v>100</v>
      </c>
      <c r="T41" s="4"/>
    </row>
    <row r="42" spans="1:20" x14ac:dyDescent="0.25">
      <c r="A42" s="7">
        <v>39</v>
      </c>
      <c r="D42" s="16" t="s">
        <v>145</v>
      </c>
      <c r="E42" s="17"/>
      <c r="F42" s="17"/>
      <c r="G42" s="18"/>
      <c r="H42" s="12">
        <v>50</v>
      </c>
      <c r="I42" s="7" t="s">
        <v>2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4">
        <f t="shared" si="0"/>
        <v>50</v>
      </c>
      <c r="Q42" s="1" t="s">
        <v>14</v>
      </c>
      <c r="R42" s="44">
        <v>50</v>
      </c>
      <c r="S42" s="46">
        <v>100</v>
      </c>
      <c r="T42" s="4"/>
    </row>
    <row r="43" spans="1:20" x14ac:dyDescent="0.25">
      <c r="A43" s="7">
        <v>40</v>
      </c>
      <c r="D43" s="9" t="s">
        <v>190</v>
      </c>
      <c r="E43" s="10"/>
      <c r="F43" s="10" t="s">
        <v>14</v>
      </c>
      <c r="G43" s="11" t="s">
        <v>14</v>
      </c>
      <c r="H43" s="12">
        <v>20</v>
      </c>
      <c r="I43" s="7" t="s">
        <v>75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4">
        <f t="shared" si="0"/>
        <v>20</v>
      </c>
      <c r="Q43" s="1" t="s">
        <v>75</v>
      </c>
      <c r="R43" s="44">
        <v>50</v>
      </c>
      <c r="S43" s="47">
        <v>200</v>
      </c>
      <c r="T43" s="4"/>
    </row>
    <row r="44" spans="1:20" x14ac:dyDescent="0.25">
      <c r="A44" s="7">
        <v>41</v>
      </c>
      <c r="D44" s="16" t="s">
        <v>10</v>
      </c>
      <c r="E44" s="17"/>
      <c r="F44" s="17"/>
      <c r="G44" s="18"/>
      <c r="H44" s="12">
        <v>6</v>
      </c>
      <c r="I44" s="7" t="s">
        <v>2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4">
        <f t="shared" si="0"/>
        <v>6</v>
      </c>
      <c r="Q44" s="1" t="s">
        <v>132</v>
      </c>
      <c r="R44" s="44">
        <v>20</v>
      </c>
      <c r="S44" s="47">
        <v>50</v>
      </c>
      <c r="T44" s="4"/>
    </row>
    <row r="45" spans="1:20" x14ac:dyDescent="0.25">
      <c r="A45" s="7">
        <v>42</v>
      </c>
      <c r="D45" s="9" t="s">
        <v>45</v>
      </c>
      <c r="E45" s="10"/>
      <c r="F45" s="10"/>
      <c r="G45" s="11"/>
      <c r="H45" s="12">
        <v>17</v>
      </c>
      <c r="I45" s="7" t="s">
        <v>2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4">
        <f t="shared" si="0"/>
        <v>17</v>
      </c>
      <c r="Q45" s="1" t="s">
        <v>14</v>
      </c>
      <c r="R45" s="44">
        <v>20</v>
      </c>
      <c r="S45" s="47">
        <v>50</v>
      </c>
      <c r="T45" s="4"/>
    </row>
    <row r="46" spans="1:20" x14ac:dyDescent="0.25">
      <c r="A46" s="7">
        <v>43</v>
      </c>
      <c r="D46" s="16" t="s">
        <v>46</v>
      </c>
      <c r="E46" s="17"/>
      <c r="F46" s="17"/>
      <c r="G46" s="18"/>
      <c r="H46" s="12">
        <v>18</v>
      </c>
      <c r="I46" s="7" t="s">
        <v>2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4">
        <f t="shared" si="0"/>
        <v>18</v>
      </c>
      <c r="Q46" s="1" t="s">
        <v>14</v>
      </c>
      <c r="R46" s="44">
        <v>20</v>
      </c>
      <c r="S46" s="47">
        <v>50</v>
      </c>
      <c r="T46" s="4"/>
    </row>
    <row r="47" spans="1:20" x14ac:dyDescent="0.25">
      <c r="A47" s="7">
        <v>44</v>
      </c>
      <c r="D47" s="9" t="s">
        <v>47</v>
      </c>
      <c r="E47" s="10"/>
      <c r="F47" s="10"/>
      <c r="G47" s="11" t="s">
        <v>14</v>
      </c>
      <c r="H47" s="12">
        <v>14</v>
      </c>
      <c r="I47" s="7" t="s">
        <v>2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4">
        <f t="shared" si="0"/>
        <v>14</v>
      </c>
      <c r="Q47" s="1" t="s">
        <v>14</v>
      </c>
      <c r="R47" s="44">
        <v>20</v>
      </c>
      <c r="S47" s="47">
        <v>50</v>
      </c>
      <c r="T47" s="4"/>
    </row>
    <row r="48" spans="1:20" x14ac:dyDescent="0.25">
      <c r="A48" s="7">
        <v>45</v>
      </c>
      <c r="D48" s="16" t="s">
        <v>175</v>
      </c>
      <c r="E48" s="17"/>
      <c r="F48" s="17"/>
      <c r="G48" s="18"/>
      <c r="H48" s="12">
        <v>400</v>
      </c>
      <c r="I48" s="7" t="s">
        <v>2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4">
        <f t="shared" si="0"/>
        <v>400</v>
      </c>
      <c r="Q48" s="1" t="s">
        <v>14</v>
      </c>
      <c r="R48" s="44">
        <v>500</v>
      </c>
      <c r="S48" s="47">
        <v>2000</v>
      </c>
      <c r="T48" s="4"/>
    </row>
    <row r="49" spans="1:20" x14ac:dyDescent="0.25">
      <c r="A49" s="7">
        <v>46</v>
      </c>
      <c r="D49" s="9" t="s">
        <v>48</v>
      </c>
      <c r="E49" s="10"/>
      <c r="F49" s="10"/>
      <c r="G49" s="11"/>
      <c r="H49" s="12">
        <v>18</v>
      </c>
      <c r="I49" s="7" t="s">
        <v>2</v>
      </c>
      <c r="J49" s="3">
        <v>0</v>
      </c>
      <c r="K49" s="3">
        <v>0</v>
      </c>
      <c r="L49" s="3">
        <v>1</v>
      </c>
      <c r="M49" s="3">
        <v>0</v>
      </c>
      <c r="N49" s="3">
        <v>0</v>
      </c>
      <c r="O49" s="3">
        <v>0</v>
      </c>
      <c r="P49" s="4">
        <f t="shared" si="0"/>
        <v>17</v>
      </c>
      <c r="Q49" s="1" t="s">
        <v>14</v>
      </c>
      <c r="R49" s="44">
        <v>10</v>
      </c>
      <c r="S49" s="47">
        <v>20</v>
      </c>
      <c r="T49" s="4" t="s">
        <v>14</v>
      </c>
    </row>
    <row r="50" spans="1:20" x14ac:dyDescent="0.25">
      <c r="A50" s="7">
        <v>47</v>
      </c>
      <c r="D50" s="16" t="s">
        <v>49</v>
      </c>
      <c r="E50" s="17"/>
      <c r="F50" s="17"/>
      <c r="G50" s="18"/>
      <c r="H50" s="12">
        <v>85</v>
      </c>
      <c r="I50" s="7" t="s">
        <v>2</v>
      </c>
      <c r="J50" s="3">
        <v>0</v>
      </c>
      <c r="K50" s="3">
        <v>0</v>
      </c>
      <c r="L50" s="3">
        <v>1</v>
      </c>
      <c r="M50" s="3">
        <v>0</v>
      </c>
      <c r="N50" s="3">
        <v>0</v>
      </c>
      <c r="O50" s="3">
        <v>0</v>
      </c>
      <c r="P50" s="4">
        <f t="shared" si="0"/>
        <v>84</v>
      </c>
      <c r="Q50" s="1" t="s">
        <v>14</v>
      </c>
      <c r="R50" s="44">
        <v>10</v>
      </c>
      <c r="S50" s="47">
        <v>20</v>
      </c>
      <c r="T50" s="4"/>
    </row>
    <row r="51" spans="1:20" x14ac:dyDescent="0.25">
      <c r="A51" s="7">
        <v>48</v>
      </c>
      <c r="D51" s="9" t="s">
        <v>189</v>
      </c>
      <c r="E51" s="10"/>
      <c r="F51" s="10"/>
      <c r="G51" s="11"/>
      <c r="H51" s="12">
        <v>30</v>
      </c>
      <c r="I51" s="7" t="s">
        <v>1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4">
        <f t="shared" si="0"/>
        <v>30</v>
      </c>
      <c r="Q51" s="1" t="s">
        <v>75</v>
      </c>
      <c r="R51" s="44">
        <v>50</v>
      </c>
      <c r="S51" s="47">
        <v>100</v>
      </c>
      <c r="T51" s="4"/>
    </row>
    <row r="52" spans="1:20" x14ac:dyDescent="0.25">
      <c r="A52" s="7">
        <v>49</v>
      </c>
      <c r="D52" s="94" t="s">
        <v>185</v>
      </c>
      <c r="E52" s="91" t="s">
        <v>186</v>
      </c>
      <c r="F52" s="92" t="s">
        <v>187</v>
      </c>
      <c r="G52" s="93"/>
      <c r="H52" s="12">
        <v>91</v>
      </c>
      <c r="I52" s="7" t="s">
        <v>2</v>
      </c>
      <c r="J52" s="3">
        <v>0</v>
      </c>
      <c r="K52" s="3">
        <v>0</v>
      </c>
      <c r="L52" s="3">
        <v>0</v>
      </c>
      <c r="M52" s="3">
        <v>0</v>
      </c>
      <c r="N52" s="3">
        <v>6</v>
      </c>
      <c r="O52" s="3">
        <v>0</v>
      </c>
      <c r="P52" s="4">
        <f t="shared" si="0"/>
        <v>85</v>
      </c>
      <c r="Q52" s="1" t="s">
        <v>14</v>
      </c>
      <c r="R52" s="44">
        <v>20</v>
      </c>
      <c r="S52" s="47">
        <v>50</v>
      </c>
      <c r="T52" s="4"/>
    </row>
    <row r="53" spans="1:20" x14ac:dyDescent="0.25">
      <c r="A53" s="7">
        <v>50</v>
      </c>
      <c r="D53" s="9" t="s">
        <v>51</v>
      </c>
      <c r="E53" s="10"/>
      <c r="F53" s="10"/>
      <c r="G53" s="11"/>
      <c r="H53" s="12">
        <v>79</v>
      </c>
      <c r="I53" s="7" t="s">
        <v>2</v>
      </c>
      <c r="J53" s="3">
        <v>0</v>
      </c>
      <c r="K53" s="3">
        <v>0</v>
      </c>
      <c r="L53" s="3">
        <v>0</v>
      </c>
      <c r="M53" s="3">
        <v>0</v>
      </c>
      <c r="N53" s="3">
        <v>6</v>
      </c>
      <c r="O53" s="3">
        <v>0</v>
      </c>
      <c r="P53" s="4">
        <f t="shared" si="0"/>
        <v>73</v>
      </c>
      <c r="Q53" s="1" t="s">
        <v>14</v>
      </c>
      <c r="R53" s="44">
        <v>20</v>
      </c>
      <c r="S53" s="47">
        <v>50</v>
      </c>
      <c r="T53" s="4"/>
    </row>
    <row r="54" spans="1:20" x14ac:dyDescent="0.25">
      <c r="A54" s="7">
        <v>51</v>
      </c>
      <c r="D54" s="16" t="s">
        <v>52</v>
      </c>
      <c r="E54" s="17"/>
      <c r="F54" s="17"/>
      <c r="G54" s="18"/>
      <c r="H54" s="12">
        <v>95</v>
      </c>
      <c r="I54" s="7" t="s">
        <v>2</v>
      </c>
      <c r="J54" s="3">
        <v>0</v>
      </c>
      <c r="K54" s="3">
        <v>0</v>
      </c>
      <c r="L54" s="3">
        <v>0</v>
      </c>
      <c r="M54" s="3">
        <v>0</v>
      </c>
      <c r="N54" s="3">
        <v>6</v>
      </c>
      <c r="O54" s="3">
        <v>0</v>
      </c>
      <c r="P54" s="4">
        <f t="shared" si="0"/>
        <v>89</v>
      </c>
      <c r="Q54" s="1" t="s">
        <v>14</v>
      </c>
      <c r="R54" s="44">
        <v>20</v>
      </c>
      <c r="S54" s="47">
        <v>50</v>
      </c>
      <c r="T54" s="4" t="s">
        <v>14</v>
      </c>
    </row>
    <row r="55" spans="1:20" x14ac:dyDescent="0.25">
      <c r="A55" s="7">
        <v>52</v>
      </c>
      <c r="D55" s="9" t="s">
        <v>53</v>
      </c>
      <c r="E55" s="10"/>
      <c r="F55" s="10"/>
      <c r="G55" s="11"/>
      <c r="H55" s="12">
        <v>101</v>
      </c>
      <c r="I55" s="7" t="s">
        <v>2</v>
      </c>
      <c r="J55" s="3">
        <v>0</v>
      </c>
      <c r="K55" s="3">
        <v>0</v>
      </c>
      <c r="L55" s="3">
        <v>0</v>
      </c>
      <c r="M55" s="3">
        <v>0</v>
      </c>
      <c r="N55" s="3">
        <v>6</v>
      </c>
      <c r="O55" s="3">
        <v>0</v>
      </c>
      <c r="P55" s="4">
        <f t="shared" si="0"/>
        <v>95</v>
      </c>
      <c r="Q55" s="1" t="s">
        <v>14</v>
      </c>
      <c r="R55" s="44">
        <v>20</v>
      </c>
      <c r="S55" s="47">
        <v>50</v>
      </c>
      <c r="T55" s="4"/>
    </row>
    <row r="56" spans="1:20" x14ac:dyDescent="0.25">
      <c r="A56" s="7">
        <v>53</v>
      </c>
      <c r="D56" s="70" t="s">
        <v>191</v>
      </c>
      <c r="E56" s="71"/>
      <c r="F56" s="71"/>
      <c r="G56" s="72"/>
      <c r="H56" s="12">
        <v>1680</v>
      </c>
      <c r="I56" s="7" t="s">
        <v>1</v>
      </c>
      <c r="J56" s="3">
        <v>0</v>
      </c>
      <c r="K56" s="3">
        <v>765</v>
      </c>
      <c r="L56" s="3">
        <v>105</v>
      </c>
      <c r="M56" s="3">
        <v>75</v>
      </c>
      <c r="N56" s="3">
        <v>75</v>
      </c>
      <c r="O56" s="3">
        <v>75</v>
      </c>
      <c r="P56" s="4">
        <f t="shared" si="0"/>
        <v>585</v>
      </c>
      <c r="Q56" s="1" t="s">
        <v>120</v>
      </c>
      <c r="R56" s="44">
        <v>300</v>
      </c>
      <c r="S56" s="47">
        <v>750</v>
      </c>
      <c r="T56" s="4"/>
    </row>
    <row r="57" spans="1:20" x14ac:dyDescent="0.25">
      <c r="A57" s="7">
        <v>54</v>
      </c>
      <c r="D57" s="16" t="s">
        <v>61</v>
      </c>
      <c r="E57" s="17"/>
      <c r="F57" s="17"/>
      <c r="G57" s="18"/>
      <c r="H57" s="12">
        <v>145</v>
      </c>
      <c r="I57" s="7" t="s">
        <v>2</v>
      </c>
      <c r="J57" s="3">
        <v>0</v>
      </c>
      <c r="K57" s="3">
        <v>50</v>
      </c>
      <c r="L57" s="3">
        <v>0</v>
      </c>
      <c r="M57" s="3">
        <v>0</v>
      </c>
      <c r="N57" s="3">
        <v>0</v>
      </c>
      <c r="O57" s="3">
        <v>0</v>
      </c>
      <c r="P57" s="4">
        <f t="shared" si="0"/>
        <v>95</v>
      </c>
      <c r="Q57" s="1" t="s">
        <v>14</v>
      </c>
      <c r="R57" s="44">
        <v>10</v>
      </c>
      <c r="S57" s="46">
        <v>200</v>
      </c>
      <c r="T57" s="4"/>
    </row>
    <row r="58" spans="1:20" x14ac:dyDescent="0.25">
      <c r="A58" s="7">
        <v>55</v>
      </c>
      <c r="D58" s="9" t="s">
        <v>62</v>
      </c>
      <c r="E58" s="10"/>
      <c r="F58" s="10"/>
      <c r="G58" s="11"/>
      <c r="H58" s="12">
        <v>945</v>
      </c>
      <c r="I58" s="7" t="s">
        <v>2</v>
      </c>
      <c r="J58" s="3">
        <v>0</v>
      </c>
      <c r="K58" s="3">
        <v>0</v>
      </c>
      <c r="L58" s="3">
        <v>16</v>
      </c>
      <c r="M58" s="3">
        <v>26</v>
      </c>
      <c r="N58" s="3">
        <v>0</v>
      </c>
      <c r="O58" s="3">
        <v>16</v>
      </c>
      <c r="P58" s="4">
        <f t="shared" si="0"/>
        <v>887</v>
      </c>
      <c r="Q58" s="1" t="s">
        <v>14</v>
      </c>
      <c r="R58" s="44">
        <v>500</v>
      </c>
      <c r="S58" s="47">
        <v>1000</v>
      </c>
      <c r="T58" s="4"/>
    </row>
    <row r="59" spans="1:20" x14ac:dyDescent="0.25">
      <c r="A59" s="7">
        <v>56</v>
      </c>
      <c r="D59" s="16" t="s">
        <v>13</v>
      </c>
      <c r="E59" s="17"/>
      <c r="F59" s="17"/>
      <c r="G59" s="18"/>
      <c r="H59" s="12">
        <v>218</v>
      </c>
      <c r="I59" s="7" t="s">
        <v>2</v>
      </c>
      <c r="J59" s="3">
        <v>0</v>
      </c>
      <c r="K59" s="3">
        <v>0</v>
      </c>
      <c r="L59" s="3">
        <v>0</v>
      </c>
      <c r="M59" s="3">
        <v>0</v>
      </c>
      <c r="N59" s="3">
        <v>50</v>
      </c>
      <c r="O59" s="3">
        <v>0</v>
      </c>
      <c r="P59" s="4">
        <f t="shared" si="0"/>
        <v>168</v>
      </c>
      <c r="Q59" s="1" t="s">
        <v>14</v>
      </c>
      <c r="R59" s="44">
        <v>200</v>
      </c>
      <c r="S59" s="47">
        <v>500</v>
      </c>
      <c r="T59" s="4"/>
    </row>
    <row r="60" spans="1:20" x14ac:dyDescent="0.25">
      <c r="A60" s="7">
        <v>57</v>
      </c>
      <c r="D60" s="9" t="s">
        <v>72</v>
      </c>
      <c r="E60" s="10"/>
      <c r="F60" s="10"/>
      <c r="G60" s="11"/>
      <c r="H60" s="12">
        <v>50</v>
      </c>
      <c r="I60" s="7" t="s">
        <v>2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4">
        <f t="shared" si="0"/>
        <v>50</v>
      </c>
      <c r="Q60" s="1" t="s">
        <v>14</v>
      </c>
      <c r="R60" s="44">
        <v>15</v>
      </c>
      <c r="S60" s="47">
        <v>300</v>
      </c>
      <c r="T60" s="4"/>
    </row>
    <row r="61" spans="1:20" x14ac:dyDescent="0.25">
      <c r="A61" s="7">
        <v>58</v>
      </c>
      <c r="D61" s="16" t="s">
        <v>182</v>
      </c>
      <c r="E61" s="17"/>
      <c r="F61" s="17"/>
      <c r="G61" s="18"/>
      <c r="H61" s="12">
        <v>367</v>
      </c>
      <c r="I61" s="7" t="s">
        <v>2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4">
        <f t="shared" si="0"/>
        <v>367</v>
      </c>
      <c r="Q61" s="1" t="s">
        <v>14</v>
      </c>
      <c r="R61" s="44">
        <v>150</v>
      </c>
      <c r="S61" s="47">
        <v>600</v>
      </c>
      <c r="T61" s="4"/>
    </row>
    <row r="62" spans="1:20" x14ac:dyDescent="0.25">
      <c r="A62" s="7">
        <v>59</v>
      </c>
      <c r="D62" s="9" t="s">
        <v>181</v>
      </c>
      <c r="E62" s="10"/>
      <c r="F62" s="10"/>
      <c r="G62" s="11"/>
      <c r="H62" s="12">
        <v>40</v>
      </c>
      <c r="I62" s="7" t="s">
        <v>2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4">
        <f t="shared" si="0"/>
        <v>40</v>
      </c>
      <c r="Q62" s="1" t="s">
        <v>14</v>
      </c>
      <c r="R62" s="44">
        <v>50</v>
      </c>
      <c r="S62" s="47">
        <v>200</v>
      </c>
      <c r="T62" s="4"/>
    </row>
    <row r="63" spans="1:20" x14ac:dyDescent="0.25">
      <c r="A63" s="7">
        <v>60</v>
      </c>
      <c r="D63" s="16" t="s">
        <v>130</v>
      </c>
      <c r="E63" s="17"/>
      <c r="F63" s="17"/>
      <c r="G63" s="18"/>
      <c r="H63" s="12">
        <v>168</v>
      </c>
      <c r="I63" s="7" t="s">
        <v>2</v>
      </c>
      <c r="J63" s="3">
        <v>0</v>
      </c>
      <c r="K63" s="3">
        <v>0</v>
      </c>
      <c r="L63" s="3">
        <v>1</v>
      </c>
      <c r="M63" s="3">
        <v>0</v>
      </c>
      <c r="N63" s="3">
        <v>0</v>
      </c>
      <c r="O63" s="3">
        <v>0</v>
      </c>
      <c r="P63" s="4">
        <f t="shared" si="0"/>
        <v>167</v>
      </c>
      <c r="Q63" s="1" t="s">
        <v>14</v>
      </c>
      <c r="R63" s="44">
        <v>20</v>
      </c>
      <c r="S63" s="46">
        <v>200</v>
      </c>
      <c r="T63" s="4"/>
    </row>
    <row r="64" spans="1:20" x14ac:dyDescent="0.25">
      <c r="A64" s="7">
        <v>61</v>
      </c>
      <c r="D64" s="26" t="s">
        <v>14</v>
      </c>
      <c r="E64" s="27"/>
      <c r="F64" s="27"/>
      <c r="G64" s="28"/>
      <c r="H64" s="12">
        <v>0</v>
      </c>
      <c r="I64" s="30" t="s">
        <v>2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4">
        <f t="shared" si="0"/>
        <v>0</v>
      </c>
      <c r="Q64" s="1" t="s">
        <v>14</v>
      </c>
      <c r="R64" s="44">
        <v>0</v>
      </c>
      <c r="S64" s="47">
        <v>0</v>
      </c>
      <c r="T64" s="4"/>
    </row>
    <row r="65" spans="1:20" x14ac:dyDescent="0.25">
      <c r="A65" s="7">
        <v>62</v>
      </c>
      <c r="D65" s="16" t="s">
        <v>65</v>
      </c>
      <c r="E65" s="17"/>
      <c r="F65" s="17"/>
      <c r="G65" s="18"/>
      <c r="H65" s="12">
        <v>25</v>
      </c>
      <c r="I65" s="7" t="s">
        <v>2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4">
        <f t="shared" si="0"/>
        <v>25</v>
      </c>
      <c r="Q65" s="1" t="s">
        <v>14</v>
      </c>
      <c r="R65" s="44">
        <v>10</v>
      </c>
      <c r="S65" s="46">
        <v>50</v>
      </c>
      <c r="T65" s="4"/>
    </row>
    <row r="66" spans="1:20" x14ac:dyDescent="0.25">
      <c r="A66" s="7">
        <v>63</v>
      </c>
      <c r="D66" s="9" t="s">
        <v>66</v>
      </c>
      <c r="E66" s="10"/>
      <c r="F66" s="10"/>
      <c r="G66" s="11"/>
      <c r="H66" s="12">
        <v>50</v>
      </c>
      <c r="I66" s="7" t="s">
        <v>2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  <c r="P66" s="4">
        <f t="shared" si="0"/>
        <v>50</v>
      </c>
      <c r="Q66" s="1" t="s">
        <v>14</v>
      </c>
      <c r="R66" s="44">
        <v>300</v>
      </c>
      <c r="S66" s="47">
        <v>1000</v>
      </c>
      <c r="T66" s="4"/>
    </row>
    <row r="67" spans="1:20" x14ac:dyDescent="0.25">
      <c r="A67" s="7">
        <v>64</v>
      </c>
      <c r="D67" s="19" t="s">
        <v>165</v>
      </c>
      <c r="E67" s="20"/>
      <c r="F67" s="20"/>
      <c r="G67" s="21"/>
      <c r="H67" s="12">
        <v>45</v>
      </c>
      <c r="I67" s="7" t="s">
        <v>2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  <c r="P67" s="4">
        <f t="shared" si="0"/>
        <v>45</v>
      </c>
      <c r="Q67" s="1" t="s">
        <v>14</v>
      </c>
      <c r="R67" s="44">
        <v>50</v>
      </c>
      <c r="S67" s="47">
        <v>150</v>
      </c>
      <c r="T67" s="4"/>
    </row>
    <row r="68" spans="1:20" x14ac:dyDescent="0.25">
      <c r="A68" s="7">
        <v>65</v>
      </c>
      <c r="D68" s="22" t="s">
        <v>74</v>
      </c>
      <c r="E68" s="10"/>
      <c r="F68" s="10"/>
      <c r="G68" s="11"/>
      <c r="H68" s="12">
        <v>140</v>
      </c>
      <c r="I68" s="8" t="s">
        <v>75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4">
        <f t="shared" ref="P68:P89" si="1">+H68+J68-K68-L68-M68-N68-O68</f>
        <v>140</v>
      </c>
      <c r="Q68" s="1">
        <v>22</v>
      </c>
      <c r="R68" s="44">
        <v>65</v>
      </c>
      <c r="S68" s="47">
        <v>150</v>
      </c>
      <c r="T68" s="4"/>
    </row>
    <row r="69" spans="1:20" x14ac:dyDescent="0.25">
      <c r="A69" s="7">
        <v>66</v>
      </c>
      <c r="C69" s="1" t="s">
        <v>14</v>
      </c>
      <c r="D69" s="22" t="s">
        <v>76</v>
      </c>
      <c r="E69" s="10"/>
      <c r="F69" s="10"/>
      <c r="G69" s="11"/>
      <c r="H69" s="12">
        <v>153</v>
      </c>
      <c r="I69" s="8" t="s">
        <v>2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4">
        <f t="shared" si="1"/>
        <v>153</v>
      </c>
      <c r="Q69" s="1" t="s">
        <v>14</v>
      </c>
      <c r="R69" s="44">
        <v>50</v>
      </c>
      <c r="S69" s="47">
        <v>100</v>
      </c>
      <c r="T69" s="4"/>
    </row>
    <row r="70" spans="1:20" x14ac:dyDescent="0.25">
      <c r="A70" s="7">
        <v>67</v>
      </c>
      <c r="D70" s="25" t="s">
        <v>147</v>
      </c>
      <c r="H70" s="12">
        <v>18</v>
      </c>
      <c r="I70" s="30" t="s">
        <v>2</v>
      </c>
      <c r="J70" s="3">
        <v>100</v>
      </c>
      <c r="K70" s="3">
        <v>7</v>
      </c>
      <c r="L70" s="3">
        <v>7</v>
      </c>
      <c r="M70" s="3">
        <v>2</v>
      </c>
      <c r="N70" s="3">
        <v>69</v>
      </c>
      <c r="O70" s="3">
        <v>20</v>
      </c>
      <c r="P70" s="4">
        <f t="shared" si="1"/>
        <v>13</v>
      </c>
      <c r="Q70" s="1" t="s">
        <v>14</v>
      </c>
      <c r="R70" s="44">
        <v>50</v>
      </c>
      <c r="S70" s="47">
        <v>100</v>
      </c>
      <c r="T70" s="4"/>
    </row>
    <row r="71" spans="1:20" x14ac:dyDescent="0.25">
      <c r="A71" s="7">
        <v>68</v>
      </c>
      <c r="D71" s="26" t="s">
        <v>80</v>
      </c>
      <c r="E71" s="27"/>
      <c r="F71" s="27"/>
      <c r="G71" s="28"/>
      <c r="H71" s="12">
        <v>20</v>
      </c>
      <c r="I71" s="8" t="s">
        <v>2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4">
        <f t="shared" si="1"/>
        <v>20</v>
      </c>
      <c r="Q71" s="1" t="s">
        <v>14</v>
      </c>
      <c r="R71" s="44">
        <v>20</v>
      </c>
      <c r="S71" s="46">
        <v>200</v>
      </c>
      <c r="T71" s="4"/>
    </row>
    <row r="72" spans="1:20" x14ac:dyDescent="0.25">
      <c r="A72" s="7">
        <v>69</v>
      </c>
      <c r="D72" s="26" t="s">
        <v>194</v>
      </c>
      <c r="E72" s="27"/>
      <c r="F72" s="27"/>
      <c r="G72" s="28"/>
      <c r="H72" s="12">
        <v>250</v>
      </c>
      <c r="I72" s="8" t="s">
        <v>2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  <c r="P72" s="4">
        <f t="shared" si="1"/>
        <v>250</v>
      </c>
      <c r="Q72" s="1" t="s">
        <v>14</v>
      </c>
      <c r="R72" s="44" t="s">
        <v>14</v>
      </c>
      <c r="S72" s="47" t="s">
        <v>14</v>
      </c>
      <c r="T72" s="4"/>
    </row>
    <row r="73" spans="1:20" x14ac:dyDescent="0.25">
      <c r="A73" s="7">
        <v>70</v>
      </c>
      <c r="D73" s="26" t="s">
        <v>167</v>
      </c>
      <c r="E73" s="27"/>
      <c r="F73" s="27"/>
      <c r="G73" s="28"/>
      <c r="H73" s="12">
        <v>39</v>
      </c>
      <c r="I73" s="8" t="s">
        <v>2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4">
        <f t="shared" si="1"/>
        <v>39</v>
      </c>
      <c r="R73" s="44">
        <v>20</v>
      </c>
      <c r="S73" s="46">
        <v>200</v>
      </c>
      <c r="T73" s="4"/>
    </row>
    <row r="74" spans="1:20" x14ac:dyDescent="0.25">
      <c r="A74" s="7">
        <v>71</v>
      </c>
      <c r="D74" s="37" t="s">
        <v>176</v>
      </c>
      <c r="E74" s="17"/>
      <c r="F74" s="33"/>
      <c r="G74" s="33"/>
      <c r="H74" s="12">
        <v>1960</v>
      </c>
      <c r="I74" s="8" t="s">
        <v>2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4">
        <f t="shared" si="1"/>
        <v>1960</v>
      </c>
      <c r="Q74" s="1" t="s">
        <v>14</v>
      </c>
      <c r="R74" s="44">
        <v>100</v>
      </c>
      <c r="S74" s="47">
        <v>500</v>
      </c>
      <c r="T74" s="4"/>
    </row>
    <row r="75" spans="1:20" x14ac:dyDescent="0.25">
      <c r="A75" s="7">
        <v>72</v>
      </c>
      <c r="D75" s="22" t="s">
        <v>14</v>
      </c>
      <c r="E75" s="10"/>
      <c r="F75" s="10"/>
      <c r="G75" s="28"/>
      <c r="H75" s="12">
        <v>0</v>
      </c>
      <c r="I75" s="8" t="s">
        <v>2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4">
        <f t="shared" si="1"/>
        <v>0</v>
      </c>
      <c r="R75" s="44">
        <v>0</v>
      </c>
      <c r="S75" s="46"/>
      <c r="T75" s="4"/>
    </row>
    <row r="76" spans="1:20" x14ac:dyDescent="0.25">
      <c r="A76" s="7">
        <v>73</v>
      </c>
      <c r="D76" s="37" t="s">
        <v>113</v>
      </c>
      <c r="E76" s="17"/>
      <c r="F76" s="17"/>
      <c r="G76" s="33"/>
      <c r="H76" s="12">
        <v>637</v>
      </c>
      <c r="I76" s="8" t="s">
        <v>97</v>
      </c>
      <c r="J76" s="3">
        <v>1106</v>
      </c>
      <c r="K76" s="3">
        <v>131</v>
      </c>
      <c r="L76" s="3">
        <v>60</v>
      </c>
      <c r="M76" s="3">
        <v>70</v>
      </c>
      <c r="N76" s="3">
        <v>55</v>
      </c>
      <c r="O76" s="3">
        <v>63</v>
      </c>
      <c r="P76" s="4">
        <f t="shared" si="1"/>
        <v>1364</v>
      </c>
      <c r="Q76" s="65" t="s">
        <v>121</v>
      </c>
      <c r="R76" s="44">
        <v>300</v>
      </c>
      <c r="S76" s="47">
        <v>1000</v>
      </c>
      <c r="T76" s="4"/>
    </row>
    <row r="77" spans="1:20" x14ac:dyDescent="0.25">
      <c r="A77" s="7">
        <v>74</v>
      </c>
      <c r="D77" s="22" t="s">
        <v>103</v>
      </c>
      <c r="E77" s="10"/>
      <c r="F77" s="10"/>
      <c r="G77" s="28"/>
      <c r="H77" s="12">
        <v>118</v>
      </c>
      <c r="I77" s="8" t="s">
        <v>132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4">
        <f t="shared" si="1"/>
        <v>118</v>
      </c>
      <c r="R77" s="44">
        <v>60</v>
      </c>
      <c r="S77" s="47">
        <v>100</v>
      </c>
      <c r="T77" s="4"/>
    </row>
    <row r="78" spans="1:20" x14ac:dyDescent="0.25">
      <c r="A78" s="8">
        <v>75</v>
      </c>
      <c r="D78" s="49" t="s">
        <v>108</v>
      </c>
      <c r="E78" s="20"/>
      <c r="F78" s="20"/>
      <c r="G78" s="20"/>
      <c r="H78" s="12">
        <v>9000</v>
      </c>
      <c r="I78" s="8" t="s">
        <v>110</v>
      </c>
      <c r="J78" s="3">
        <v>10000</v>
      </c>
      <c r="K78" s="3">
        <v>2000</v>
      </c>
      <c r="L78" s="3">
        <v>1000</v>
      </c>
      <c r="M78" s="3">
        <v>0</v>
      </c>
      <c r="N78" s="3">
        <v>500</v>
      </c>
      <c r="O78" s="3">
        <v>1500</v>
      </c>
      <c r="P78" s="99">
        <f t="shared" si="1"/>
        <v>14000</v>
      </c>
      <c r="R78" s="95">
        <v>10000</v>
      </c>
      <c r="S78" s="96">
        <v>30000</v>
      </c>
      <c r="T78" s="4"/>
    </row>
    <row r="79" spans="1:20" x14ac:dyDescent="0.25">
      <c r="A79" s="48">
        <v>76</v>
      </c>
      <c r="B79" s="41"/>
      <c r="C79" s="41"/>
      <c r="D79" s="22" t="s">
        <v>115</v>
      </c>
      <c r="E79" s="10"/>
      <c r="F79" s="10"/>
      <c r="G79" s="11"/>
      <c r="H79" s="12">
        <v>12</v>
      </c>
      <c r="I79" s="62" t="s">
        <v>2</v>
      </c>
      <c r="J79" s="3">
        <v>100</v>
      </c>
      <c r="K79" s="3">
        <v>7</v>
      </c>
      <c r="L79" s="3">
        <v>7</v>
      </c>
      <c r="M79" s="3">
        <v>2</v>
      </c>
      <c r="N79" s="3">
        <v>69</v>
      </c>
      <c r="O79" s="3">
        <v>20</v>
      </c>
      <c r="P79" s="64">
        <f t="shared" si="1"/>
        <v>7</v>
      </c>
      <c r="R79" s="64">
        <v>50</v>
      </c>
      <c r="S79" s="64">
        <v>100</v>
      </c>
      <c r="T79" s="4" t="s">
        <v>14</v>
      </c>
    </row>
    <row r="80" spans="1:20" x14ac:dyDescent="0.25">
      <c r="A80" s="73">
        <v>77</v>
      </c>
      <c r="B80" s="41"/>
      <c r="C80" s="41"/>
      <c r="D80" s="49" t="s">
        <v>134</v>
      </c>
      <c r="E80" s="35"/>
      <c r="F80" s="35"/>
      <c r="G80" s="60"/>
      <c r="H80" s="12">
        <v>115</v>
      </c>
      <c r="I80" s="8" t="s">
        <v>2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  <c r="P80" s="4">
        <f t="shared" si="1"/>
        <v>115</v>
      </c>
      <c r="Q80" s="4"/>
      <c r="R80" s="4">
        <v>20</v>
      </c>
      <c r="S80" s="4">
        <v>50</v>
      </c>
      <c r="T80" s="4"/>
    </row>
    <row r="81" spans="1:20" x14ac:dyDescent="0.25">
      <c r="A81" s="8">
        <v>78</v>
      </c>
      <c r="D81" s="22" t="s">
        <v>123</v>
      </c>
      <c r="E81" s="10"/>
      <c r="F81" s="10"/>
      <c r="G81" s="11"/>
      <c r="H81" s="12">
        <v>500</v>
      </c>
      <c r="I81" s="8" t="s">
        <v>2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  <c r="P81" s="4">
        <f t="shared" si="1"/>
        <v>500</v>
      </c>
      <c r="Q81" s="4"/>
      <c r="R81" s="4">
        <v>500</v>
      </c>
      <c r="S81" s="4">
        <v>2500</v>
      </c>
      <c r="T81" s="4"/>
    </row>
    <row r="82" spans="1:20" x14ac:dyDescent="0.25">
      <c r="A82" s="48">
        <v>79</v>
      </c>
      <c r="B82" s="41"/>
      <c r="C82" s="41"/>
      <c r="D82" s="22" t="s">
        <v>177</v>
      </c>
      <c r="E82" s="10"/>
      <c r="F82" s="10"/>
      <c r="G82" s="11"/>
      <c r="H82" s="4">
        <v>300</v>
      </c>
      <c r="I82" s="8" t="s">
        <v>110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  <c r="P82" s="4">
        <f t="shared" si="1"/>
        <v>300</v>
      </c>
      <c r="Q82" s="4" t="s">
        <v>110</v>
      </c>
      <c r="R82" s="4">
        <v>250</v>
      </c>
      <c r="S82" s="4">
        <v>2000</v>
      </c>
      <c r="T82" s="4"/>
    </row>
    <row r="83" spans="1:20" x14ac:dyDescent="0.25">
      <c r="A83" s="48">
        <v>80</v>
      </c>
      <c r="B83" s="41"/>
      <c r="C83" s="41"/>
      <c r="D83" s="37" t="s">
        <v>178</v>
      </c>
      <c r="E83" s="17"/>
      <c r="F83" s="17"/>
      <c r="G83" s="18"/>
      <c r="H83" s="64">
        <v>2000</v>
      </c>
      <c r="I83" s="62" t="s">
        <v>110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64">
        <f t="shared" si="1"/>
        <v>2000</v>
      </c>
      <c r="Q83" s="64" t="s">
        <v>110</v>
      </c>
      <c r="R83" s="64">
        <v>3000</v>
      </c>
      <c r="S83" s="64">
        <v>10000</v>
      </c>
      <c r="T83" s="4"/>
    </row>
    <row r="84" spans="1:20" x14ac:dyDescent="0.25">
      <c r="A84" s="48">
        <v>81</v>
      </c>
      <c r="B84" s="11"/>
      <c r="C84" s="23"/>
      <c r="D84" s="68" t="s">
        <v>192</v>
      </c>
      <c r="E84" s="27"/>
      <c r="F84" s="27"/>
      <c r="G84" s="28"/>
      <c r="H84" s="74">
        <v>200</v>
      </c>
      <c r="I84" s="75" t="s">
        <v>110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4">
        <f t="shared" si="1"/>
        <v>200</v>
      </c>
      <c r="Q84" s="4"/>
      <c r="R84" s="4">
        <v>10</v>
      </c>
      <c r="S84" s="4">
        <v>50</v>
      </c>
      <c r="T84" s="4"/>
    </row>
    <row r="85" spans="1:20" x14ac:dyDescent="0.25">
      <c r="A85" s="8">
        <v>82</v>
      </c>
      <c r="D85" s="68" t="s">
        <v>148</v>
      </c>
      <c r="E85" s="27"/>
      <c r="F85" s="27"/>
      <c r="G85" s="28"/>
      <c r="H85" s="4">
        <v>0</v>
      </c>
      <c r="I85" s="8" t="s">
        <v>2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4">
        <f t="shared" si="1"/>
        <v>0</v>
      </c>
      <c r="Q85" s="4"/>
      <c r="R85" s="4">
        <v>50</v>
      </c>
      <c r="S85" s="4">
        <v>200</v>
      </c>
      <c r="T85" s="4"/>
    </row>
    <row r="86" spans="1:20" ht="15.75" customHeight="1" x14ac:dyDescent="0.25">
      <c r="A86" s="8">
        <v>83</v>
      </c>
      <c r="D86" s="79" t="s">
        <v>150</v>
      </c>
      <c r="E86" s="80"/>
      <c r="F86" s="81"/>
      <c r="G86" s="82"/>
      <c r="H86" s="4">
        <v>192</v>
      </c>
      <c r="I86" s="8" t="s">
        <v>2</v>
      </c>
      <c r="J86" s="3">
        <v>0</v>
      </c>
      <c r="K86" s="3">
        <v>0</v>
      </c>
      <c r="L86" s="3">
        <v>0</v>
      </c>
      <c r="M86" s="3">
        <v>12</v>
      </c>
      <c r="N86" s="3">
        <v>31</v>
      </c>
      <c r="O86" s="3">
        <v>0</v>
      </c>
      <c r="P86" s="4">
        <f t="shared" si="1"/>
        <v>149</v>
      </c>
      <c r="Q86" s="4"/>
      <c r="R86" s="4">
        <v>100</v>
      </c>
      <c r="S86" s="4">
        <v>500</v>
      </c>
      <c r="T86" s="4"/>
    </row>
    <row r="87" spans="1:20" x14ac:dyDescent="0.25">
      <c r="A87" s="8">
        <v>84</v>
      </c>
      <c r="D87" s="22" t="s">
        <v>183</v>
      </c>
      <c r="E87" s="10"/>
      <c r="F87" s="10"/>
      <c r="G87" s="11"/>
      <c r="H87" s="23">
        <v>596</v>
      </c>
      <c r="I87" s="8" t="s">
        <v>2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4">
        <f t="shared" si="1"/>
        <v>596</v>
      </c>
      <c r="Q87" s="4"/>
      <c r="R87" s="4">
        <v>20</v>
      </c>
      <c r="S87" s="4">
        <v>300</v>
      </c>
      <c r="T87" s="4"/>
    </row>
    <row r="88" spans="1:20" x14ac:dyDescent="0.25">
      <c r="A88" s="8">
        <v>85</v>
      </c>
      <c r="D88" s="49" t="s">
        <v>153</v>
      </c>
      <c r="E88" s="20"/>
      <c r="F88" s="20"/>
      <c r="G88" s="21"/>
      <c r="H88" s="23">
        <v>8</v>
      </c>
      <c r="I88" s="8" t="s">
        <v>2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4">
        <f t="shared" si="1"/>
        <v>8</v>
      </c>
      <c r="Q88" s="4"/>
      <c r="R88" s="4">
        <v>10</v>
      </c>
      <c r="S88" s="4">
        <v>200</v>
      </c>
      <c r="T88" s="4"/>
    </row>
    <row r="89" spans="1:20" x14ac:dyDescent="0.25">
      <c r="A89" s="77">
        <v>86</v>
      </c>
      <c r="D89" s="68" t="s">
        <v>14</v>
      </c>
      <c r="E89" s="27"/>
      <c r="F89" s="27"/>
      <c r="G89" s="28"/>
      <c r="H89" s="74">
        <v>0</v>
      </c>
      <c r="I89" s="75" t="s">
        <v>14</v>
      </c>
      <c r="J89" s="3">
        <v>0</v>
      </c>
      <c r="K89" s="3">
        <v>0</v>
      </c>
      <c r="L89" s="3">
        <v>0</v>
      </c>
      <c r="M89" s="3">
        <v>0</v>
      </c>
      <c r="N89" s="3">
        <v>0</v>
      </c>
      <c r="O89" s="3">
        <v>0</v>
      </c>
      <c r="P89" s="4">
        <f t="shared" si="1"/>
        <v>0</v>
      </c>
      <c r="Q89" s="4"/>
      <c r="R89" s="4" t="s">
        <v>14</v>
      </c>
      <c r="S89" s="4" t="s">
        <v>14</v>
      </c>
      <c r="T89" s="4"/>
    </row>
  </sheetData>
  <pageMargins left="0.75" right="0.75" top="1" bottom="1" header="0.5" footer="0.5"/>
  <pageSetup paperSize="9" orientation="portrait"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F9E151-8BD6-460F-99F5-BF6A8F4DB2D5}">
  <dimension ref="A1:T89"/>
  <sheetViews>
    <sheetView topLeftCell="A22" workbookViewId="0">
      <selection activeCell="N16" sqref="N16"/>
    </sheetView>
  </sheetViews>
  <sheetFormatPr defaultRowHeight="15" x14ac:dyDescent="0.25"/>
  <cols>
    <col min="1" max="1" width="5.5703125" customWidth="1"/>
    <col min="2" max="3" width="9.140625" hidden="1" customWidth="1"/>
    <col min="6" max="6" width="12.7109375" customWidth="1"/>
    <col min="8" max="8" width="10.140625" customWidth="1"/>
    <col min="9" max="9" width="10" customWidth="1"/>
    <col min="10" max="10" width="7.7109375" customWidth="1"/>
    <col min="11" max="11" width="10.7109375" customWidth="1"/>
    <col min="12" max="12" width="10.140625" customWidth="1"/>
    <col min="13" max="13" width="11.85546875" customWidth="1"/>
    <col min="14" max="15" width="11.7109375" customWidth="1"/>
    <col min="16" max="16" width="10.140625" customWidth="1"/>
    <col min="17" max="17" width="4.7109375" customWidth="1"/>
    <col min="18" max="18" width="10.140625" customWidth="1"/>
    <col min="19" max="19" width="11.5703125" customWidth="1"/>
    <col min="20" max="20" width="0.28515625" customWidth="1"/>
  </cols>
  <sheetData>
    <row r="1" spans="1:20" x14ac:dyDescent="0.25">
      <c r="G1" s="1"/>
      <c r="P1">
        <f>+H1+J1-K1-L1-M1-N1-O1</f>
        <v>0</v>
      </c>
    </row>
    <row r="2" spans="1:20" x14ac:dyDescent="0.25">
      <c r="A2" t="s">
        <v>14</v>
      </c>
      <c r="D2" s="78" t="s">
        <v>196</v>
      </c>
      <c r="O2" s="38" t="s">
        <v>14</v>
      </c>
      <c r="S2" s="50">
        <v>45656</v>
      </c>
    </row>
    <row r="3" spans="1:20" x14ac:dyDescent="0.25">
      <c r="A3" s="3" t="s">
        <v>15</v>
      </c>
      <c r="D3" s="9" t="s">
        <v>17</v>
      </c>
      <c r="E3" s="10"/>
      <c r="F3" s="10"/>
      <c r="G3" s="11"/>
      <c r="H3" s="12" t="s">
        <v>18</v>
      </c>
      <c r="I3" s="4" t="s">
        <v>19</v>
      </c>
      <c r="J3" s="3" t="s">
        <v>20</v>
      </c>
      <c r="K3" s="5">
        <v>45877</v>
      </c>
      <c r="L3" s="6">
        <v>45884</v>
      </c>
      <c r="M3" s="5">
        <v>45891</v>
      </c>
      <c r="N3" s="5">
        <v>45898</v>
      </c>
      <c r="O3" s="6">
        <v>0</v>
      </c>
      <c r="P3" s="3" t="s">
        <v>21</v>
      </c>
      <c r="R3" s="42" t="s">
        <v>105</v>
      </c>
      <c r="S3" s="45" t="s">
        <v>104</v>
      </c>
      <c r="T3" s="4"/>
    </row>
    <row r="4" spans="1:20" x14ac:dyDescent="0.25">
      <c r="A4" s="7">
        <v>1</v>
      </c>
      <c r="D4" s="13" t="s">
        <v>16</v>
      </c>
      <c r="E4" s="14"/>
      <c r="F4" s="14"/>
      <c r="G4" s="15"/>
      <c r="H4" s="12">
        <v>259</v>
      </c>
      <c r="I4" s="7" t="s">
        <v>1</v>
      </c>
      <c r="J4" s="3">
        <v>0</v>
      </c>
      <c r="K4" s="3">
        <v>0</v>
      </c>
      <c r="L4" s="3">
        <v>25</v>
      </c>
      <c r="M4" s="3">
        <v>69</v>
      </c>
      <c r="N4" s="3">
        <v>0</v>
      </c>
      <c r="O4" s="3">
        <v>0</v>
      </c>
      <c r="P4" s="4">
        <f t="shared" ref="P4:P67" si="0">+H4+J4-K4-L4-M4-N4-O4</f>
        <v>165</v>
      </c>
      <c r="Q4" t="s">
        <v>173</v>
      </c>
      <c r="R4" s="43">
        <v>150</v>
      </c>
      <c r="S4" s="46">
        <v>500</v>
      </c>
      <c r="T4" s="4" t="s">
        <v>14</v>
      </c>
    </row>
    <row r="5" spans="1:20" x14ac:dyDescent="0.25">
      <c r="A5" s="7">
        <v>2</v>
      </c>
      <c r="D5" s="9" t="s">
        <v>14</v>
      </c>
      <c r="E5" s="10"/>
      <c r="F5" s="10"/>
      <c r="G5" s="11"/>
      <c r="H5" s="12">
        <v>0</v>
      </c>
      <c r="I5" s="7" t="s">
        <v>14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4">
        <f t="shared" si="0"/>
        <v>0</v>
      </c>
      <c r="Q5" s="1" t="s">
        <v>14</v>
      </c>
      <c r="R5" s="44">
        <v>0</v>
      </c>
      <c r="S5" s="47">
        <v>0</v>
      </c>
      <c r="T5" s="4"/>
    </row>
    <row r="6" spans="1:20" x14ac:dyDescent="0.25">
      <c r="A6" s="7">
        <v>3</v>
      </c>
      <c r="D6" s="16" t="s">
        <v>23</v>
      </c>
      <c r="E6" s="17"/>
      <c r="F6" s="17"/>
      <c r="G6" s="18"/>
      <c r="H6" s="12">
        <v>34</v>
      </c>
      <c r="I6" s="7" t="s">
        <v>2</v>
      </c>
      <c r="J6" s="3">
        <v>390</v>
      </c>
      <c r="K6" s="3">
        <v>0</v>
      </c>
      <c r="L6" s="3">
        <v>400</v>
      </c>
      <c r="M6" s="3">
        <v>0</v>
      </c>
      <c r="N6" s="3">
        <v>0</v>
      </c>
      <c r="O6" s="3">
        <v>0</v>
      </c>
      <c r="P6" s="4">
        <f t="shared" si="0"/>
        <v>24</v>
      </c>
      <c r="Q6" s="1" t="s">
        <v>14</v>
      </c>
      <c r="R6" s="44">
        <v>6</v>
      </c>
      <c r="S6" s="47">
        <v>10</v>
      </c>
      <c r="T6" s="4"/>
    </row>
    <row r="7" spans="1:20" x14ac:dyDescent="0.25">
      <c r="A7" s="7">
        <v>4</v>
      </c>
      <c r="D7" s="9" t="s">
        <v>3</v>
      </c>
      <c r="E7" s="10"/>
      <c r="F7" s="10"/>
      <c r="G7" s="11"/>
      <c r="H7" s="12">
        <v>22</v>
      </c>
      <c r="I7" s="7" t="s">
        <v>2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4">
        <f t="shared" si="0"/>
        <v>22</v>
      </c>
      <c r="Q7" s="1" t="s">
        <v>14</v>
      </c>
      <c r="R7" s="44">
        <v>6</v>
      </c>
      <c r="S7" s="47">
        <v>10</v>
      </c>
      <c r="T7" s="4"/>
    </row>
    <row r="8" spans="1:20" x14ac:dyDescent="0.25">
      <c r="A8" s="7">
        <v>5</v>
      </c>
      <c r="D8" s="16" t="s">
        <v>139</v>
      </c>
      <c r="E8" s="17"/>
      <c r="F8" s="17"/>
      <c r="G8" s="18"/>
      <c r="H8" s="12">
        <v>98</v>
      </c>
      <c r="I8" s="7" t="s">
        <v>2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4">
        <f t="shared" si="0"/>
        <v>98</v>
      </c>
      <c r="Q8" s="1" t="s">
        <v>14</v>
      </c>
      <c r="R8" s="44">
        <v>50</v>
      </c>
      <c r="S8" s="47">
        <v>400</v>
      </c>
      <c r="T8" s="4"/>
    </row>
    <row r="9" spans="1:20" x14ac:dyDescent="0.25">
      <c r="A9" s="7">
        <v>6</v>
      </c>
      <c r="D9" s="9" t="s">
        <v>24</v>
      </c>
      <c r="E9" s="10"/>
      <c r="F9" s="10"/>
      <c r="G9" s="11"/>
      <c r="H9" s="12">
        <v>170</v>
      </c>
      <c r="I9" s="7" t="s">
        <v>171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4">
        <f t="shared" si="0"/>
        <v>170</v>
      </c>
      <c r="Q9" s="1" t="s">
        <v>132</v>
      </c>
      <c r="R9" s="44">
        <v>100</v>
      </c>
      <c r="S9" s="47">
        <v>400</v>
      </c>
      <c r="T9" s="4"/>
    </row>
    <row r="10" spans="1:20" x14ac:dyDescent="0.25">
      <c r="A10" s="7">
        <v>7</v>
      </c>
      <c r="D10" s="16" t="s">
        <v>101</v>
      </c>
      <c r="E10" s="17"/>
      <c r="F10" s="17"/>
      <c r="G10" s="18"/>
      <c r="H10" s="12">
        <v>226</v>
      </c>
      <c r="I10" s="7" t="s">
        <v>171</v>
      </c>
      <c r="J10" s="3">
        <v>150</v>
      </c>
      <c r="K10" s="3">
        <v>258</v>
      </c>
      <c r="L10" s="3">
        <v>102</v>
      </c>
      <c r="M10" s="3">
        <v>10</v>
      </c>
      <c r="N10" s="3">
        <v>0</v>
      </c>
      <c r="O10" s="3">
        <v>0</v>
      </c>
      <c r="P10" s="4">
        <f t="shared" si="0"/>
        <v>6</v>
      </c>
      <c r="Q10" s="1" t="s">
        <v>171</v>
      </c>
      <c r="R10" s="44">
        <v>200</v>
      </c>
      <c r="S10" s="47">
        <v>500</v>
      </c>
      <c r="T10" s="4"/>
    </row>
    <row r="11" spans="1:20" x14ac:dyDescent="0.25">
      <c r="A11" s="7">
        <v>8</v>
      </c>
      <c r="D11" s="9" t="s">
        <v>25</v>
      </c>
      <c r="E11" s="10"/>
      <c r="F11" s="10"/>
      <c r="G11" s="11"/>
      <c r="H11" s="12">
        <v>290</v>
      </c>
      <c r="I11" s="7" t="s">
        <v>2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4">
        <f t="shared" si="0"/>
        <v>290</v>
      </c>
      <c r="Q11" s="1" t="s">
        <v>14</v>
      </c>
      <c r="R11" s="44">
        <v>50</v>
      </c>
      <c r="S11" s="47">
        <v>300</v>
      </c>
      <c r="T11" s="4"/>
    </row>
    <row r="12" spans="1:20" x14ac:dyDescent="0.25">
      <c r="A12" s="7">
        <v>9</v>
      </c>
      <c r="D12" s="16" t="s">
        <v>174</v>
      </c>
      <c r="E12" s="17"/>
      <c r="F12" s="17"/>
      <c r="G12" s="18"/>
      <c r="H12" s="12">
        <v>80</v>
      </c>
      <c r="I12" s="7" t="s">
        <v>2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4">
        <f t="shared" si="0"/>
        <v>80</v>
      </c>
      <c r="Q12" s="1" t="s">
        <v>14</v>
      </c>
      <c r="R12" s="44">
        <v>45</v>
      </c>
      <c r="S12" s="47">
        <v>200</v>
      </c>
      <c r="T12" s="4"/>
    </row>
    <row r="13" spans="1:20" x14ac:dyDescent="0.25">
      <c r="A13" s="7">
        <v>10</v>
      </c>
      <c r="D13" s="9" t="s">
        <v>6</v>
      </c>
      <c r="E13" s="10"/>
      <c r="F13" s="10"/>
      <c r="G13" s="11"/>
      <c r="H13" s="12">
        <v>30</v>
      </c>
      <c r="I13" s="7" t="s">
        <v>2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4">
        <f t="shared" si="0"/>
        <v>30</v>
      </c>
      <c r="Q13" s="1" t="s">
        <v>14</v>
      </c>
      <c r="R13" s="44">
        <v>10</v>
      </c>
      <c r="S13" s="46">
        <v>100</v>
      </c>
      <c r="T13" s="4"/>
    </row>
    <row r="14" spans="1:20" x14ac:dyDescent="0.25">
      <c r="A14" s="7">
        <v>11</v>
      </c>
      <c r="D14" s="16" t="s">
        <v>7</v>
      </c>
      <c r="E14" s="17"/>
      <c r="F14" s="17"/>
      <c r="G14" s="18"/>
      <c r="H14" s="12">
        <v>14</v>
      </c>
      <c r="I14" s="7" t="s">
        <v>171</v>
      </c>
      <c r="J14" s="3">
        <v>0</v>
      </c>
      <c r="K14" s="3">
        <v>0</v>
      </c>
      <c r="L14" s="3">
        <v>0</v>
      </c>
      <c r="M14" s="3">
        <v>0</v>
      </c>
      <c r="N14" s="3">
        <v>1</v>
      </c>
      <c r="O14" s="3">
        <v>0</v>
      </c>
      <c r="P14" s="4">
        <f t="shared" si="0"/>
        <v>13</v>
      </c>
      <c r="Q14" s="1" t="s">
        <v>14</v>
      </c>
      <c r="R14" s="44">
        <v>10</v>
      </c>
      <c r="S14" s="47">
        <v>50</v>
      </c>
      <c r="T14" s="4"/>
    </row>
    <row r="15" spans="1:20" x14ac:dyDescent="0.25">
      <c r="A15" s="7">
        <v>12</v>
      </c>
      <c r="D15" s="9" t="s">
        <v>69</v>
      </c>
      <c r="E15" s="10"/>
      <c r="F15" s="10"/>
      <c r="G15" s="11"/>
      <c r="H15" s="12">
        <v>5</v>
      </c>
      <c r="I15" s="7" t="s">
        <v>171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4">
        <f t="shared" si="0"/>
        <v>5</v>
      </c>
      <c r="Q15" s="1" t="s">
        <v>132</v>
      </c>
      <c r="R15" s="44">
        <v>200</v>
      </c>
      <c r="S15" s="47">
        <v>400</v>
      </c>
      <c r="T15" s="4"/>
    </row>
    <row r="16" spans="1:20" x14ac:dyDescent="0.25">
      <c r="A16" s="7">
        <v>13</v>
      </c>
      <c r="D16" s="100"/>
      <c r="E16" s="89"/>
      <c r="F16" s="90" t="s">
        <v>111</v>
      </c>
      <c r="G16" s="87"/>
      <c r="H16" s="12">
        <v>102</v>
      </c>
      <c r="I16" s="7" t="s">
        <v>2</v>
      </c>
      <c r="J16" s="3">
        <v>0</v>
      </c>
      <c r="K16" s="3">
        <v>0</v>
      </c>
      <c r="L16" s="3">
        <v>0</v>
      </c>
      <c r="M16" s="3">
        <v>0</v>
      </c>
      <c r="N16" s="3">
        <v>1</v>
      </c>
      <c r="O16" s="3">
        <v>0</v>
      </c>
      <c r="P16" s="4">
        <f t="shared" si="0"/>
        <v>101</v>
      </c>
      <c r="Q16" s="1" t="s">
        <v>14</v>
      </c>
      <c r="R16" s="44">
        <v>100</v>
      </c>
      <c r="S16" s="46">
        <v>500</v>
      </c>
      <c r="T16" s="4"/>
    </row>
    <row r="17" spans="1:20" x14ac:dyDescent="0.25">
      <c r="A17" s="7">
        <v>14</v>
      </c>
      <c r="D17" s="9" t="s">
        <v>73</v>
      </c>
      <c r="E17" s="10"/>
      <c r="F17" s="10"/>
      <c r="G17" s="11"/>
      <c r="H17" s="12">
        <v>690</v>
      </c>
      <c r="I17" s="7" t="s">
        <v>2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4">
        <f t="shared" si="0"/>
        <v>690</v>
      </c>
      <c r="Q17" s="1" t="s">
        <v>14</v>
      </c>
      <c r="R17" s="44">
        <v>0</v>
      </c>
      <c r="S17" s="46"/>
      <c r="T17" s="4"/>
    </row>
    <row r="18" spans="1:20" x14ac:dyDescent="0.25">
      <c r="A18" s="7">
        <v>15</v>
      </c>
      <c r="D18" s="16" t="s">
        <v>28</v>
      </c>
      <c r="E18" s="17"/>
      <c r="F18" s="17"/>
      <c r="G18" s="18"/>
      <c r="H18" s="12">
        <v>28</v>
      </c>
      <c r="I18" s="7" t="s">
        <v>2</v>
      </c>
      <c r="J18" s="3">
        <v>50</v>
      </c>
      <c r="K18" s="3">
        <v>17</v>
      </c>
      <c r="L18" s="3">
        <v>0</v>
      </c>
      <c r="M18" s="3">
        <v>0</v>
      </c>
      <c r="N18" s="3">
        <v>0</v>
      </c>
      <c r="O18" s="3">
        <v>0</v>
      </c>
      <c r="P18" s="4">
        <f t="shared" si="0"/>
        <v>61</v>
      </c>
      <c r="Q18" s="1" t="s">
        <v>14</v>
      </c>
      <c r="R18" s="44">
        <v>50</v>
      </c>
      <c r="S18" s="47">
        <v>100</v>
      </c>
      <c r="T18" s="4"/>
    </row>
    <row r="19" spans="1:20" x14ac:dyDescent="0.25">
      <c r="A19" s="7">
        <v>16</v>
      </c>
      <c r="D19" s="9" t="s">
        <v>29</v>
      </c>
      <c r="E19" s="10"/>
      <c r="F19" s="10"/>
      <c r="G19" s="11"/>
      <c r="H19" s="12">
        <v>28</v>
      </c>
      <c r="I19" s="7" t="s">
        <v>2</v>
      </c>
      <c r="J19" s="3">
        <v>50</v>
      </c>
      <c r="K19" s="3">
        <v>17</v>
      </c>
      <c r="L19" s="3">
        <v>0</v>
      </c>
      <c r="M19" s="3">
        <v>0</v>
      </c>
      <c r="N19" s="3">
        <v>0</v>
      </c>
      <c r="O19" s="3">
        <v>0</v>
      </c>
      <c r="P19" s="4">
        <f t="shared" si="0"/>
        <v>61</v>
      </c>
      <c r="Q19" s="1" t="s">
        <v>14</v>
      </c>
      <c r="R19" s="44">
        <v>50</v>
      </c>
      <c r="S19" s="47">
        <v>100</v>
      </c>
      <c r="T19" s="4"/>
    </row>
    <row r="20" spans="1:20" x14ac:dyDescent="0.25">
      <c r="A20" s="7">
        <v>17</v>
      </c>
      <c r="D20" s="16" t="s">
        <v>14</v>
      </c>
      <c r="E20" s="17" t="s">
        <v>14</v>
      </c>
      <c r="F20" s="17" t="s">
        <v>14</v>
      </c>
      <c r="G20" s="18"/>
      <c r="H20" s="12">
        <v>0</v>
      </c>
      <c r="I20" s="7" t="s">
        <v>2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4">
        <f t="shared" si="0"/>
        <v>0</v>
      </c>
      <c r="Q20" s="1" t="s">
        <v>14</v>
      </c>
      <c r="R20" s="44" t="s">
        <v>14</v>
      </c>
      <c r="S20" s="47" t="s">
        <v>14</v>
      </c>
      <c r="T20" s="4"/>
    </row>
    <row r="21" spans="1:20" x14ac:dyDescent="0.25">
      <c r="A21" s="7">
        <v>18</v>
      </c>
      <c r="D21" s="9" t="s">
        <v>129</v>
      </c>
      <c r="E21" s="10"/>
      <c r="F21" s="10"/>
      <c r="G21" s="11"/>
      <c r="H21" s="12">
        <v>5</v>
      </c>
      <c r="I21" s="7" t="s">
        <v>2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4">
        <f t="shared" si="0"/>
        <v>5</v>
      </c>
      <c r="Q21" s="1" t="s">
        <v>14</v>
      </c>
      <c r="R21" s="44">
        <v>10</v>
      </c>
      <c r="S21" s="46">
        <v>50</v>
      </c>
      <c r="T21" s="4"/>
    </row>
    <row r="22" spans="1:20" x14ac:dyDescent="0.25">
      <c r="A22" s="7">
        <v>19</v>
      </c>
      <c r="D22" s="55" t="s">
        <v>184</v>
      </c>
      <c r="E22" s="56"/>
      <c r="F22" s="56"/>
      <c r="G22" s="57"/>
      <c r="H22" s="12">
        <v>300</v>
      </c>
      <c r="I22" s="59" t="s">
        <v>1</v>
      </c>
      <c r="J22" s="3">
        <v>0</v>
      </c>
      <c r="K22" s="3">
        <v>60</v>
      </c>
      <c r="L22" s="3">
        <v>20</v>
      </c>
      <c r="M22" s="3">
        <v>30</v>
      </c>
      <c r="N22" s="3">
        <v>50</v>
      </c>
      <c r="O22" s="3">
        <v>0</v>
      </c>
      <c r="P22" s="46">
        <f t="shared" si="0"/>
        <v>140</v>
      </c>
      <c r="Q22" s="1" t="s">
        <v>75</v>
      </c>
      <c r="R22" s="44">
        <v>200</v>
      </c>
      <c r="S22" s="47">
        <v>400</v>
      </c>
      <c r="T22" s="4"/>
    </row>
    <row r="23" spans="1:20" x14ac:dyDescent="0.25">
      <c r="A23" s="7">
        <v>20</v>
      </c>
      <c r="D23" s="9" t="s">
        <v>32</v>
      </c>
      <c r="E23" s="10"/>
      <c r="F23" s="10"/>
      <c r="G23" s="11"/>
      <c r="H23" s="12">
        <v>800</v>
      </c>
      <c r="I23" s="7" t="s">
        <v>2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4">
        <f t="shared" si="0"/>
        <v>800</v>
      </c>
      <c r="Q23" s="1" t="s">
        <v>14</v>
      </c>
      <c r="R23" s="44">
        <v>0</v>
      </c>
      <c r="S23" s="46">
        <v>0</v>
      </c>
      <c r="T23" s="4"/>
    </row>
    <row r="24" spans="1:20" x14ac:dyDescent="0.25">
      <c r="A24" s="7">
        <v>21</v>
      </c>
      <c r="D24" s="16" t="s">
        <v>188</v>
      </c>
      <c r="E24" s="17"/>
      <c r="F24" s="17"/>
      <c r="G24" s="18"/>
      <c r="H24" s="12">
        <v>100</v>
      </c>
      <c r="I24" s="7" t="s">
        <v>2</v>
      </c>
      <c r="J24" s="3">
        <v>0</v>
      </c>
      <c r="K24" s="3">
        <v>0</v>
      </c>
      <c r="L24" s="3">
        <v>0</v>
      </c>
      <c r="M24" s="3">
        <v>0</v>
      </c>
      <c r="N24" s="3">
        <v>4</v>
      </c>
      <c r="O24" s="3">
        <v>0</v>
      </c>
      <c r="P24" s="4">
        <f t="shared" si="0"/>
        <v>96</v>
      </c>
      <c r="Q24" s="1" t="s">
        <v>14</v>
      </c>
      <c r="R24" s="44">
        <v>10</v>
      </c>
      <c r="S24" s="46">
        <v>100</v>
      </c>
      <c r="T24" s="4"/>
    </row>
    <row r="25" spans="1:20" x14ac:dyDescent="0.25">
      <c r="A25" s="7">
        <v>22</v>
      </c>
      <c r="D25" s="9" t="s">
        <v>34</v>
      </c>
      <c r="E25" s="10"/>
      <c r="F25" s="10"/>
      <c r="G25" s="11"/>
      <c r="H25" s="12">
        <v>30</v>
      </c>
      <c r="I25" s="7" t="s">
        <v>2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4">
        <f t="shared" si="0"/>
        <v>30</v>
      </c>
      <c r="Q25" s="1" t="s">
        <v>14</v>
      </c>
      <c r="R25" s="44">
        <v>20</v>
      </c>
      <c r="S25" s="46">
        <v>50</v>
      </c>
      <c r="T25" s="4"/>
    </row>
    <row r="26" spans="1:20" x14ac:dyDescent="0.25">
      <c r="A26" s="7">
        <v>23</v>
      </c>
      <c r="D26" s="16" t="s">
        <v>142</v>
      </c>
      <c r="E26" s="17"/>
      <c r="F26" s="17"/>
      <c r="G26" s="18"/>
      <c r="H26" s="12">
        <v>124</v>
      </c>
      <c r="I26" s="7" t="s">
        <v>2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4">
        <f t="shared" si="0"/>
        <v>124</v>
      </c>
      <c r="Q26" s="1" t="s">
        <v>14</v>
      </c>
      <c r="R26" s="44">
        <v>20</v>
      </c>
      <c r="S26" s="47">
        <v>50</v>
      </c>
      <c r="T26" s="4"/>
    </row>
    <row r="27" spans="1:20" x14ac:dyDescent="0.25">
      <c r="A27" s="7">
        <v>24</v>
      </c>
      <c r="D27" s="9" t="s">
        <v>141</v>
      </c>
      <c r="E27" s="10"/>
      <c r="F27" s="10"/>
      <c r="G27" s="11"/>
      <c r="H27" s="12">
        <v>110</v>
      </c>
      <c r="I27" s="7" t="s">
        <v>2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  <c r="P27" s="4">
        <f t="shared" si="0"/>
        <v>110</v>
      </c>
      <c r="Q27" s="1"/>
      <c r="R27" s="44">
        <v>20</v>
      </c>
      <c r="S27" s="47">
        <v>50</v>
      </c>
      <c r="T27" s="4"/>
    </row>
    <row r="28" spans="1:20" x14ac:dyDescent="0.25">
      <c r="A28" s="7">
        <v>25</v>
      </c>
      <c r="D28" s="9" t="s">
        <v>137</v>
      </c>
      <c r="E28" s="10"/>
      <c r="F28" s="10"/>
      <c r="G28" s="11"/>
      <c r="H28" s="12">
        <v>35</v>
      </c>
      <c r="I28" s="7" t="s">
        <v>2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4">
        <f t="shared" si="0"/>
        <v>35</v>
      </c>
      <c r="Q28" s="1" t="s">
        <v>14</v>
      </c>
      <c r="R28" s="44">
        <v>20</v>
      </c>
      <c r="S28" s="47">
        <v>50</v>
      </c>
      <c r="T28" s="4"/>
    </row>
    <row r="29" spans="1:20" x14ac:dyDescent="0.25">
      <c r="A29" s="7">
        <v>26</v>
      </c>
      <c r="D29" s="9" t="s">
        <v>138</v>
      </c>
      <c r="E29" s="10"/>
      <c r="F29" s="10"/>
      <c r="G29" s="11"/>
      <c r="H29" s="12">
        <v>0</v>
      </c>
      <c r="I29" s="7" t="s">
        <v>2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4">
        <f t="shared" si="0"/>
        <v>0</v>
      </c>
      <c r="Q29" s="1"/>
      <c r="R29" s="44">
        <v>20</v>
      </c>
      <c r="S29" s="47">
        <v>50</v>
      </c>
      <c r="T29" s="4"/>
    </row>
    <row r="30" spans="1:20" x14ac:dyDescent="0.25">
      <c r="A30" s="7">
        <v>27</v>
      </c>
      <c r="D30" s="16" t="s">
        <v>35</v>
      </c>
      <c r="E30" s="17"/>
      <c r="F30" s="17"/>
      <c r="G30" s="18"/>
      <c r="H30" s="12">
        <v>178</v>
      </c>
      <c r="I30" s="7" t="s">
        <v>2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4">
        <f t="shared" si="0"/>
        <v>178</v>
      </c>
      <c r="Q30" s="1" t="s">
        <v>14</v>
      </c>
      <c r="R30" s="44">
        <v>50</v>
      </c>
      <c r="S30" s="47">
        <v>100</v>
      </c>
      <c r="T30" s="4"/>
    </row>
    <row r="31" spans="1:20" x14ac:dyDescent="0.25">
      <c r="A31" s="7">
        <v>28</v>
      </c>
      <c r="D31" s="9" t="s">
        <v>36</v>
      </c>
      <c r="E31" s="10"/>
      <c r="F31" s="10"/>
      <c r="G31" s="11"/>
      <c r="H31" s="12">
        <v>20</v>
      </c>
      <c r="I31" s="7" t="s">
        <v>2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4">
        <f t="shared" si="0"/>
        <v>20</v>
      </c>
      <c r="Q31" s="1" t="s">
        <v>14</v>
      </c>
      <c r="R31" s="44">
        <v>50</v>
      </c>
      <c r="S31" s="47">
        <v>100</v>
      </c>
      <c r="T31" s="4"/>
    </row>
    <row r="32" spans="1:20" x14ac:dyDescent="0.25">
      <c r="A32" s="7">
        <v>29</v>
      </c>
      <c r="D32" s="16" t="s">
        <v>37</v>
      </c>
      <c r="E32" s="17"/>
      <c r="F32" s="17"/>
      <c r="G32" s="18"/>
      <c r="H32" s="12">
        <v>108</v>
      </c>
      <c r="I32" s="7" t="s">
        <v>2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4">
        <f t="shared" si="0"/>
        <v>108</v>
      </c>
      <c r="Q32" s="1" t="s">
        <v>14</v>
      </c>
      <c r="R32" s="44">
        <v>20</v>
      </c>
      <c r="S32" s="47">
        <v>50</v>
      </c>
      <c r="T32" s="4"/>
    </row>
    <row r="33" spans="1:20" x14ac:dyDescent="0.25">
      <c r="A33" s="7">
        <v>30</v>
      </c>
      <c r="D33" s="9" t="s">
        <v>38</v>
      </c>
      <c r="E33" s="10"/>
      <c r="F33" s="10"/>
      <c r="G33" s="11"/>
      <c r="H33" s="12">
        <v>0</v>
      </c>
      <c r="I33" s="7" t="s">
        <v>2</v>
      </c>
      <c r="J33" s="3">
        <v>100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4">
        <f t="shared" si="0"/>
        <v>100</v>
      </c>
      <c r="Q33" s="1" t="s">
        <v>14</v>
      </c>
      <c r="R33" s="44">
        <v>50</v>
      </c>
      <c r="S33" s="47">
        <v>100</v>
      </c>
      <c r="T33" s="4"/>
    </row>
    <row r="34" spans="1:20" x14ac:dyDescent="0.25">
      <c r="A34" s="7">
        <v>31</v>
      </c>
      <c r="D34" s="16" t="s">
        <v>39</v>
      </c>
      <c r="E34" s="17"/>
      <c r="F34" s="17"/>
      <c r="G34" s="18"/>
      <c r="H34" s="12">
        <v>101</v>
      </c>
      <c r="I34" s="7" t="s">
        <v>2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4">
        <f t="shared" si="0"/>
        <v>101</v>
      </c>
      <c r="Q34" s="1" t="s">
        <v>14</v>
      </c>
      <c r="R34" s="44">
        <v>20</v>
      </c>
      <c r="S34" s="47">
        <v>50</v>
      </c>
      <c r="T34" s="4"/>
    </row>
    <row r="35" spans="1:20" x14ac:dyDescent="0.25">
      <c r="A35" s="7">
        <v>32</v>
      </c>
      <c r="D35" s="9" t="s">
        <v>40</v>
      </c>
      <c r="E35" s="10"/>
      <c r="F35" s="10"/>
      <c r="G35" s="11"/>
      <c r="H35" s="12">
        <v>1050</v>
      </c>
      <c r="I35" s="7" t="s">
        <v>2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4">
        <f t="shared" si="0"/>
        <v>1050</v>
      </c>
      <c r="Q35" s="1" t="s">
        <v>14</v>
      </c>
      <c r="R35" s="44">
        <v>0</v>
      </c>
      <c r="S35" s="46">
        <v>0</v>
      </c>
      <c r="T35" s="4"/>
    </row>
    <row r="36" spans="1:20" x14ac:dyDescent="0.25">
      <c r="A36" s="7">
        <v>33</v>
      </c>
      <c r="D36" s="9" t="s">
        <v>9</v>
      </c>
      <c r="E36" s="10"/>
      <c r="F36" s="10"/>
      <c r="G36" s="11"/>
      <c r="H36" s="83">
        <v>25</v>
      </c>
      <c r="I36" s="7" t="s">
        <v>132</v>
      </c>
      <c r="J36" s="3">
        <v>100</v>
      </c>
      <c r="K36" s="3">
        <v>4</v>
      </c>
      <c r="L36" s="3">
        <v>3</v>
      </c>
      <c r="M36" s="3">
        <v>0</v>
      </c>
      <c r="N36" s="3">
        <v>0</v>
      </c>
      <c r="O36" s="3">
        <v>0</v>
      </c>
      <c r="P36" s="4">
        <f t="shared" si="0"/>
        <v>118</v>
      </c>
      <c r="Q36" s="1" t="s">
        <v>132</v>
      </c>
      <c r="R36" s="44">
        <v>50</v>
      </c>
      <c r="S36" s="47">
        <v>100</v>
      </c>
      <c r="T36" s="4"/>
    </row>
    <row r="37" spans="1:20" x14ac:dyDescent="0.25">
      <c r="A37" s="7">
        <v>34</v>
      </c>
      <c r="D37" s="19" t="s">
        <v>166</v>
      </c>
      <c r="E37" s="20"/>
      <c r="F37" s="20"/>
      <c r="G37" s="21"/>
      <c r="H37" s="69">
        <v>72</v>
      </c>
      <c r="I37" s="7" t="s">
        <v>2</v>
      </c>
      <c r="J37" s="3">
        <v>100</v>
      </c>
      <c r="K37" s="3">
        <v>0</v>
      </c>
      <c r="L37" s="3">
        <v>3</v>
      </c>
      <c r="M37" s="3">
        <v>0</v>
      </c>
      <c r="N37" s="3">
        <v>0</v>
      </c>
      <c r="O37" s="3">
        <v>0</v>
      </c>
      <c r="P37" s="4">
        <f t="shared" si="0"/>
        <v>169</v>
      </c>
      <c r="Q37" s="1" t="s">
        <v>14</v>
      </c>
      <c r="R37" s="44">
        <v>50</v>
      </c>
      <c r="S37" s="46">
        <v>100</v>
      </c>
      <c r="T37" s="4"/>
    </row>
    <row r="38" spans="1:20" x14ac:dyDescent="0.25">
      <c r="A38" s="7">
        <v>35</v>
      </c>
      <c r="D38" s="16" t="s">
        <v>143</v>
      </c>
      <c r="E38" s="17"/>
      <c r="F38" s="17"/>
      <c r="G38" s="18"/>
      <c r="H38" s="12">
        <v>21</v>
      </c>
      <c r="I38" s="7" t="s">
        <v>2</v>
      </c>
      <c r="J38" s="3">
        <v>100</v>
      </c>
      <c r="K38" s="3">
        <v>4</v>
      </c>
      <c r="L38" s="3">
        <v>3</v>
      </c>
      <c r="M38" s="3">
        <v>0</v>
      </c>
      <c r="N38" s="3">
        <v>0</v>
      </c>
      <c r="O38" s="3">
        <v>0</v>
      </c>
      <c r="P38" s="4">
        <f t="shared" si="0"/>
        <v>114</v>
      </c>
      <c r="Q38" s="1" t="s">
        <v>14</v>
      </c>
      <c r="R38" s="44">
        <v>50</v>
      </c>
      <c r="S38" s="46">
        <v>100</v>
      </c>
      <c r="T38" s="4"/>
    </row>
    <row r="39" spans="1:20" x14ac:dyDescent="0.25">
      <c r="A39" s="7">
        <v>36</v>
      </c>
      <c r="D39" s="9" t="s">
        <v>144</v>
      </c>
      <c r="E39" s="10"/>
      <c r="F39" s="10"/>
      <c r="G39" s="11"/>
      <c r="H39" s="12">
        <v>21</v>
      </c>
      <c r="I39" s="7" t="s">
        <v>2</v>
      </c>
      <c r="J39" s="3">
        <v>100</v>
      </c>
      <c r="K39" s="3">
        <v>4</v>
      </c>
      <c r="L39" s="3">
        <v>3</v>
      </c>
      <c r="M39" s="3">
        <v>0</v>
      </c>
      <c r="N39" s="3">
        <v>0</v>
      </c>
      <c r="O39" s="3">
        <v>0</v>
      </c>
      <c r="P39" s="4">
        <f t="shared" si="0"/>
        <v>114</v>
      </c>
      <c r="Q39" s="1" t="s">
        <v>14</v>
      </c>
      <c r="R39" s="44">
        <v>50</v>
      </c>
      <c r="S39" s="47">
        <v>100</v>
      </c>
      <c r="T39" s="4"/>
    </row>
    <row r="40" spans="1:20" x14ac:dyDescent="0.25">
      <c r="A40" s="7">
        <v>37</v>
      </c>
      <c r="D40" s="16" t="s">
        <v>42</v>
      </c>
      <c r="E40" s="17"/>
      <c r="F40" s="17"/>
      <c r="G40" s="18"/>
      <c r="H40" s="12">
        <v>21</v>
      </c>
      <c r="I40" s="7" t="s">
        <v>2</v>
      </c>
      <c r="J40" s="3">
        <v>100</v>
      </c>
      <c r="K40" s="3">
        <v>4</v>
      </c>
      <c r="L40" s="3">
        <v>3</v>
      </c>
      <c r="M40" s="3">
        <v>0</v>
      </c>
      <c r="N40" s="3">
        <v>0</v>
      </c>
      <c r="O40" s="3">
        <v>0</v>
      </c>
      <c r="P40" s="4">
        <f t="shared" si="0"/>
        <v>114</v>
      </c>
      <c r="Q40" s="1" t="s">
        <v>14</v>
      </c>
      <c r="R40" s="44">
        <v>50</v>
      </c>
      <c r="S40" s="47">
        <v>100</v>
      </c>
      <c r="T40" s="4"/>
    </row>
    <row r="41" spans="1:20" x14ac:dyDescent="0.25">
      <c r="A41" s="7">
        <v>38</v>
      </c>
      <c r="D41" s="9" t="s">
        <v>133</v>
      </c>
      <c r="E41" s="10"/>
      <c r="F41" s="10"/>
      <c r="G41" s="11"/>
      <c r="H41" s="12">
        <v>50</v>
      </c>
      <c r="I41" s="7" t="s">
        <v>2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4">
        <f t="shared" si="0"/>
        <v>50</v>
      </c>
      <c r="Q41" s="1" t="s">
        <v>14</v>
      </c>
      <c r="R41" s="44">
        <v>50</v>
      </c>
      <c r="S41" s="47">
        <v>100</v>
      </c>
      <c r="T41" s="4"/>
    </row>
    <row r="42" spans="1:20" x14ac:dyDescent="0.25">
      <c r="A42" s="7">
        <v>39</v>
      </c>
      <c r="D42" s="16" t="s">
        <v>145</v>
      </c>
      <c r="E42" s="17"/>
      <c r="F42" s="17"/>
      <c r="G42" s="18"/>
      <c r="H42" s="12">
        <v>50</v>
      </c>
      <c r="I42" s="7" t="s">
        <v>2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4">
        <f t="shared" si="0"/>
        <v>50</v>
      </c>
      <c r="Q42" s="1" t="s">
        <v>14</v>
      </c>
      <c r="R42" s="44">
        <v>50</v>
      </c>
      <c r="S42" s="46">
        <v>100</v>
      </c>
      <c r="T42" s="4"/>
    </row>
    <row r="43" spans="1:20" x14ac:dyDescent="0.25">
      <c r="A43" s="7">
        <v>40</v>
      </c>
      <c r="D43" s="9" t="s">
        <v>190</v>
      </c>
      <c r="E43" s="10"/>
      <c r="F43" s="10" t="s">
        <v>14</v>
      </c>
      <c r="G43" s="11" t="s">
        <v>14</v>
      </c>
      <c r="H43" s="12">
        <v>20</v>
      </c>
      <c r="I43" s="7" t="s">
        <v>75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4">
        <f t="shared" si="0"/>
        <v>20</v>
      </c>
      <c r="Q43" s="1" t="s">
        <v>75</v>
      </c>
      <c r="R43" s="44">
        <v>50</v>
      </c>
      <c r="S43" s="47">
        <v>200</v>
      </c>
      <c r="T43" s="4"/>
    </row>
    <row r="44" spans="1:20" x14ac:dyDescent="0.25">
      <c r="A44" s="7">
        <v>41</v>
      </c>
      <c r="D44" s="16" t="s">
        <v>10</v>
      </c>
      <c r="E44" s="17"/>
      <c r="F44" s="17"/>
      <c r="G44" s="18"/>
      <c r="H44" s="12">
        <v>6</v>
      </c>
      <c r="I44" s="7" t="s">
        <v>2</v>
      </c>
      <c r="J44" s="3">
        <v>0</v>
      </c>
      <c r="K44" s="3">
        <v>0</v>
      </c>
      <c r="L44" s="3">
        <v>1</v>
      </c>
      <c r="M44" s="3">
        <v>0</v>
      </c>
      <c r="N44" s="3">
        <v>0</v>
      </c>
      <c r="O44" s="3">
        <v>0</v>
      </c>
      <c r="P44" s="4">
        <f t="shared" si="0"/>
        <v>5</v>
      </c>
      <c r="Q44" s="1" t="s">
        <v>132</v>
      </c>
      <c r="R44" s="44">
        <v>20</v>
      </c>
      <c r="S44" s="47">
        <v>50</v>
      </c>
      <c r="T44" s="4"/>
    </row>
    <row r="45" spans="1:20" x14ac:dyDescent="0.25">
      <c r="A45" s="7">
        <v>42</v>
      </c>
      <c r="D45" s="9" t="s">
        <v>45</v>
      </c>
      <c r="E45" s="10"/>
      <c r="F45" s="10"/>
      <c r="G45" s="11"/>
      <c r="H45" s="12">
        <v>17</v>
      </c>
      <c r="I45" s="7" t="s">
        <v>2</v>
      </c>
      <c r="J45" s="3">
        <v>0</v>
      </c>
      <c r="K45" s="3">
        <v>0</v>
      </c>
      <c r="L45" s="3">
        <v>1</v>
      </c>
      <c r="M45" s="3">
        <v>0</v>
      </c>
      <c r="N45" s="3">
        <v>0</v>
      </c>
      <c r="O45" s="3">
        <v>0</v>
      </c>
      <c r="P45" s="4">
        <f t="shared" si="0"/>
        <v>16</v>
      </c>
      <c r="Q45" s="1" t="s">
        <v>14</v>
      </c>
      <c r="R45" s="44">
        <v>20</v>
      </c>
      <c r="S45" s="47">
        <v>50</v>
      </c>
      <c r="T45" s="4"/>
    </row>
    <row r="46" spans="1:20" x14ac:dyDescent="0.25">
      <c r="A46" s="7">
        <v>43</v>
      </c>
      <c r="D46" s="16" t="s">
        <v>46</v>
      </c>
      <c r="E46" s="17"/>
      <c r="F46" s="17"/>
      <c r="G46" s="18"/>
      <c r="H46" s="12">
        <v>18</v>
      </c>
      <c r="I46" s="7" t="s">
        <v>2</v>
      </c>
      <c r="J46" s="3">
        <v>0</v>
      </c>
      <c r="K46" s="3">
        <v>0</v>
      </c>
      <c r="L46" s="3">
        <v>1</v>
      </c>
      <c r="M46" s="3">
        <v>0</v>
      </c>
      <c r="N46" s="3">
        <v>0</v>
      </c>
      <c r="O46" s="3">
        <v>0</v>
      </c>
      <c r="P46" s="4">
        <f t="shared" si="0"/>
        <v>17</v>
      </c>
      <c r="Q46" s="1" t="s">
        <v>14</v>
      </c>
      <c r="R46" s="44">
        <v>20</v>
      </c>
      <c r="S46" s="47">
        <v>50</v>
      </c>
      <c r="T46" s="4"/>
    </row>
    <row r="47" spans="1:20" x14ac:dyDescent="0.25">
      <c r="A47" s="7">
        <v>44</v>
      </c>
      <c r="D47" s="9" t="s">
        <v>47</v>
      </c>
      <c r="E47" s="10"/>
      <c r="F47" s="10"/>
      <c r="G47" s="11" t="s">
        <v>14</v>
      </c>
      <c r="H47" s="12">
        <v>14</v>
      </c>
      <c r="I47" s="7" t="s">
        <v>2</v>
      </c>
      <c r="J47" s="3">
        <v>0</v>
      </c>
      <c r="K47" s="3">
        <v>0</v>
      </c>
      <c r="L47" s="3">
        <v>1</v>
      </c>
      <c r="M47" s="3">
        <v>0</v>
      </c>
      <c r="N47" s="3">
        <v>0</v>
      </c>
      <c r="O47" s="3">
        <v>0</v>
      </c>
      <c r="P47" s="4">
        <f t="shared" si="0"/>
        <v>13</v>
      </c>
      <c r="Q47" s="1" t="s">
        <v>14</v>
      </c>
      <c r="R47" s="44">
        <v>20</v>
      </c>
      <c r="S47" s="47">
        <v>50</v>
      </c>
      <c r="T47" s="4"/>
    </row>
    <row r="48" spans="1:20" x14ac:dyDescent="0.25">
      <c r="A48" s="7">
        <v>45</v>
      </c>
      <c r="D48" s="16" t="s">
        <v>175</v>
      </c>
      <c r="E48" s="17"/>
      <c r="F48" s="17"/>
      <c r="G48" s="18"/>
      <c r="H48" s="12">
        <v>400</v>
      </c>
      <c r="I48" s="7" t="s">
        <v>2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4">
        <f t="shared" si="0"/>
        <v>400</v>
      </c>
      <c r="Q48" s="1" t="s">
        <v>14</v>
      </c>
      <c r="R48" s="44">
        <v>500</v>
      </c>
      <c r="S48" s="47">
        <v>2000</v>
      </c>
      <c r="T48" s="4"/>
    </row>
    <row r="49" spans="1:20" x14ac:dyDescent="0.25">
      <c r="A49" s="7">
        <v>46</v>
      </c>
      <c r="D49" s="9" t="s">
        <v>48</v>
      </c>
      <c r="E49" s="10"/>
      <c r="F49" s="10"/>
      <c r="G49" s="11"/>
      <c r="H49" s="12">
        <v>17</v>
      </c>
      <c r="I49" s="7" t="s">
        <v>2</v>
      </c>
      <c r="J49" s="3">
        <v>0</v>
      </c>
      <c r="K49" s="3">
        <v>0</v>
      </c>
      <c r="L49" s="3">
        <v>0</v>
      </c>
      <c r="M49" s="3">
        <v>0</v>
      </c>
      <c r="N49" s="3">
        <v>1</v>
      </c>
      <c r="O49" s="3">
        <v>0</v>
      </c>
      <c r="P49" s="4">
        <f t="shared" si="0"/>
        <v>16</v>
      </c>
      <c r="Q49" s="1" t="s">
        <v>14</v>
      </c>
      <c r="R49" s="44">
        <v>10</v>
      </c>
      <c r="S49" s="47">
        <v>20</v>
      </c>
      <c r="T49" s="4" t="s">
        <v>14</v>
      </c>
    </row>
    <row r="50" spans="1:20" x14ac:dyDescent="0.25">
      <c r="A50" s="7">
        <v>47</v>
      </c>
      <c r="D50" s="16" t="s">
        <v>49</v>
      </c>
      <c r="E50" s="17"/>
      <c r="F50" s="17"/>
      <c r="G50" s="18"/>
      <c r="H50" s="12">
        <v>84</v>
      </c>
      <c r="I50" s="7" t="s">
        <v>2</v>
      </c>
      <c r="J50" s="3">
        <v>0</v>
      </c>
      <c r="K50" s="3">
        <v>0</v>
      </c>
      <c r="L50" s="3">
        <v>0</v>
      </c>
      <c r="M50" s="3">
        <v>0</v>
      </c>
      <c r="N50" s="3">
        <v>1</v>
      </c>
      <c r="O50" s="3">
        <v>0</v>
      </c>
      <c r="P50" s="4">
        <f t="shared" si="0"/>
        <v>83</v>
      </c>
      <c r="Q50" s="1" t="s">
        <v>14</v>
      </c>
      <c r="R50" s="44">
        <v>10</v>
      </c>
      <c r="S50" s="47">
        <v>20</v>
      </c>
      <c r="T50" s="4"/>
    </row>
    <row r="51" spans="1:20" x14ac:dyDescent="0.25">
      <c r="A51" s="7">
        <v>48</v>
      </c>
      <c r="D51" s="9" t="s">
        <v>189</v>
      </c>
      <c r="E51" s="10"/>
      <c r="F51" s="10"/>
      <c r="G51" s="11"/>
      <c r="H51" s="12">
        <v>30</v>
      </c>
      <c r="I51" s="7" t="s">
        <v>1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4">
        <f t="shared" si="0"/>
        <v>30</v>
      </c>
      <c r="Q51" s="1" t="s">
        <v>75</v>
      </c>
      <c r="R51" s="44">
        <v>50</v>
      </c>
      <c r="S51" s="47">
        <v>100</v>
      </c>
      <c r="T51" s="4"/>
    </row>
    <row r="52" spans="1:20" x14ac:dyDescent="0.25">
      <c r="A52" s="7">
        <v>49</v>
      </c>
      <c r="D52" s="94" t="s">
        <v>185</v>
      </c>
      <c r="E52" s="91" t="s">
        <v>186</v>
      </c>
      <c r="F52" s="92" t="s">
        <v>187</v>
      </c>
      <c r="G52" s="93"/>
      <c r="H52" s="12">
        <v>85</v>
      </c>
      <c r="I52" s="7" t="s">
        <v>2</v>
      </c>
      <c r="J52" s="3">
        <v>0</v>
      </c>
      <c r="K52" s="3">
        <v>0</v>
      </c>
      <c r="L52" s="3">
        <v>0</v>
      </c>
      <c r="M52" s="3">
        <v>0</v>
      </c>
      <c r="N52" s="3">
        <v>6</v>
      </c>
      <c r="O52" s="3">
        <v>0</v>
      </c>
      <c r="P52" s="4">
        <f t="shared" si="0"/>
        <v>79</v>
      </c>
      <c r="Q52" s="1" t="s">
        <v>14</v>
      </c>
      <c r="R52" s="44">
        <v>20</v>
      </c>
      <c r="S52" s="47">
        <v>50</v>
      </c>
      <c r="T52" s="4"/>
    </row>
    <row r="53" spans="1:20" x14ac:dyDescent="0.25">
      <c r="A53" s="7">
        <v>50</v>
      </c>
      <c r="D53" s="9" t="s">
        <v>51</v>
      </c>
      <c r="E53" s="10"/>
      <c r="F53" s="10"/>
      <c r="G53" s="11"/>
      <c r="H53" s="12">
        <v>73</v>
      </c>
      <c r="I53" s="7" t="s">
        <v>2</v>
      </c>
      <c r="J53" s="3">
        <v>0</v>
      </c>
      <c r="K53" s="3">
        <v>0</v>
      </c>
      <c r="L53" s="3">
        <v>0</v>
      </c>
      <c r="M53" s="3">
        <v>0</v>
      </c>
      <c r="N53" s="3">
        <v>6</v>
      </c>
      <c r="O53" s="3">
        <v>0</v>
      </c>
      <c r="P53" s="4">
        <f t="shared" si="0"/>
        <v>67</v>
      </c>
      <c r="Q53" s="1" t="s">
        <v>14</v>
      </c>
      <c r="R53" s="44">
        <v>20</v>
      </c>
      <c r="S53" s="47">
        <v>50</v>
      </c>
      <c r="T53" s="4"/>
    </row>
    <row r="54" spans="1:20" x14ac:dyDescent="0.25">
      <c r="A54" s="7">
        <v>51</v>
      </c>
      <c r="D54" s="16" t="s">
        <v>52</v>
      </c>
      <c r="E54" s="17"/>
      <c r="F54" s="17"/>
      <c r="G54" s="18"/>
      <c r="H54" s="12">
        <v>89</v>
      </c>
      <c r="I54" s="7" t="s">
        <v>2</v>
      </c>
      <c r="J54" s="3">
        <v>0</v>
      </c>
      <c r="K54" s="3">
        <v>0</v>
      </c>
      <c r="L54" s="3">
        <v>0</v>
      </c>
      <c r="M54" s="3">
        <v>0</v>
      </c>
      <c r="N54" s="3">
        <v>6</v>
      </c>
      <c r="O54" s="3">
        <v>0</v>
      </c>
      <c r="P54" s="4">
        <f t="shared" si="0"/>
        <v>83</v>
      </c>
      <c r="Q54" s="1" t="s">
        <v>14</v>
      </c>
      <c r="R54" s="44">
        <v>20</v>
      </c>
      <c r="S54" s="47">
        <v>50</v>
      </c>
      <c r="T54" s="4" t="s">
        <v>14</v>
      </c>
    </row>
    <row r="55" spans="1:20" x14ac:dyDescent="0.25">
      <c r="A55" s="7">
        <v>52</v>
      </c>
      <c r="D55" s="9" t="s">
        <v>53</v>
      </c>
      <c r="E55" s="10"/>
      <c r="F55" s="10"/>
      <c r="G55" s="11"/>
      <c r="H55" s="12">
        <v>95</v>
      </c>
      <c r="I55" s="7" t="s">
        <v>2</v>
      </c>
      <c r="J55" s="3">
        <v>0</v>
      </c>
      <c r="K55" s="3">
        <v>0</v>
      </c>
      <c r="L55" s="3">
        <v>0</v>
      </c>
      <c r="M55" s="3">
        <v>0</v>
      </c>
      <c r="N55" s="3">
        <v>6</v>
      </c>
      <c r="O55" s="3">
        <v>0</v>
      </c>
      <c r="P55" s="4">
        <f t="shared" si="0"/>
        <v>89</v>
      </c>
      <c r="Q55" s="1" t="s">
        <v>14</v>
      </c>
      <c r="R55" s="44">
        <v>20</v>
      </c>
      <c r="S55" s="47">
        <v>50</v>
      </c>
      <c r="T55" s="4"/>
    </row>
    <row r="56" spans="1:20" x14ac:dyDescent="0.25">
      <c r="A56" s="7">
        <v>53</v>
      </c>
      <c r="D56" s="70" t="s">
        <v>191</v>
      </c>
      <c r="E56" s="71"/>
      <c r="F56" s="71"/>
      <c r="G56" s="72"/>
      <c r="H56" s="12">
        <v>585</v>
      </c>
      <c r="I56" s="7" t="s">
        <v>1</v>
      </c>
      <c r="J56" s="3">
        <v>720</v>
      </c>
      <c r="K56" s="3">
        <v>120</v>
      </c>
      <c r="L56" s="3">
        <v>165</v>
      </c>
      <c r="M56" s="3">
        <v>90</v>
      </c>
      <c r="N56" s="3">
        <v>120</v>
      </c>
      <c r="O56" s="3">
        <v>0</v>
      </c>
      <c r="P56" s="4">
        <f t="shared" si="0"/>
        <v>810</v>
      </c>
      <c r="Q56" s="1" t="s">
        <v>120</v>
      </c>
      <c r="R56" s="44">
        <v>300</v>
      </c>
      <c r="S56" s="47">
        <v>750</v>
      </c>
      <c r="T56" s="4"/>
    </row>
    <row r="57" spans="1:20" x14ac:dyDescent="0.25">
      <c r="A57" s="7">
        <v>54</v>
      </c>
      <c r="D57" s="16" t="s">
        <v>61</v>
      </c>
      <c r="E57" s="17"/>
      <c r="F57" s="17"/>
      <c r="G57" s="18"/>
      <c r="H57" s="12">
        <v>95</v>
      </c>
      <c r="I57" s="7" t="s">
        <v>2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  <c r="P57" s="4">
        <f t="shared" si="0"/>
        <v>95</v>
      </c>
      <c r="Q57" s="1" t="s">
        <v>14</v>
      </c>
      <c r="R57" s="44">
        <v>10</v>
      </c>
      <c r="S57" s="46">
        <v>200</v>
      </c>
      <c r="T57" s="4"/>
    </row>
    <row r="58" spans="1:20" x14ac:dyDescent="0.25">
      <c r="A58" s="7">
        <v>55</v>
      </c>
      <c r="D58" s="9" t="s">
        <v>62</v>
      </c>
      <c r="E58" s="10"/>
      <c r="F58" s="10"/>
      <c r="G58" s="11"/>
      <c r="H58" s="12">
        <v>887</v>
      </c>
      <c r="I58" s="7" t="s">
        <v>2</v>
      </c>
      <c r="J58" s="3">
        <v>0</v>
      </c>
      <c r="K58" s="3">
        <v>0</v>
      </c>
      <c r="L58" s="3">
        <v>106</v>
      </c>
      <c r="M58" s="3">
        <v>0</v>
      </c>
      <c r="N58" s="3">
        <v>0</v>
      </c>
      <c r="O58" s="3">
        <v>0</v>
      </c>
      <c r="P58" s="4">
        <f t="shared" si="0"/>
        <v>781</v>
      </c>
      <c r="Q58" s="1" t="s">
        <v>14</v>
      </c>
      <c r="R58" s="44">
        <v>500</v>
      </c>
      <c r="S58" s="47">
        <v>1000</v>
      </c>
      <c r="T58" s="4"/>
    </row>
    <row r="59" spans="1:20" x14ac:dyDescent="0.25">
      <c r="A59" s="7">
        <v>56</v>
      </c>
      <c r="D59" s="16" t="s">
        <v>13</v>
      </c>
      <c r="E59" s="17"/>
      <c r="F59" s="17"/>
      <c r="G59" s="18"/>
      <c r="H59" s="12">
        <v>168</v>
      </c>
      <c r="I59" s="7" t="s">
        <v>2</v>
      </c>
      <c r="J59" s="3">
        <v>170</v>
      </c>
      <c r="K59" s="3">
        <v>0</v>
      </c>
      <c r="L59" s="3">
        <v>158</v>
      </c>
      <c r="M59" s="3">
        <v>41</v>
      </c>
      <c r="N59" s="3">
        <v>82</v>
      </c>
      <c r="O59" s="3">
        <v>0</v>
      </c>
      <c r="P59" s="4">
        <f t="shared" si="0"/>
        <v>57</v>
      </c>
      <c r="Q59" s="1" t="s">
        <v>14</v>
      </c>
      <c r="R59" s="44">
        <v>200</v>
      </c>
      <c r="S59" s="47">
        <v>500</v>
      </c>
      <c r="T59" s="4"/>
    </row>
    <row r="60" spans="1:20" x14ac:dyDescent="0.25">
      <c r="A60" s="7">
        <v>57</v>
      </c>
      <c r="D60" s="9" t="s">
        <v>72</v>
      </c>
      <c r="E60" s="10"/>
      <c r="F60" s="10"/>
      <c r="G60" s="11"/>
      <c r="H60" s="12">
        <v>50</v>
      </c>
      <c r="I60" s="7" t="s">
        <v>2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4">
        <f t="shared" si="0"/>
        <v>50</v>
      </c>
      <c r="Q60" s="1" t="s">
        <v>14</v>
      </c>
      <c r="R60" s="44">
        <v>15</v>
      </c>
      <c r="S60" s="47">
        <v>300</v>
      </c>
      <c r="T60" s="4"/>
    </row>
    <row r="61" spans="1:20" x14ac:dyDescent="0.25">
      <c r="A61" s="7">
        <v>58</v>
      </c>
      <c r="D61" s="16" t="s">
        <v>182</v>
      </c>
      <c r="E61" s="17"/>
      <c r="F61" s="17"/>
      <c r="G61" s="18"/>
      <c r="H61" s="12">
        <v>367</v>
      </c>
      <c r="I61" s="7" t="s">
        <v>2</v>
      </c>
      <c r="J61" s="3">
        <v>0</v>
      </c>
      <c r="K61" s="3">
        <v>0</v>
      </c>
      <c r="L61" s="3">
        <v>0</v>
      </c>
      <c r="M61" s="3">
        <v>0</v>
      </c>
      <c r="N61" s="3">
        <v>13</v>
      </c>
      <c r="O61" s="3">
        <v>0</v>
      </c>
      <c r="P61" s="4">
        <f t="shared" si="0"/>
        <v>354</v>
      </c>
      <c r="Q61" s="1" t="s">
        <v>14</v>
      </c>
      <c r="R61" s="44">
        <v>150</v>
      </c>
      <c r="S61" s="47">
        <v>600</v>
      </c>
      <c r="T61" s="4"/>
    </row>
    <row r="62" spans="1:20" x14ac:dyDescent="0.25">
      <c r="A62" s="7">
        <v>59</v>
      </c>
      <c r="D62" s="9" t="s">
        <v>181</v>
      </c>
      <c r="E62" s="10"/>
      <c r="F62" s="10"/>
      <c r="G62" s="11"/>
      <c r="H62" s="12">
        <v>40</v>
      </c>
      <c r="I62" s="7" t="s">
        <v>2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4">
        <f t="shared" si="0"/>
        <v>40</v>
      </c>
      <c r="Q62" s="1" t="s">
        <v>14</v>
      </c>
      <c r="R62" s="44">
        <v>50</v>
      </c>
      <c r="S62" s="47">
        <v>200</v>
      </c>
      <c r="T62" s="4"/>
    </row>
    <row r="63" spans="1:20" x14ac:dyDescent="0.25">
      <c r="A63" s="7">
        <v>60</v>
      </c>
      <c r="D63" s="16" t="s">
        <v>130</v>
      </c>
      <c r="E63" s="17"/>
      <c r="F63" s="17"/>
      <c r="G63" s="18"/>
      <c r="H63" s="12">
        <v>167</v>
      </c>
      <c r="I63" s="7" t="s">
        <v>2</v>
      </c>
      <c r="J63" s="3">
        <v>0</v>
      </c>
      <c r="K63" s="3">
        <v>0</v>
      </c>
      <c r="L63" s="3">
        <v>0</v>
      </c>
      <c r="M63" s="3">
        <v>0</v>
      </c>
      <c r="N63" s="3">
        <v>4</v>
      </c>
      <c r="O63" s="3">
        <v>0</v>
      </c>
      <c r="P63" s="4">
        <f t="shared" si="0"/>
        <v>163</v>
      </c>
      <c r="Q63" s="1" t="s">
        <v>14</v>
      </c>
      <c r="R63" s="44">
        <v>20</v>
      </c>
      <c r="S63" s="46">
        <v>200</v>
      </c>
      <c r="T63" s="4"/>
    </row>
    <row r="64" spans="1:20" x14ac:dyDescent="0.25">
      <c r="A64" s="7">
        <v>61</v>
      </c>
      <c r="D64" s="26" t="s">
        <v>14</v>
      </c>
      <c r="E64" s="27"/>
      <c r="F64" s="27"/>
      <c r="G64" s="28"/>
      <c r="H64" s="12">
        <v>0</v>
      </c>
      <c r="I64" s="30" t="s">
        <v>2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4">
        <f t="shared" si="0"/>
        <v>0</v>
      </c>
      <c r="Q64" s="1" t="s">
        <v>14</v>
      </c>
      <c r="R64" s="44">
        <v>0</v>
      </c>
      <c r="S64" s="47">
        <v>0</v>
      </c>
      <c r="T64" s="4"/>
    </row>
    <row r="65" spans="1:20" x14ac:dyDescent="0.25">
      <c r="A65" s="7">
        <v>62</v>
      </c>
      <c r="D65" s="16" t="s">
        <v>65</v>
      </c>
      <c r="E65" s="17"/>
      <c r="F65" s="17"/>
      <c r="G65" s="18"/>
      <c r="H65" s="12">
        <v>0</v>
      </c>
      <c r="I65" s="7" t="s">
        <v>2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4">
        <f t="shared" si="0"/>
        <v>0</v>
      </c>
      <c r="Q65" s="1" t="s">
        <v>14</v>
      </c>
      <c r="R65" s="44">
        <v>10</v>
      </c>
      <c r="S65" s="46">
        <v>50</v>
      </c>
      <c r="T65" s="4"/>
    </row>
    <row r="66" spans="1:20" x14ac:dyDescent="0.25">
      <c r="A66" s="7">
        <v>63</v>
      </c>
      <c r="D66" s="9" t="s">
        <v>66</v>
      </c>
      <c r="E66" s="10"/>
      <c r="F66" s="10"/>
      <c r="G66" s="11"/>
      <c r="H66" s="12">
        <v>50</v>
      </c>
      <c r="I66" s="7" t="s">
        <v>2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  <c r="P66" s="4">
        <f t="shared" si="0"/>
        <v>50</v>
      </c>
      <c r="Q66" s="1" t="s">
        <v>14</v>
      </c>
      <c r="R66" s="44">
        <v>300</v>
      </c>
      <c r="S66" s="47">
        <v>1000</v>
      </c>
      <c r="T66" s="4"/>
    </row>
    <row r="67" spans="1:20" x14ac:dyDescent="0.25">
      <c r="A67" s="7">
        <v>64</v>
      </c>
      <c r="D67" s="19" t="s">
        <v>165</v>
      </c>
      <c r="E67" s="20"/>
      <c r="F67" s="20"/>
      <c r="G67" s="21"/>
      <c r="H67" s="12">
        <v>45</v>
      </c>
      <c r="I67" s="7" t="s">
        <v>2</v>
      </c>
      <c r="J67" s="3">
        <v>0</v>
      </c>
      <c r="K67" s="3">
        <v>0</v>
      </c>
      <c r="L67" s="3">
        <v>0</v>
      </c>
      <c r="M67" s="3">
        <v>0</v>
      </c>
      <c r="N67" s="3">
        <v>4</v>
      </c>
      <c r="O67" s="3">
        <v>0</v>
      </c>
      <c r="P67" s="4">
        <f t="shared" si="0"/>
        <v>41</v>
      </c>
      <c r="Q67" s="1" t="s">
        <v>14</v>
      </c>
      <c r="R67" s="44">
        <v>50</v>
      </c>
      <c r="S67" s="47">
        <v>150</v>
      </c>
      <c r="T67" s="4"/>
    </row>
    <row r="68" spans="1:20" x14ac:dyDescent="0.25">
      <c r="A68" s="7">
        <v>65</v>
      </c>
      <c r="D68" s="22" t="s">
        <v>74</v>
      </c>
      <c r="E68" s="10"/>
      <c r="F68" s="10"/>
      <c r="G68" s="11"/>
      <c r="H68" s="12">
        <v>140</v>
      </c>
      <c r="I68" s="8" t="s">
        <v>75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4">
        <f t="shared" ref="P68:P89" si="1">+H68+J68-K68-L68-M68-N68-O68</f>
        <v>140</v>
      </c>
      <c r="Q68" s="1">
        <v>22</v>
      </c>
      <c r="R68" s="44">
        <v>65</v>
      </c>
      <c r="S68" s="47">
        <v>150</v>
      </c>
      <c r="T68" s="4"/>
    </row>
    <row r="69" spans="1:20" x14ac:dyDescent="0.25">
      <c r="A69" s="7">
        <v>66</v>
      </c>
      <c r="C69" s="1" t="s">
        <v>14</v>
      </c>
      <c r="D69" s="22" t="s">
        <v>76</v>
      </c>
      <c r="E69" s="10"/>
      <c r="F69" s="10"/>
      <c r="G69" s="11"/>
      <c r="H69" s="12">
        <v>153</v>
      </c>
      <c r="I69" s="8" t="s">
        <v>2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4">
        <f t="shared" si="1"/>
        <v>153</v>
      </c>
      <c r="Q69" s="1" t="s">
        <v>14</v>
      </c>
      <c r="R69" s="44">
        <v>50</v>
      </c>
      <c r="S69" s="47">
        <v>100</v>
      </c>
      <c r="T69" s="4"/>
    </row>
    <row r="70" spans="1:20" x14ac:dyDescent="0.25">
      <c r="A70" s="7">
        <v>67</v>
      </c>
      <c r="D70" s="25" t="s">
        <v>147</v>
      </c>
      <c r="H70" s="12">
        <v>13</v>
      </c>
      <c r="I70" s="30" t="s">
        <v>2</v>
      </c>
      <c r="J70" s="3">
        <v>100</v>
      </c>
      <c r="K70" s="3">
        <v>15</v>
      </c>
      <c r="L70" s="3">
        <v>8</v>
      </c>
      <c r="M70" s="3">
        <v>0</v>
      </c>
      <c r="N70" s="3">
        <v>0</v>
      </c>
      <c r="O70" s="3">
        <v>0</v>
      </c>
      <c r="P70" s="4">
        <f t="shared" si="1"/>
        <v>90</v>
      </c>
      <c r="Q70" s="1" t="s">
        <v>14</v>
      </c>
      <c r="R70" s="44">
        <v>50</v>
      </c>
      <c r="S70" s="47">
        <v>100</v>
      </c>
      <c r="T70" s="4"/>
    </row>
    <row r="71" spans="1:20" x14ac:dyDescent="0.25">
      <c r="A71" s="7">
        <v>68</v>
      </c>
      <c r="D71" s="26" t="s">
        <v>80</v>
      </c>
      <c r="E71" s="27"/>
      <c r="F71" s="27"/>
      <c r="G71" s="28"/>
      <c r="H71" s="12">
        <v>20</v>
      </c>
      <c r="I71" s="8" t="s">
        <v>2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4">
        <f t="shared" si="1"/>
        <v>20</v>
      </c>
      <c r="Q71" s="1" t="s">
        <v>14</v>
      </c>
      <c r="R71" s="44">
        <v>20</v>
      </c>
      <c r="S71" s="46">
        <v>200</v>
      </c>
      <c r="T71" s="4"/>
    </row>
    <row r="72" spans="1:20" x14ac:dyDescent="0.25">
      <c r="A72" s="7">
        <v>69</v>
      </c>
      <c r="D72" s="26" t="s">
        <v>194</v>
      </c>
      <c r="E72" s="27"/>
      <c r="F72" s="27"/>
      <c r="G72" s="28"/>
      <c r="H72" s="12">
        <v>250</v>
      </c>
      <c r="I72" s="8" t="s">
        <v>2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  <c r="P72" s="4">
        <f t="shared" si="1"/>
        <v>250</v>
      </c>
      <c r="Q72" s="1" t="s">
        <v>14</v>
      </c>
      <c r="R72" s="44" t="s">
        <v>14</v>
      </c>
      <c r="S72" s="47" t="s">
        <v>14</v>
      </c>
      <c r="T72" s="4"/>
    </row>
    <row r="73" spans="1:20" x14ac:dyDescent="0.25">
      <c r="A73" s="7">
        <v>70</v>
      </c>
      <c r="D73" s="26" t="s">
        <v>167</v>
      </c>
      <c r="E73" s="27"/>
      <c r="F73" s="27"/>
      <c r="G73" s="28"/>
      <c r="H73" s="12">
        <v>39</v>
      </c>
      <c r="I73" s="8" t="s">
        <v>2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4">
        <f t="shared" si="1"/>
        <v>39</v>
      </c>
      <c r="R73" s="44">
        <v>20</v>
      </c>
      <c r="S73" s="46">
        <v>200</v>
      </c>
      <c r="T73" s="4"/>
    </row>
    <row r="74" spans="1:20" x14ac:dyDescent="0.25">
      <c r="A74" s="7">
        <v>71</v>
      </c>
      <c r="D74" s="37" t="s">
        <v>176</v>
      </c>
      <c r="E74" s="17"/>
      <c r="F74" s="33"/>
      <c r="G74" s="33"/>
      <c r="H74" s="12">
        <v>1960</v>
      </c>
      <c r="I74" s="8" t="s">
        <v>2</v>
      </c>
      <c r="J74" s="3">
        <v>0</v>
      </c>
      <c r="K74" s="3">
        <v>150</v>
      </c>
      <c r="L74" s="3">
        <v>0</v>
      </c>
      <c r="M74" s="3">
        <v>180</v>
      </c>
      <c r="N74" s="3">
        <v>0</v>
      </c>
      <c r="O74" s="3">
        <v>0</v>
      </c>
      <c r="P74" s="4">
        <f t="shared" si="1"/>
        <v>1630</v>
      </c>
      <c r="Q74" s="1" t="s">
        <v>14</v>
      </c>
      <c r="R74" s="44">
        <v>100</v>
      </c>
      <c r="S74" s="47">
        <v>500</v>
      </c>
      <c r="T74" s="4"/>
    </row>
    <row r="75" spans="1:20" x14ac:dyDescent="0.25">
      <c r="A75" s="7">
        <v>72</v>
      </c>
      <c r="D75" s="22" t="s">
        <v>14</v>
      </c>
      <c r="E75" s="10"/>
      <c r="F75" s="10"/>
      <c r="G75" s="28"/>
      <c r="H75" s="12">
        <v>0</v>
      </c>
      <c r="I75" s="8" t="s">
        <v>2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4">
        <f t="shared" si="1"/>
        <v>0</v>
      </c>
      <c r="R75" s="44">
        <v>0</v>
      </c>
      <c r="S75" s="46"/>
      <c r="T75" s="4"/>
    </row>
    <row r="76" spans="1:20" x14ac:dyDescent="0.25">
      <c r="A76" s="7">
        <v>73</v>
      </c>
      <c r="D76" s="37" t="s">
        <v>113</v>
      </c>
      <c r="E76" s="17"/>
      <c r="F76" s="17"/>
      <c r="G76" s="33"/>
      <c r="H76" s="12">
        <v>1364</v>
      </c>
      <c r="I76" s="8" t="s">
        <v>97</v>
      </c>
      <c r="J76" s="3">
        <v>0</v>
      </c>
      <c r="K76" s="3">
        <v>42</v>
      </c>
      <c r="L76" s="3">
        <v>60</v>
      </c>
      <c r="M76" s="3">
        <v>81</v>
      </c>
      <c r="N76" s="3">
        <v>78</v>
      </c>
      <c r="O76" s="3">
        <v>0</v>
      </c>
      <c r="P76" s="4">
        <f t="shared" si="1"/>
        <v>1103</v>
      </c>
      <c r="Q76" s="65" t="s">
        <v>121</v>
      </c>
      <c r="R76" s="44">
        <v>300</v>
      </c>
      <c r="S76" s="47">
        <v>1000</v>
      </c>
      <c r="T76" s="4"/>
    </row>
    <row r="77" spans="1:20" x14ac:dyDescent="0.25">
      <c r="A77" s="7">
        <v>74</v>
      </c>
      <c r="D77" s="22" t="s">
        <v>103</v>
      </c>
      <c r="E77" s="10"/>
      <c r="F77" s="10"/>
      <c r="G77" s="28"/>
      <c r="H77" s="12">
        <v>18</v>
      </c>
      <c r="I77" s="8" t="s">
        <v>132</v>
      </c>
      <c r="J77" s="3">
        <v>130</v>
      </c>
      <c r="K77" s="3">
        <v>0</v>
      </c>
      <c r="L77" s="3">
        <v>0</v>
      </c>
      <c r="M77" s="3">
        <v>18</v>
      </c>
      <c r="N77" s="3">
        <v>130</v>
      </c>
      <c r="O77" s="3">
        <v>0</v>
      </c>
      <c r="P77" s="4">
        <f t="shared" si="1"/>
        <v>0</v>
      </c>
      <c r="R77" s="44">
        <v>60</v>
      </c>
      <c r="S77" s="47">
        <v>100</v>
      </c>
      <c r="T77" s="4"/>
    </row>
    <row r="78" spans="1:20" x14ac:dyDescent="0.25">
      <c r="A78" s="8">
        <v>75</v>
      </c>
      <c r="D78" s="49" t="s">
        <v>108</v>
      </c>
      <c r="E78" s="20"/>
      <c r="F78" s="20"/>
      <c r="G78" s="20"/>
      <c r="H78" s="12">
        <v>14000</v>
      </c>
      <c r="I78" s="8" t="s">
        <v>110</v>
      </c>
      <c r="J78" s="3">
        <v>0</v>
      </c>
      <c r="K78" s="3">
        <v>1000</v>
      </c>
      <c r="L78" s="3">
        <v>500</v>
      </c>
      <c r="M78" s="3">
        <v>1000</v>
      </c>
      <c r="N78" s="3">
        <v>1000</v>
      </c>
      <c r="O78" s="3">
        <v>0</v>
      </c>
      <c r="P78" s="99">
        <f t="shared" si="1"/>
        <v>10500</v>
      </c>
      <c r="R78" s="95">
        <v>10000</v>
      </c>
      <c r="S78" s="96">
        <v>30000</v>
      </c>
      <c r="T78" s="4"/>
    </row>
    <row r="79" spans="1:20" x14ac:dyDescent="0.25">
      <c r="A79" s="48">
        <v>76</v>
      </c>
      <c r="B79" s="41"/>
      <c r="C79" s="41"/>
      <c r="D79" s="22" t="s">
        <v>115</v>
      </c>
      <c r="E79" s="10"/>
      <c r="F79" s="10"/>
      <c r="G79" s="11"/>
      <c r="H79" s="12">
        <v>7</v>
      </c>
      <c r="I79" s="62" t="s">
        <v>2</v>
      </c>
      <c r="J79" s="3">
        <v>100</v>
      </c>
      <c r="K79" s="3">
        <v>15</v>
      </c>
      <c r="L79" s="3">
        <v>8</v>
      </c>
      <c r="M79" s="3">
        <v>0</v>
      </c>
      <c r="N79" s="3">
        <v>0</v>
      </c>
      <c r="O79" s="3">
        <v>0</v>
      </c>
      <c r="P79" s="64">
        <f t="shared" si="1"/>
        <v>84</v>
      </c>
      <c r="R79" s="64">
        <v>50</v>
      </c>
      <c r="S79" s="64">
        <v>100</v>
      </c>
      <c r="T79" s="4" t="s">
        <v>14</v>
      </c>
    </row>
    <row r="80" spans="1:20" x14ac:dyDescent="0.25">
      <c r="A80" s="73">
        <v>77</v>
      </c>
      <c r="B80" s="41"/>
      <c r="C80" s="41"/>
      <c r="D80" s="49" t="s">
        <v>134</v>
      </c>
      <c r="E80" s="35"/>
      <c r="F80" s="35"/>
      <c r="G80" s="60"/>
      <c r="H80" s="12">
        <v>115</v>
      </c>
      <c r="I80" s="8" t="s">
        <v>2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  <c r="P80" s="4">
        <f t="shared" si="1"/>
        <v>115</v>
      </c>
      <c r="Q80" s="4"/>
      <c r="R80" s="4">
        <v>20</v>
      </c>
      <c r="S80" s="4">
        <v>50</v>
      </c>
      <c r="T80" s="4"/>
    </row>
    <row r="81" spans="1:20" x14ac:dyDescent="0.25">
      <c r="A81" s="8">
        <v>78</v>
      </c>
      <c r="D81" s="22" t="s">
        <v>123</v>
      </c>
      <c r="E81" s="10"/>
      <c r="F81" s="10"/>
      <c r="G81" s="11"/>
      <c r="H81" s="12">
        <v>500</v>
      </c>
      <c r="I81" s="8" t="s">
        <v>2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  <c r="P81" s="4">
        <f t="shared" si="1"/>
        <v>500</v>
      </c>
      <c r="Q81" s="4"/>
      <c r="R81" s="4">
        <v>500</v>
      </c>
      <c r="S81" s="4">
        <v>2500</v>
      </c>
      <c r="T81" s="4"/>
    </row>
    <row r="82" spans="1:20" x14ac:dyDescent="0.25">
      <c r="A82" s="48">
        <v>79</v>
      </c>
      <c r="B82" s="41"/>
      <c r="C82" s="41"/>
      <c r="D82" s="22" t="s">
        <v>177</v>
      </c>
      <c r="E82" s="10"/>
      <c r="F82" s="10"/>
      <c r="G82" s="11"/>
      <c r="H82" s="4">
        <v>300</v>
      </c>
      <c r="I82" s="8" t="s">
        <v>110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  <c r="P82" s="4">
        <f t="shared" si="1"/>
        <v>300</v>
      </c>
      <c r="Q82" s="4" t="s">
        <v>110</v>
      </c>
      <c r="R82" s="4">
        <v>250</v>
      </c>
      <c r="S82" s="4">
        <v>2000</v>
      </c>
      <c r="T82" s="4"/>
    </row>
    <row r="83" spans="1:20" x14ac:dyDescent="0.25">
      <c r="A83" s="48">
        <v>80</v>
      </c>
      <c r="B83" s="41"/>
      <c r="C83" s="41"/>
      <c r="D83" s="37" t="s">
        <v>178</v>
      </c>
      <c r="E83" s="17"/>
      <c r="F83" s="17"/>
      <c r="G83" s="18"/>
      <c r="H83" s="64">
        <v>2000</v>
      </c>
      <c r="I83" s="62" t="s">
        <v>110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64">
        <f t="shared" si="1"/>
        <v>2000</v>
      </c>
      <c r="Q83" s="64" t="s">
        <v>110</v>
      </c>
      <c r="R83" s="64">
        <v>3000</v>
      </c>
      <c r="S83" s="64">
        <v>10000</v>
      </c>
      <c r="T83" s="4"/>
    </row>
    <row r="84" spans="1:20" x14ac:dyDescent="0.25">
      <c r="A84" s="48">
        <v>81</v>
      </c>
      <c r="B84" s="11"/>
      <c r="C84" s="23"/>
      <c r="D84" s="68" t="s">
        <v>192</v>
      </c>
      <c r="E84" s="27"/>
      <c r="F84" s="27"/>
      <c r="G84" s="28"/>
      <c r="H84" s="74">
        <v>200</v>
      </c>
      <c r="I84" s="75" t="s">
        <v>110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4">
        <f t="shared" si="1"/>
        <v>200</v>
      </c>
      <c r="Q84" s="4"/>
      <c r="R84" s="4">
        <v>10</v>
      </c>
      <c r="S84" s="4">
        <v>50</v>
      </c>
      <c r="T84" s="4"/>
    </row>
    <row r="85" spans="1:20" x14ac:dyDescent="0.25">
      <c r="A85" s="8">
        <v>82</v>
      </c>
      <c r="D85" s="68" t="s">
        <v>148</v>
      </c>
      <c r="E85" s="27"/>
      <c r="F85" s="27"/>
      <c r="G85" s="28"/>
      <c r="H85" s="4">
        <v>0</v>
      </c>
      <c r="I85" s="8" t="s">
        <v>2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4">
        <f t="shared" si="1"/>
        <v>0</v>
      </c>
      <c r="Q85" s="4"/>
      <c r="R85" s="4">
        <v>50</v>
      </c>
      <c r="S85" s="4">
        <v>200</v>
      </c>
      <c r="T85" s="4"/>
    </row>
    <row r="86" spans="1:20" ht="15.75" customHeight="1" x14ac:dyDescent="0.25">
      <c r="A86" s="8">
        <v>83</v>
      </c>
      <c r="D86" s="79" t="s">
        <v>150</v>
      </c>
      <c r="E86" s="80"/>
      <c r="F86" s="81"/>
      <c r="G86" s="82"/>
      <c r="H86" s="4">
        <v>149</v>
      </c>
      <c r="I86" s="8" t="s">
        <v>2</v>
      </c>
      <c r="J86" s="3">
        <v>0</v>
      </c>
      <c r="K86" s="3">
        <v>6</v>
      </c>
      <c r="L86" s="3">
        <v>13</v>
      </c>
      <c r="M86" s="3">
        <v>24</v>
      </c>
      <c r="N86" s="3">
        <v>11</v>
      </c>
      <c r="O86" s="3">
        <v>0</v>
      </c>
      <c r="P86" s="4">
        <f t="shared" si="1"/>
        <v>95</v>
      </c>
      <c r="Q86" s="4"/>
      <c r="R86" s="4">
        <v>100</v>
      </c>
      <c r="S86" s="4">
        <v>500</v>
      </c>
      <c r="T86" s="4"/>
    </row>
    <row r="87" spans="1:20" x14ac:dyDescent="0.25">
      <c r="A87" s="8">
        <v>84</v>
      </c>
      <c r="D87" s="22" t="s">
        <v>183</v>
      </c>
      <c r="E87" s="10"/>
      <c r="F87" s="10"/>
      <c r="G87" s="11"/>
      <c r="H87" s="23">
        <v>596</v>
      </c>
      <c r="I87" s="8" t="s">
        <v>2</v>
      </c>
      <c r="J87" s="3">
        <v>0</v>
      </c>
      <c r="K87" s="3">
        <v>0</v>
      </c>
      <c r="L87" s="3">
        <v>12</v>
      </c>
      <c r="M87" s="3">
        <v>0</v>
      </c>
      <c r="N87" s="3">
        <v>0</v>
      </c>
      <c r="O87" s="3">
        <v>0</v>
      </c>
      <c r="P87" s="4">
        <f t="shared" si="1"/>
        <v>584</v>
      </c>
      <c r="Q87" s="4"/>
      <c r="R87" s="4">
        <v>20</v>
      </c>
      <c r="S87" s="4">
        <v>300</v>
      </c>
      <c r="T87" s="4"/>
    </row>
    <row r="88" spans="1:20" x14ac:dyDescent="0.25">
      <c r="A88" s="8">
        <v>85</v>
      </c>
      <c r="D88" s="49" t="s">
        <v>153</v>
      </c>
      <c r="E88" s="20"/>
      <c r="F88" s="20"/>
      <c r="G88" s="21"/>
      <c r="H88" s="23">
        <v>8</v>
      </c>
      <c r="I88" s="8" t="s">
        <v>2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4">
        <f t="shared" si="1"/>
        <v>8</v>
      </c>
      <c r="Q88" s="4"/>
      <c r="R88" s="4">
        <v>10</v>
      </c>
      <c r="S88" s="4">
        <v>200</v>
      </c>
      <c r="T88" s="4"/>
    </row>
    <row r="89" spans="1:20" x14ac:dyDescent="0.25">
      <c r="A89" s="77">
        <v>86</v>
      </c>
      <c r="D89" s="68" t="s">
        <v>14</v>
      </c>
      <c r="E89" s="27"/>
      <c r="F89" s="27"/>
      <c r="G89" s="28"/>
      <c r="H89" s="74">
        <v>0</v>
      </c>
      <c r="I89" s="75" t="s">
        <v>14</v>
      </c>
      <c r="J89" s="3">
        <v>0</v>
      </c>
      <c r="K89" s="3">
        <v>0</v>
      </c>
      <c r="L89" s="3">
        <v>0</v>
      </c>
      <c r="M89" s="3">
        <v>0</v>
      </c>
      <c r="N89" s="3">
        <v>0</v>
      </c>
      <c r="O89" s="3">
        <v>0</v>
      </c>
      <c r="P89" s="4">
        <f t="shared" si="1"/>
        <v>0</v>
      </c>
      <c r="Q89" s="4"/>
      <c r="R89" s="4" t="s">
        <v>14</v>
      </c>
      <c r="S89" s="4" t="s">
        <v>14</v>
      </c>
      <c r="T89" s="4"/>
    </row>
  </sheetData>
  <pageMargins left="0.75" right="0.75" top="1" bottom="1" header="0.5" footer="0.5"/>
  <pageSetup paperSize="9" orientation="portrait"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0F9427-A9F1-4A94-AA21-96A54A543E26}">
  <dimension ref="A1:T89"/>
  <sheetViews>
    <sheetView topLeftCell="A10" workbookViewId="0">
      <selection activeCell="K18" sqref="K18"/>
    </sheetView>
  </sheetViews>
  <sheetFormatPr defaultRowHeight="15" x14ac:dyDescent="0.25"/>
  <cols>
    <col min="1" max="1" width="5.5703125" customWidth="1"/>
    <col min="2" max="3" width="9.140625" hidden="1" customWidth="1"/>
    <col min="6" max="6" width="12.7109375" customWidth="1"/>
    <col min="8" max="8" width="10.140625" customWidth="1"/>
    <col min="9" max="9" width="10" customWidth="1"/>
    <col min="10" max="10" width="7.7109375" customWidth="1"/>
    <col min="11" max="11" width="10.7109375" customWidth="1"/>
    <col min="12" max="12" width="10.140625" customWidth="1"/>
    <col min="13" max="13" width="11.85546875" customWidth="1"/>
    <col min="14" max="15" width="11.7109375" customWidth="1"/>
    <col min="16" max="16" width="10.140625" customWidth="1"/>
    <col min="17" max="17" width="4.7109375" customWidth="1"/>
    <col min="18" max="18" width="10.140625" customWidth="1"/>
    <col min="19" max="19" width="11.5703125" customWidth="1"/>
    <col min="20" max="20" width="0.28515625" customWidth="1"/>
  </cols>
  <sheetData>
    <row r="1" spans="1:20" x14ac:dyDescent="0.25">
      <c r="G1" s="1"/>
      <c r="P1">
        <f>+H1+J1-K1-L1-M1-N1-O1</f>
        <v>0</v>
      </c>
    </row>
    <row r="2" spans="1:20" x14ac:dyDescent="0.25">
      <c r="A2" t="s">
        <v>14</v>
      </c>
      <c r="D2" s="78" t="s">
        <v>197</v>
      </c>
      <c r="O2" s="38" t="s">
        <v>14</v>
      </c>
      <c r="S2" s="50">
        <v>45656</v>
      </c>
    </row>
    <row r="3" spans="1:20" x14ac:dyDescent="0.25">
      <c r="A3" s="3" t="s">
        <v>15</v>
      </c>
      <c r="D3" s="9" t="s">
        <v>17</v>
      </c>
      <c r="E3" s="10"/>
      <c r="F3" s="10"/>
      <c r="G3" s="11"/>
      <c r="H3" s="12" t="s">
        <v>18</v>
      </c>
      <c r="I3" s="4" t="s">
        <v>19</v>
      </c>
      <c r="J3" s="3" t="s">
        <v>20</v>
      </c>
      <c r="K3" s="5">
        <v>45905</v>
      </c>
      <c r="L3" s="6">
        <v>45912</v>
      </c>
      <c r="M3" s="5">
        <v>45919</v>
      </c>
      <c r="N3" s="5">
        <v>45926</v>
      </c>
      <c r="O3" s="6">
        <v>45930</v>
      </c>
      <c r="P3" s="3" t="s">
        <v>21</v>
      </c>
      <c r="R3" s="42" t="s">
        <v>105</v>
      </c>
      <c r="S3" s="45" t="s">
        <v>104</v>
      </c>
      <c r="T3" s="4"/>
    </row>
    <row r="4" spans="1:20" x14ac:dyDescent="0.25">
      <c r="A4" s="7">
        <v>1</v>
      </c>
      <c r="D4" s="13" t="s">
        <v>16</v>
      </c>
      <c r="E4" s="14"/>
      <c r="F4" s="14"/>
      <c r="G4" s="15"/>
      <c r="H4" s="12">
        <v>226</v>
      </c>
      <c r="I4" s="7" t="s">
        <v>1</v>
      </c>
      <c r="J4" s="3">
        <v>0</v>
      </c>
      <c r="K4" s="3">
        <v>46</v>
      </c>
      <c r="L4" s="3">
        <v>69</v>
      </c>
      <c r="M4" s="3">
        <v>23</v>
      </c>
      <c r="N4" s="3">
        <v>70</v>
      </c>
      <c r="O4" s="3">
        <v>18</v>
      </c>
      <c r="P4" s="4">
        <f t="shared" ref="P4:P67" si="0">+H4+J4-K4-L4-M4-N4-O4</f>
        <v>0</v>
      </c>
      <c r="Q4" t="s">
        <v>173</v>
      </c>
      <c r="R4" s="43">
        <v>150</v>
      </c>
      <c r="S4" s="46">
        <v>500</v>
      </c>
      <c r="T4" s="4" t="s">
        <v>14</v>
      </c>
    </row>
    <row r="5" spans="1:20" x14ac:dyDescent="0.25">
      <c r="A5" s="7">
        <v>2</v>
      </c>
      <c r="D5" s="9" t="s">
        <v>14</v>
      </c>
      <c r="E5" s="10"/>
      <c r="F5" s="10"/>
      <c r="G5" s="11"/>
      <c r="H5" s="12">
        <v>0</v>
      </c>
      <c r="I5" s="7" t="s">
        <v>14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4">
        <f t="shared" si="0"/>
        <v>0</v>
      </c>
      <c r="Q5" s="1" t="s">
        <v>14</v>
      </c>
      <c r="R5" s="44">
        <v>0</v>
      </c>
      <c r="S5" s="47">
        <v>0</v>
      </c>
      <c r="T5" s="4"/>
    </row>
    <row r="6" spans="1:20" x14ac:dyDescent="0.25">
      <c r="A6" s="7">
        <v>3</v>
      </c>
      <c r="D6" s="16" t="s">
        <v>23</v>
      </c>
      <c r="E6" s="17"/>
      <c r="F6" s="17"/>
      <c r="G6" s="18"/>
      <c r="H6" s="12">
        <v>10</v>
      </c>
      <c r="I6" s="7" t="s">
        <v>2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4">
        <f t="shared" si="0"/>
        <v>10</v>
      </c>
      <c r="Q6" s="1" t="s">
        <v>14</v>
      </c>
      <c r="R6" s="44">
        <v>6</v>
      </c>
      <c r="S6" s="47">
        <v>10</v>
      </c>
      <c r="T6" s="4"/>
    </row>
    <row r="7" spans="1:20" x14ac:dyDescent="0.25">
      <c r="A7" s="7">
        <v>4</v>
      </c>
      <c r="D7" s="9" t="s">
        <v>3</v>
      </c>
      <c r="E7" s="10"/>
      <c r="F7" s="10"/>
      <c r="G7" s="11"/>
      <c r="H7" s="12">
        <v>20</v>
      </c>
      <c r="I7" s="7" t="s">
        <v>2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4">
        <f t="shared" si="0"/>
        <v>20</v>
      </c>
      <c r="Q7" s="1" t="s">
        <v>14</v>
      </c>
      <c r="R7" s="44">
        <v>6</v>
      </c>
      <c r="S7" s="47">
        <v>10</v>
      </c>
      <c r="T7" s="4"/>
    </row>
    <row r="8" spans="1:20" x14ac:dyDescent="0.25">
      <c r="A8" s="7">
        <v>5</v>
      </c>
      <c r="D8" s="16" t="s">
        <v>139</v>
      </c>
      <c r="E8" s="17"/>
      <c r="F8" s="17"/>
      <c r="G8" s="18"/>
      <c r="H8" s="12">
        <v>98</v>
      </c>
      <c r="I8" s="7" t="s">
        <v>2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4">
        <f t="shared" si="0"/>
        <v>98</v>
      </c>
      <c r="Q8" s="1" t="s">
        <v>14</v>
      </c>
      <c r="R8" s="44">
        <v>50</v>
      </c>
      <c r="S8" s="47">
        <v>400</v>
      </c>
      <c r="T8" s="4"/>
    </row>
    <row r="9" spans="1:20" x14ac:dyDescent="0.25">
      <c r="A9" s="7">
        <v>6</v>
      </c>
      <c r="D9" s="9" t="s">
        <v>24</v>
      </c>
      <c r="E9" s="10"/>
      <c r="F9" s="10"/>
      <c r="G9" s="11"/>
      <c r="H9" s="12">
        <v>120</v>
      </c>
      <c r="I9" s="7" t="s">
        <v>171</v>
      </c>
      <c r="J9" s="3">
        <v>0</v>
      </c>
      <c r="K9" s="3">
        <v>0</v>
      </c>
      <c r="L9" s="3">
        <v>0</v>
      </c>
      <c r="M9" s="3">
        <v>20</v>
      </c>
      <c r="N9" s="3">
        <v>0</v>
      </c>
      <c r="O9" s="3">
        <v>0</v>
      </c>
      <c r="P9" s="4">
        <f t="shared" si="0"/>
        <v>100</v>
      </c>
      <c r="Q9" s="1" t="s">
        <v>132</v>
      </c>
      <c r="R9" s="44">
        <v>100</v>
      </c>
      <c r="S9" s="47">
        <v>400</v>
      </c>
      <c r="T9" s="4"/>
    </row>
    <row r="10" spans="1:20" x14ac:dyDescent="0.25">
      <c r="A10" s="7">
        <v>7</v>
      </c>
      <c r="D10" s="16" t="s">
        <v>101</v>
      </c>
      <c r="E10" s="17"/>
      <c r="F10" s="17"/>
      <c r="G10" s="18"/>
      <c r="H10" s="12">
        <v>6</v>
      </c>
      <c r="I10" s="7" t="s">
        <v>171</v>
      </c>
      <c r="J10" s="3">
        <v>250</v>
      </c>
      <c r="K10" s="3">
        <v>5</v>
      </c>
      <c r="L10" s="3">
        <v>50</v>
      </c>
      <c r="M10" s="3">
        <v>24</v>
      </c>
      <c r="N10" s="3">
        <v>12</v>
      </c>
      <c r="O10" s="3">
        <v>0</v>
      </c>
      <c r="P10" s="4">
        <f t="shared" si="0"/>
        <v>165</v>
      </c>
      <c r="Q10" s="1" t="s">
        <v>171</v>
      </c>
      <c r="R10" s="44">
        <v>200</v>
      </c>
      <c r="S10" s="47">
        <v>500</v>
      </c>
      <c r="T10" s="4"/>
    </row>
    <row r="11" spans="1:20" x14ac:dyDescent="0.25">
      <c r="A11" s="7">
        <v>8</v>
      </c>
      <c r="D11" s="9" t="s">
        <v>25</v>
      </c>
      <c r="E11" s="10"/>
      <c r="F11" s="10"/>
      <c r="G11" s="11"/>
      <c r="H11" s="12">
        <v>260</v>
      </c>
      <c r="I11" s="7" t="s">
        <v>2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8</v>
      </c>
      <c r="P11" s="4">
        <f t="shared" si="0"/>
        <v>252</v>
      </c>
      <c r="Q11" s="1" t="s">
        <v>14</v>
      </c>
      <c r="R11" s="44">
        <v>50</v>
      </c>
      <c r="S11" s="47">
        <v>300</v>
      </c>
      <c r="T11" s="4"/>
    </row>
    <row r="12" spans="1:20" x14ac:dyDescent="0.25">
      <c r="A12" s="7">
        <v>9</v>
      </c>
      <c r="D12" s="16" t="s">
        <v>174</v>
      </c>
      <c r="E12" s="17"/>
      <c r="F12" s="17"/>
      <c r="G12" s="18"/>
      <c r="H12" s="12">
        <v>80</v>
      </c>
      <c r="I12" s="7" t="s">
        <v>2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4">
        <f t="shared" si="0"/>
        <v>80</v>
      </c>
      <c r="Q12" s="1" t="s">
        <v>14</v>
      </c>
      <c r="R12" s="44">
        <v>45</v>
      </c>
      <c r="S12" s="47">
        <v>200</v>
      </c>
      <c r="T12" s="4"/>
    </row>
    <row r="13" spans="1:20" x14ac:dyDescent="0.25">
      <c r="A13" s="7">
        <v>10</v>
      </c>
      <c r="D13" s="9" t="s">
        <v>6</v>
      </c>
      <c r="E13" s="10"/>
      <c r="F13" s="10"/>
      <c r="G13" s="11"/>
      <c r="H13" s="12">
        <v>10</v>
      </c>
      <c r="I13" s="7" t="s">
        <v>2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4">
        <f t="shared" si="0"/>
        <v>10</v>
      </c>
      <c r="Q13" s="1" t="s">
        <v>14</v>
      </c>
      <c r="R13" s="44">
        <v>10</v>
      </c>
      <c r="S13" s="46">
        <v>100</v>
      </c>
      <c r="T13" s="4"/>
    </row>
    <row r="14" spans="1:20" x14ac:dyDescent="0.25">
      <c r="A14" s="7">
        <v>11</v>
      </c>
      <c r="D14" s="16" t="s">
        <v>7</v>
      </c>
      <c r="E14" s="17"/>
      <c r="F14" s="17"/>
      <c r="G14" s="18"/>
      <c r="H14" s="12">
        <v>5</v>
      </c>
      <c r="I14" s="7" t="s">
        <v>171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1</v>
      </c>
      <c r="P14" s="4">
        <f t="shared" si="0"/>
        <v>4</v>
      </c>
      <c r="Q14" s="1" t="s">
        <v>14</v>
      </c>
      <c r="R14" s="44">
        <v>10</v>
      </c>
      <c r="S14" s="47">
        <v>50</v>
      </c>
      <c r="T14" s="4"/>
    </row>
    <row r="15" spans="1:20" x14ac:dyDescent="0.25">
      <c r="A15" s="7">
        <v>12</v>
      </c>
      <c r="D15" s="9" t="s">
        <v>198</v>
      </c>
      <c r="E15" s="10"/>
      <c r="F15" s="10"/>
      <c r="G15" s="11"/>
      <c r="H15" s="12">
        <v>5</v>
      </c>
      <c r="I15" s="7" t="s">
        <v>171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1</v>
      </c>
      <c r="P15" s="4">
        <f t="shared" si="0"/>
        <v>4</v>
      </c>
      <c r="Q15" s="1" t="s">
        <v>132</v>
      </c>
      <c r="R15" s="44">
        <v>5</v>
      </c>
      <c r="S15" s="47">
        <v>50</v>
      </c>
      <c r="T15" s="4"/>
    </row>
    <row r="16" spans="1:20" x14ac:dyDescent="0.25">
      <c r="A16" s="7">
        <v>13</v>
      </c>
      <c r="D16" s="100"/>
      <c r="E16" s="89"/>
      <c r="F16" s="90" t="s">
        <v>111</v>
      </c>
      <c r="G16" s="87"/>
      <c r="H16" s="12">
        <v>101</v>
      </c>
      <c r="I16" s="7" t="s">
        <v>2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4">
        <f t="shared" si="0"/>
        <v>101</v>
      </c>
      <c r="Q16" s="1" t="s">
        <v>14</v>
      </c>
      <c r="R16" s="44">
        <v>100</v>
      </c>
      <c r="S16" s="46">
        <v>500</v>
      </c>
      <c r="T16" s="4"/>
    </row>
    <row r="17" spans="1:20" x14ac:dyDescent="0.25">
      <c r="A17" s="7">
        <v>14</v>
      </c>
      <c r="D17" s="9" t="s">
        <v>73</v>
      </c>
      <c r="E17" s="10"/>
      <c r="F17" s="10"/>
      <c r="G17" s="11"/>
      <c r="H17" s="12">
        <v>590</v>
      </c>
      <c r="I17" s="7" t="s">
        <v>2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4">
        <f t="shared" si="0"/>
        <v>590</v>
      </c>
      <c r="Q17" s="1" t="s">
        <v>14</v>
      </c>
      <c r="R17" s="44">
        <v>0</v>
      </c>
      <c r="S17" s="46"/>
      <c r="T17" s="4"/>
    </row>
    <row r="18" spans="1:20" x14ac:dyDescent="0.25">
      <c r="A18" s="7">
        <v>15</v>
      </c>
      <c r="D18" s="16" t="s">
        <v>28</v>
      </c>
      <c r="E18" s="17"/>
      <c r="F18" s="17"/>
      <c r="G18" s="18"/>
      <c r="H18" s="12">
        <v>26</v>
      </c>
      <c r="I18" s="7" t="s">
        <v>2</v>
      </c>
      <c r="J18" s="3">
        <v>50</v>
      </c>
      <c r="K18" s="3">
        <v>6</v>
      </c>
      <c r="L18" s="3">
        <v>15</v>
      </c>
      <c r="M18" s="3">
        <v>5</v>
      </c>
      <c r="N18" s="3">
        <v>0</v>
      </c>
      <c r="O18" s="3">
        <v>0</v>
      </c>
      <c r="P18" s="4">
        <f t="shared" si="0"/>
        <v>50</v>
      </c>
      <c r="Q18" s="1" t="s">
        <v>14</v>
      </c>
      <c r="R18" s="44">
        <v>50</v>
      </c>
      <c r="S18" s="47">
        <v>100</v>
      </c>
      <c r="T18" s="4"/>
    </row>
    <row r="19" spans="1:20" x14ac:dyDescent="0.25">
      <c r="A19" s="7">
        <v>16</v>
      </c>
      <c r="D19" s="9" t="s">
        <v>29</v>
      </c>
      <c r="E19" s="10"/>
      <c r="F19" s="10"/>
      <c r="G19" s="11"/>
      <c r="H19" s="12">
        <v>26</v>
      </c>
      <c r="I19" s="7" t="s">
        <v>2</v>
      </c>
      <c r="J19" s="3">
        <v>50</v>
      </c>
      <c r="K19" s="3">
        <v>6</v>
      </c>
      <c r="L19" s="3">
        <v>15</v>
      </c>
      <c r="M19" s="3">
        <v>5</v>
      </c>
      <c r="N19" s="3">
        <v>0</v>
      </c>
      <c r="O19" s="3">
        <v>0</v>
      </c>
      <c r="P19" s="4">
        <f t="shared" si="0"/>
        <v>50</v>
      </c>
      <c r="Q19" s="1" t="s">
        <v>14</v>
      </c>
      <c r="R19" s="44">
        <v>50</v>
      </c>
      <c r="S19" s="47">
        <v>100</v>
      </c>
      <c r="T19" s="4"/>
    </row>
    <row r="20" spans="1:20" x14ac:dyDescent="0.25">
      <c r="A20" s="7">
        <v>17</v>
      </c>
      <c r="D20" s="16" t="s">
        <v>14</v>
      </c>
      <c r="E20" s="17" t="s">
        <v>14</v>
      </c>
      <c r="F20" s="17" t="s">
        <v>14</v>
      </c>
      <c r="G20" s="18"/>
      <c r="H20" s="12">
        <v>0</v>
      </c>
      <c r="I20" s="7" t="s">
        <v>2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4">
        <f t="shared" si="0"/>
        <v>0</v>
      </c>
      <c r="Q20" s="1" t="s">
        <v>14</v>
      </c>
      <c r="R20" s="44" t="s">
        <v>14</v>
      </c>
      <c r="S20" s="47" t="s">
        <v>14</v>
      </c>
      <c r="T20" s="4"/>
    </row>
    <row r="21" spans="1:20" x14ac:dyDescent="0.25">
      <c r="A21" s="7">
        <v>18</v>
      </c>
      <c r="D21" s="9" t="s">
        <v>129</v>
      </c>
      <c r="E21" s="10"/>
      <c r="F21" s="10"/>
      <c r="G21" s="11"/>
      <c r="H21" s="12">
        <v>15</v>
      </c>
      <c r="I21" s="7" t="s">
        <v>2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4">
        <f t="shared" si="0"/>
        <v>15</v>
      </c>
      <c r="Q21" s="1" t="s">
        <v>14</v>
      </c>
      <c r="R21" s="44">
        <v>10</v>
      </c>
      <c r="S21" s="46">
        <v>50</v>
      </c>
      <c r="T21" s="4"/>
    </row>
    <row r="22" spans="1:20" x14ac:dyDescent="0.25">
      <c r="A22" s="7">
        <v>19</v>
      </c>
      <c r="D22" s="55" t="s">
        <v>184</v>
      </c>
      <c r="E22" s="56"/>
      <c r="F22" s="56"/>
      <c r="G22" s="57"/>
      <c r="H22" s="12">
        <v>140</v>
      </c>
      <c r="I22" s="59" t="s">
        <v>1</v>
      </c>
      <c r="J22" s="3">
        <v>300</v>
      </c>
      <c r="K22" s="3">
        <v>100</v>
      </c>
      <c r="L22" s="3">
        <v>50</v>
      </c>
      <c r="M22" s="3">
        <v>30</v>
      </c>
      <c r="N22" s="3">
        <v>50</v>
      </c>
      <c r="O22" s="3">
        <v>50</v>
      </c>
      <c r="P22" s="46">
        <f t="shared" si="0"/>
        <v>160</v>
      </c>
      <c r="Q22" s="1" t="s">
        <v>75</v>
      </c>
      <c r="R22" s="44">
        <v>150</v>
      </c>
      <c r="S22" s="47">
        <v>400</v>
      </c>
      <c r="T22" s="4"/>
    </row>
    <row r="23" spans="1:20" x14ac:dyDescent="0.25">
      <c r="A23" s="7">
        <v>20</v>
      </c>
      <c r="D23" s="9" t="s">
        <v>32</v>
      </c>
      <c r="E23" s="10"/>
      <c r="F23" s="10"/>
      <c r="G23" s="11"/>
      <c r="H23" s="12">
        <v>800</v>
      </c>
      <c r="I23" s="7" t="s">
        <v>2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4">
        <f t="shared" si="0"/>
        <v>800</v>
      </c>
      <c r="Q23" s="1" t="s">
        <v>14</v>
      </c>
      <c r="R23" s="44">
        <v>0</v>
      </c>
      <c r="S23" s="46">
        <v>0</v>
      </c>
      <c r="T23" s="4"/>
    </row>
    <row r="24" spans="1:20" x14ac:dyDescent="0.25">
      <c r="A24" s="7">
        <v>21</v>
      </c>
      <c r="D24" s="16" t="s">
        <v>188</v>
      </c>
      <c r="E24" s="17"/>
      <c r="F24" s="17"/>
      <c r="G24" s="18"/>
      <c r="H24" s="12">
        <v>96</v>
      </c>
      <c r="I24" s="7" t="s">
        <v>2</v>
      </c>
      <c r="J24" s="3">
        <v>0</v>
      </c>
      <c r="K24" s="3">
        <v>0</v>
      </c>
      <c r="L24" s="3">
        <v>0</v>
      </c>
      <c r="M24" s="3">
        <v>0</v>
      </c>
      <c r="N24" s="3">
        <v>1</v>
      </c>
      <c r="O24" s="3">
        <v>5</v>
      </c>
      <c r="P24" s="4">
        <f t="shared" si="0"/>
        <v>90</v>
      </c>
      <c r="Q24" s="1" t="s">
        <v>14</v>
      </c>
      <c r="R24" s="44">
        <v>10</v>
      </c>
      <c r="S24" s="46">
        <v>100</v>
      </c>
      <c r="T24" s="4"/>
    </row>
    <row r="25" spans="1:20" x14ac:dyDescent="0.25">
      <c r="A25" s="7">
        <v>22</v>
      </c>
      <c r="D25" s="9" t="s">
        <v>34</v>
      </c>
      <c r="E25" s="10"/>
      <c r="F25" s="10"/>
      <c r="G25" s="11"/>
      <c r="H25" s="12">
        <v>27</v>
      </c>
      <c r="I25" s="7" t="s">
        <v>2</v>
      </c>
      <c r="J25" s="3">
        <v>50</v>
      </c>
      <c r="K25" s="3">
        <v>2</v>
      </c>
      <c r="L25" s="3">
        <v>0</v>
      </c>
      <c r="M25" s="3">
        <v>0</v>
      </c>
      <c r="N25" s="3">
        <v>0</v>
      </c>
      <c r="O25" s="3">
        <v>43</v>
      </c>
      <c r="P25" s="4">
        <f t="shared" si="0"/>
        <v>32</v>
      </c>
      <c r="Q25" s="1" t="s">
        <v>14</v>
      </c>
      <c r="R25" s="44">
        <v>20</v>
      </c>
      <c r="S25" s="46">
        <v>50</v>
      </c>
      <c r="T25" s="4"/>
    </row>
    <row r="26" spans="1:20" x14ac:dyDescent="0.25">
      <c r="A26" s="7">
        <v>23</v>
      </c>
      <c r="D26" s="16" t="s">
        <v>142</v>
      </c>
      <c r="E26" s="17"/>
      <c r="F26" s="17"/>
      <c r="G26" s="18"/>
      <c r="H26" s="12">
        <v>100</v>
      </c>
      <c r="I26" s="7" t="s">
        <v>2</v>
      </c>
      <c r="J26" s="3">
        <v>0</v>
      </c>
      <c r="K26" s="3">
        <v>30</v>
      </c>
      <c r="L26" s="3">
        <v>0</v>
      </c>
      <c r="M26" s="3">
        <v>1</v>
      </c>
      <c r="N26" s="3">
        <v>0</v>
      </c>
      <c r="O26" s="3">
        <v>0</v>
      </c>
      <c r="P26" s="4">
        <f t="shared" si="0"/>
        <v>69</v>
      </c>
      <c r="Q26" s="1" t="s">
        <v>14</v>
      </c>
      <c r="R26" s="44">
        <v>20</v>
      </c>
      <c r="S26" s="47">
        <v>50</v>
      </c>
      <c r="T26" s="4"/>
    </row>
    <row r="27" spans="1:20" x14ac:dyDescent="0.25">
      <c r="A27" s="7">
        <v>24</v>
      </c>
      <c r="D27" s="9" t="s">
        <v>141</v>
      </c>
      <c r="E27" s="10"/>
      <c r="F27" s="10"/>
      <c r="G27" s="11"/>
      <c r="H27" s="12">
        <v>100</v>
      </c>
      <c r="I27" s="7" t="s">
        <v>2</v>
      </c>
      <c r="J27" s="3">
        <v>0</v>
      </c>
      <c r="K27" s="3">
        <v>30</v>
      </c>
      <c r="L27" s="3">
        <v>0</v>
      </c>
      <c r="M27" s="3">
        <v>1</v>
      </c>
      <c r="N27" s="3">
        <v>0</v>
      </c>
      <c r="O27" s="3">
        <v>0</v>
      </c>
      <c r="P27" s="4">
        <f t="shared" si="0"/>
        <v>69</v>
      </c>
      <c r="Q27" s="1"/>
      <c r="R27" s="44">
        <v>20</v>
      </c>
      <c r="S27" s="47">
        <v>50</v>
      </c>
      <c r="T27" s="4"/>
    </row>
    <row r="28" spans="1:20" x14ac:dyDescent="0.25">
      <c r="A28" s="7">
        <v>25</v>
      </c>
      <c r="D28" s="9" t="s">
        <v>137</v>
      </c>
      <c r="E28" s="10"/>
      <c r="F28" s="10"/>
      <c r="G28" s="11"/>
      <c r="H28" s="12">
        <v>27</v>
      </c>
      <c r="I28" s="7" t="s">
        <v>2</v>
      </c>
      <c r="J28" s="3">
        <v>50</v>
      </c>
      <c r="K28" s="3">
        <v>2</v>
      </c>
      <c r="L28" s="3">
        <v>0</v>
      </c>
      <c r="M28" s="3">
        <v>11</v>
      </c>
      <c r="N28" s="3">
        <v>0</v>
      </c>
      <c r="O28" s="3">
        <v>43</v>
      </c>
      <c r="P28" s="4">
        <f t="shared" si="0"/>
        <v>21</v>
      </c>
      <c r="Q28" s="1" t="s">
        <v>14</v>
      </c>
      <c r="R28" s="44">
        <v>20</v>
      </c>
      <c r="S28" s="47">
        <v>50</v>
      </c>
      <c r="T28" s="4"/>
    </row>
    <row r="29" spans="1:20" x14ac:dyDescent="0.25">
      <c r="A29" s="7">
        <v>26</v>
      </c>
      <c r="D29" s="9" t="s">
        <v>138</v>
      </c>
      <c r="E29" s="10"/>
      <c r="F29" s="10"/>
      <c r="G29" s="11"/>
      <c r="H29" s="12">
        <v>0</v>
      </c>
      <c r="I29" s="7" t="s">
        <v>2</v>
      </c>
      <c r="J29" s="3">
        <v>50</v>
      </c>
      <c r="K29" s="3">
        <v>0</v>
      </c>
      <c r="L29" s="3">
        <v>0</v>
      </c>
      <c r="M29" s="3">
        <v>0</v>
      </c>
      <c r="N29" s="3">
        <v>0</v>
      </c>
      <c r="O29" s="3">
        <v>43</v>
      </c>
      <c r="P29" s="4">
        <f t="shared" si="0"/>
        <v>7</v>
      </c>
      <c r="Q29" s="1"/>
      <c r="R29" s="44">
        <v>20</v>
      </c>
      <c r="S29" s="47">
        <v>50</v>
      </c>
      <c r="T29" s="4"/>
    </row>
    <row r="30" spans="1:20" x14ac:dyDescent="0.25">
      <c r="A30" s="7">
        <v>27</v>
      </c>
      <c r="D30" s="16" t="s">
        <v>35</v>
      </c>
      <c r="E30" s="17"/>
      <c r="F30" s="17"/>
      <c r="G30" s="18"/>
      <c r="H30" s="12">
        <v>150</v>
      </c>
      <c r="I30" s="7" t="s">
        <v>2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4">
        <f t="shared" si="0"/>
        <v>150</v>
      </c>
      <c r="Q30" s="1" t="s">
        <v>14</v>
      </c>
      <c r="R30" s="44">
        <v>50</v>
      </c>
      <c r="S30" s="47">
        <v>100</v>
      </c>
      <c r="T30" s="4"/>
    </row>
    <row r="31" spans="1:20" x14ac:dyDescent="0.25">
      <c r="A31" s="7">
        <v>28</v>
      </c>
      <c r="D31" s="9" t="s">
        <v>36</v>
      </c>
      <c r="E31" s="10"/>
      <c r="F31" s="10"/>
      <c r="G31" s="11"/>
      <c r="H31" s="12">
        <v>15</v>
      </c>
      <c r="I31" s="7" t="s">
        <v>2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4">
        <f t="shared" si="0"/>
        <v>15</v>
      </c>
      <c r="Q31" s="1" t="s">
        <v>14</v>
      </c>
      <c r="R31" s="44">
        <v>50</v>
      </c>
      <c r="S31" s="47">
        <v>100</v>
      </c>
      <c r="T31" s="4"/>
    </row>
    <row r="32" spans="1:20" x14ac:dyDescent="0.25">
      <c r="A32" s="7">
        <v>29</v>
      </c>
      <c r="D32" s="16" t="s">
        <v>37</v>
      </c>
      <c r="E32" s="17"/>
      <c r="F32" s="17"/>
      <c r="G32" s="18"/>
      <c r="H32" s="12">
        <v>129</v>
      </c>
      <c r="I32" s="7" t="s">
        <v>2</v>
      </c>
      <c r="J32" s="3">
        <v>0</v>
      </c>
      <c r="K32" s="3">
        <v>30</v>
      </c>
      <c r="L32" s="3">
        <v>0</v>
      </c>
      <c r="M32" s="3">
        <v>1</v>
      </c>
      <c r="N32" s="3">
        <v>0</v>
      </c>
      <c r="O32" s="3">
        <v>0</v>
      </c>
      <c r="P32" s="4">
        <f t="shared" si="0"/>
        <v>98</v>
      </c>
      <c r="Q32" s="1" t="s">
        <v>14</v>
      </c>
      <c r="R32" s="44">
        <v>20</v>
      </c>
      <c r="S32" s="47">
        <v>50</v>
      </c>
      <c r="T32" s="4"/>
    </row>
    <row r="33" spans="1:20" x14ac:dyDescent="0.25">
      <c r="A33" s="7">
        <v>30</v>
      </c>
      <c r="D33" s="9" t="s">
        <v>38</v>
      </c>
      <c r="E33" s="10"/>
      <c r="F33" s="10"/>
      <c r="G33" s="11"/>
      <c r="H33" s="12">
        <v>70</v>
      </c>
      <c r="I33" s="7" t="s">
        <v>2</v>
      </c>
      <c r="J33" s="3">
        <v>0</v>
      </c>
      <c r="K33" s="3">
        <v>0</v>
      </c>
      <c r="L33" s="3">
        <v>5</v>
      </c>
      <c r="M33" s="3">
        <v>0</v>
      </c>
      <c r="N33" s="3">
        <v>0</v>
      </c>
      <c r="O33" s="3">
        <v>0</v>
      </c>
      <c r="P33" s="4">
        <f t="shared" si="0"/>
        <v>65</v>
      </c>
      <c r="Q33" s="1" t="s">
        <v>14</v>
      </c>
      <c r="R33" s="44">
        <v>50</v>
      </c>
      <c r="S33" s="47">
        <v>100</v>
      </c>
      <c r="T33" s="4"/>
    </row>
    <row r="34" spans="1:20" x14ac:dyDescent="0.25">
      <c r="A34" s="7">
        <v>31</v>
      </c>
      <c r="D34" s="16" t="s">
        <v>39</v>
      </c>
      <c r="E34" s="17"/>
      <c r="F34" s="17"/>
      <c r="G34" s="18"/>
      <c r="H34" s="12">
        <v>70</v>
      </c>
      <c r="I34" s="7" t="s">
        <v>2</v>
      </c>
      <c r="J34" s="3">
        <v>0</v>
      </c>
      <c r="K34" s="3">
        <v>0</v>
      </c>
      <c r="L34" s="3">
        <v>0</v>
      </c>
      <c r="M34" s="3">
        <v>1</v>
      </c>
      <c r="N34" s="3">
        <v>0</v>
      </c>
      <c r="O34" s="3">
        <v>0</v>
      </c>
      <c r="P34" s="4">
        <f t="shared" si="0"/>
        <v>69</v>
      </c>
      <c r="Q34" s="1" t="s">
        <v>14</v>
      </c>
      <c r="R34" s="44">
        <v>20</v>
      </c>
      <c r="S34" s="47">
        <v>50</v>
      </c>
      <c r="T34" s="4"/>
    </row>
    <row r="35" spans="1:20" x14ac:dyDescent="0.25">
      <c r="A35" s="7">
        <v>32</v>
      </c>
      <c r="D35" s="9" t="s">
        <v>40</v>
      </c>
      <c r="E35" s="10"/>
      <c r="F35" s="10"/>
      <c r="G35" s="11"/>
      <c r="H35" s="12">
        <v>1050</v>
      </c>
      <c r="I35" s="7" t="s">
        <v>2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4">
        <f t="shared" si="0"/>
        <v>1050</v>
      </c>
      <c r="Q35" s="1" t="s">
        <v>14</v>
      </c>
      <c r="R35" s="44">
        <v>0</v>
      </c>
      <c r="S35" s="46">
        <v>0</v>
      </c>
      <c r="T35" s="4"/>
    </row>
    <row r="36" spans="1:20" x14ac:dyDescent="0.25">
      <c r="A36" s="7">
        <v>33</v>
      </c>
      <c r="D36" s="9" t="s">
        <v>9</v>
      </c>
      <c r="E36" s="10"/>
      <c r="F36" s="10"/>
      <c r="G36" s="11"/>
      <c r="H36" s="83">
        <v>110</v>
      </c>
      <c r="I36" s="7" t="s">
        <v>132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4">
        <f t="shared" si="0"/>
        <v>110</v>
      </c>
      <c r="Q36" s="1" t="s">
        <v>132</v>
      </c>
      <c r="R36" s="44">
        <v>50</v>
      </c>
      <c r="S36" s="47">
        <v>100</v>
      </c>
      <c r="T36" s="4"/>
    </row>
    <row r="37" spans="1:20" x14ac:dyDescent="0.25">
      <c r="A37" s="7">
        <v>34</v>
      </c>
      <c r="D37" s="19" t="s">
        <v>166</v>
      </c>
      <c r="E37" s="20"/>
      <c r="F37" s="20"/>
      <c r="G37" s="21"/>
      <c r="H37" s="69">
        <v>150</v>
      </c>
      <c r="I37" s="7" t="s">
        <v>2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4">
        <f t="shared" si="0"/>
        <v>150</v>
      </c>
      <c r="Q37" s="1" t="s">
        <v>14</v>
      </c>
      <c r="R37" s="44">
        <v>50</v>
      </c>
      <c r="S37" s="46">
        <v>100</v>
      </c>
      <c r="T37" s="4"/>
    </row>
    <row r="38" spans="1:20" x14ac:dyDescent="0.25">
      <c r="A38" s="7">
        <v>35</v>
      </c>
      <c r="D38" s="16" t="s">
        <v>143</v>
      </c>
      <c r="E38" s="17"/>
      <c r="F38" s="17"/>
      <c r="G38" s="18"/>
      <c r="H38" s="12">
        <v>110</v>
      </c>
      <c r="I38" s="7" t="s">
        <v>2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4">
        <f t="shared" si="0"/>
        <v>110</v>
      </c>
      <c r="Q38" s="1" t="s">
        <v>14</v>
      </c>
      <c r="R38" s="44">
        <v>50</v>
      </c>
      <c r="S38" s="46">
        <v>100</v>
      </c>
      <c r="T38" s="4"/>
    </row>
    <row r="39" spans="1:20" x14ac:dyDescent="0.25">
      <c r="A39" s="7">
        <v>36</v>
      </c>
      <c r="D39" s="9" t="s">
        <v>144</v>
      </c>
      <c r="E39" s="10"/>
      <c r="F39" s="10"/>
      <c r="G39" s="11"/>
      <c r="H39" s="12">
        <v>110</v>
      </c>
      <c r="I39" s="7" t="s">
        <v>2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4">
        <f t="shared" si="0"/>
        <v>110</v>
      </c>
      <c r="Q39" s="1" t="s">
        <v>14</v>
      </c>
      <c r="R39" s="44">
        <v>50</v>
      </c>
      <c r="S39" s="47">
        <v>100</v>
      </c>
      <c r="T39" s="4"/>
    </row>
    <row r="40" spans="1:20" x14ac:dyDescent="0.25">
      <c r="A40" s="7">
        <v>37</v>
      </c>
      <c r="D40" s="16" t="s">
        <v>42</v>
      </c>
      <c r="E40" s="17"/>
      <c r="F40" s="17"/>
      <c r="G40" s="18"/>
      <c r="H40" s="12">
        <v>110</v>
      </c>
      <c r="I40" s="7" t="s">
        <v>2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4">
        <f t="shared" si="0"/>
        <v>110</v>
      </c>
      <c r="Q40" s="1" t="s">
        <v>14</v>
      </c>
      <c r="R40" s="44">
        <v>50</v>
      </c>
      <c r="S40" s="47">
        <v>100</v>
      </c>
      <c r="T40" s="4"/>
    </row>
    <row r="41" spans="1:20" x14ac:dyDescent="0.25">
      <c r="A41" s="7">
        <v>38</v>
      </c>
      <c r="D41" s="9" t="s">
        <v>133</v>
      </c>
      <c r="E41" s="10"/>
      <c r="F41" s="10"/>
      <c r="G41" s="11"/>
      <c r="H41" s="12">
        <v>50</v>
      </c>
      <c r="I41" s="7" t="s">
        <v>2</v>
      </c>
      <c r="J41" s="3">
        <v>0</v>
      </c>
      <c r="K41" s="3">
        <v>0</v>
      </c>
      <c r="L41" s="3">
        <v>3</v>
      </c>
      <c r="M41" s="3">
        <v>0</v>
      </c>
      <c r="N41" s="3">
        <v>0</v>
      </c>
      <c r="O41" s="3">
        <v>0</v>
      </c>
      <c r="P41" s="4">
        <f t="shared" si="0"/>
        <v>47</v>
      </c>
      <c r="Q41" s="1" t="s">
        <v>14</v>
      </c>
      <c r="R41" s="44">
        <v>50</v>
      </c>
      <c r="S41" s="47">
        <v>100</v>
      </c>
      <c r="T41" s="4"/>
    </row>
    <row r="42" spans="1:20" x14ac:dyDescent="0.25">
      <c r="A42" s="7">
        <v>39</v>
      </c>
      <c r="D42" s="16" t="s">
        <v>145</v>
      </c>
      <c r="E42" s="17"/>
      <c r="F42" s="17"/>
      <c r="G42" s="18"/>
      <c r="H42" s="12">
        <v>50</v>
      </c>
      <c r="I42" s="7" t="s">
        <v>2</v>
      </c>
      <c r="J42" s="3">
        <v>0</v>
      </c>
      <c r="K42" s="3">
        <v>0</v>
      </c>
      <c r="L42" s="3">
        <v>3</v>
      </c>
      <c r="M42" s="3">
        <v>0</v>
      </c>
      <c r="N42" s="3">
        <v>0</v>
      </c>
      <c r="O42" s="3">
        <v>0</v>
      </c>
      <c r="P42" s="4">
        <f t="shared" si="0"/>
        <v>47</v>
      </c>
      <c r="Q42" s="1" t="s">
        <v>14</v>
      </c>
      <c r="R42" s="44">
        <v>50</v>
      </c>
      <c r="S42" s="46">
        <v>100</v>
      </c>
      <c r="T42" s="4"/>
    </row>
    <row r="43" spans="1:20" x14ac:dyDescent="0.25">
      <c r="A43" s="7">
        <v>40</v>
      </c>
      <c r="D43" s="9" t="s">
        <v>190</v>
      </c>
      <c r="E43" s="10"/>
      <c r="F43" s="10" t="s">
        <v>14</v>
      </c>
      <c r="G43" s="11" t="s">
        <v>14</v>
      </c>
      <c r="H43" s="12">
        <v>70</v>
      </c>
      <c r="I43" s="7" t="s">
        <v>75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4">
        <f t="shared" si="0"/>
        <v>70</v>
      </c>
      <c r="Q43" s="1" t="s">
        <v>75</v>
      </c>
      <c r="R43" s="44">
        <v>50</v>
      </c>
      <c r="S43" s="47">
        <v>200</v>
      </c>
      <c r="T43" s="4"/>
    </row>
    <row r="44" spans="1:20" x14ac:dyDescent="0.25">
      <c r="A44" s="7">
        <v>41</v>
      </c>
      <c r="D44" s="16" t="s">
        <v>10</v>
      </c>
      <c r="E44" s="17"/>
      <c r="F44" s="17"/>
      <c r="G44" s="18"/>
      <c r="H44" s="12">
        <v>5</v>
      </c>
      <c r="I44" s="7" t="s">
        <v>2</v>
      </c>
      <c r="J44" s="3">
        <v>10</v>
      </c>
      <c r="K44" s="3">
        <v>0</v>
      </c>
      <c r="L44" s="3">
        <v>0</v>
      </c>
      <c r="M44" s="3">
        <v>1</v>
      </c>
      <c r="N44" s="3">
        <v>0</v>
      </c>
      <c r="O44" s="3">
        <v>0</v>
      </c>
      <c r="P44" s="4">
        <f t="shared" si="0"/>
        <v>14</v>
      </c>
      <c r="Q44" s="1" t="s">
        <v>132</v>
      </c>
      <c r="R44" s="44">
        <v>20</v>
      </c>
      <c r="S44" s="47">
        <v>50</v>
      </c>
      <c r="T44" s="4"/>
    </row>
    <row r="45" spans="1:20" x14ac:dyDescent="0.25">
      <c r="A45" s="7">
        <v>42</v>
      </c>
      <c r="D45" s="9" t="s">
        <v>45</v>
      </c>
      <c r="E45" s="10"/>
      <c r="F45" s="10"/>
      <c r="G45" s="11"/>
      <c r="H45" s="12">
        <v>15</v>
      </c>
      <c r="I45" s="7" t="s">
        <v>2</v>
      </c>
      <c r="J45" s="3">
        <v>10</v>
      </c>
      <c r="K45" s="3">
        <v>0</v>
      </c>
      <c r="L45" s="3">
        <v>0</v>
      </c>
      <c r="M45" s="3">
        <v>1</v>
      </c>
      <c r="N45" s="3">
        <v>0</v>
      </c>
      <c r="O45" s="3">
        <v>0</v>
      </c>
      <c r="P45" s="4">
        <f t="shared" si="0"/>
        <v>24</v>
      </c>
      <c r="Q45" s="1" t="s">
        <v>14</v>
      </c>
      <c r="R45" s="44">
        <v>20</v>
      </c>
      <c r="S45" s="47">
        <v>50</v>
      </c>
      <c r="T45" s="4"/>
    </row>
    <row r="46" spans="1:20" x14ac:dyDescent="0.25">
      <c r="A46" s="7">
        <v>43</v>
      </c>
      <c r="D46" s="16" t="s">
        <v>46</v>
      </c>
      <c r="E46" s="17"/>
      <c r="F46" s="17"/>
      <c r="G46" s="18"/>
      <c r="H46" s="12">
        <v>15</v>
      </c>
      <c r="I46" s="7" t="s">
        <v>2</v>
      </c>
      <c r="J46" s="3">
        <v>10</v>
      </c>
      <c r="K46" s="3">
        <v>0</v>
      </c>
      <c r="L46" s="3">
        <v>0</v>
      </c>
      <c r="M46" s="3">
        <v>1</v>
      </c>
      <c r="N46" s="3">
        <v>0</v>
      </c>
      <c r="O46" s="3">
        <v>0</v>
      </c>
      <c r="P46" s="4">
        <f t="shared" si="0"/>
        <v>24</v>
      </c>
      <c r="Q46" s="1" t="s">
        <v>14</v>
      </c>
      <c r="R46" s="44">
        <v>20</v>
      </c>
      <c r="S46" s="47">
        <v>50</v>
      </c>
      <c r="T46" s="4"/>
    </row>
    <row r="47" spans="1:20" x14ac:dyDescent="0.25">
      <c r="A47" s="7">
        <v>44</v>
      </c>
      <c r="D47" s="9" t="s">
        <v>47</v>
      </c>
      <c r="E47" s="10"/>
      <c r="F47" s="10"/>
      <c r="G47" s="11" t="s">
        <v>14</v>
      </c>
      <c r="H47" s="12">
        <v>15</v>
      </c>
      <c r="I47" s="7" t="s">
        <v>2</v>
      </c>
      <c r="J47" s="3">
        <v>10</v>
      </c>
      <c r="K47" s="3">
        <v>0</v>
      </c>
      <c r="L47" s="3">
        <v>0</v>
      </c>
      <c r="M47" s="3">
        <v>1</v>
      </c>
      <c r="N47" s="3">
        <v>0</v>
      </c>
      <c r="O47" s="3">
        <v>0</v>
      </c>
      <c r="P47" s="4">
        <f t="shared" si="0"/>
        <v>24</v>
      </c>
      <c r="Q47" s="1" t="s">
        <v>14</v>
      </c>
      <c r="R47" s="44">
        <v>20</v>
      </c>
      <c r="S47" s="47">
        <v>50</v>
      </c>
      <c r="T47" s="4"/>
    </row>
    <row r="48" spans="1:20" x14ac:dyDescent="0.25">
      <c r="A48" s="7">
        <v>45</v>
      </c>
      <c r="D48" s="16" t="s">
        <v>175</v>
      </c>
      <c r="E48" s="17"/>
      <c r="F48" s="17"/>
      <c r="G48" s="18"/>
      <c r="H48" s="12">
        <v>300</v>
      </c>
      <c r="I48" s="7" t="s">
        <v>2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4">
        <f t="shared" si="0"/>
        <v>300</v>
      </c>
      <c r="Q48" s="1" t="s">
        <v>14</v>
      </c>
      <c r="R48" s="44">
        <v>500</v>
      </c>
      <c r="S48" s="47">
        <v>2000</v>
      </c>
      <c r="T48" s="4"/>
    </row>
    <row r="49" spans="1:20" x14ac:dyDescent="0.25">
      <c r="A49" s="7">
        <v>46</v>
      </c>
      <c r="D49" s="9" t="s">
        <v>48</v>
      </c>
      <c r="E49" s="10"/>
      <c r="F49" s="10"/>
      <c r="G49" s="11"/>
      <c r="H49" s="12">
        <v>16</v>
      </c>
      <c r="I49" s="7" t="s">
        <v>2</v>
      </c>
      <c r="J49" s="3">
        <v>0</v>
      </c>
      <c r="K49" s="3">
        <v>0</v>
      </c>
      <c r="L49" s="3">
        <v>3</v>
      </c>
      <c r="M49" s="3">
        <v>0</v>
      </c>
      <c r="N49" s="3">
        <v>0</v>
      </c>
      <c r="O49" s="3">
        <v>0</v>
      </c>
      <c r="P49" s="4">
        <f t="shared" si="0"/>
        <v>13</v>
      </c>
      <c r="Q49" s="1" t="s">
        <v>14</v>
      </c>
      <c r="R49" s="44">
        <v>10</v>
      </c>
      <c r="S49" s="47">
        <v>20</v>
      </c>
      <c r="T49" s="4" t="s">
        <v>14</v>
      </c>
    </row>
    <row r="50" spans="1:20" x14ac:dyDescent="0.25">
      <c r="A50" s="7">
        <v>47</v>
      </c>
      <c r="D50" s="16" t="s">
        <v>49</v>
      </c>
      <c r="E50" s="17"/>
      <c r="F50" s="17"/>
      <c r="G50" s="18"/>
      <c r="H50" s="12">
        <v>83</v>
      </c>
      <c r="I50" s="7" t="s">
        <v>2</v>
      </c>
      <c r="J50" s="3">
        <v>0</v>
      </c>
      <c r="K50" s="3">
        <v>0</v>
      </c>
      <c r="L50" s="3">
        <v>3</v>
      </c>
      <c r="M50" s="3">
        <v>0</v>
      </c>
      <c r="N50" s="3">
        <v>0</v>
      </c>
      <c r="O50" s="3">
        <v>0</v>
      </c>
      <c r="P50" s="4">
        <f t="shared" si="0"/>
        <v>80</v>
      </c>
      <c r="Q50" s="1" t="s">
        <v>14</v>
      </c>
      <c r="R50" s="44">
        <v>10</v>
      </c>
      <c r="S50" s="47">
        <v>20</v>
      </c>
      <c r="T50" s="4"/>
    </row>
    <row r="51" spans="1:20" x14ac:dyDescent="0.25">
      <c r="A51" s="7">
        <v>48</v>
      </c>
      <c r="D51" s="9" t="s">
        <v>189</v>
      </c>
      <c r="E51" s="10"/>
      <c r="F51" s="10"/>
      <c r="G51" s="11"/>
      <c r="H51" s="12">
        <v>30</v>
      </c>
      <c r="I51" s="7" t="s">
        <v>1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4">
        <f t="shared" si="0"/>
        <v>30</v>
      </c>
      <c r="Q51" s="1" t="s">
        <v>75</v>
      </c>
      <c r="R51" s="44">
        <v>50</v>
      </c>
      <c r="S51" s="47">
        <v>100</v>
      </c>
      <c r="T51" s="4"/>
    </row>
    <row r="52" spans="1:20" x14ac:dyDescent="0.25">
      <c r="A52" s="7">
        <v>49</v>
      </c>
      <c r="D52" s="94" t="s">
        <v>185</v>
      </c>
      <c r="E52" s="91" t="s">
        <v>186</v>
      </c>
      <c r="F52" s="92" t="s">
        <v>187</v>
      </c>
      <c r="G52" s="93"/>
      <c r="H52" s="12">
        <v>66</v>
      </c>
      <c r="I52" s="7" t="s">
        <v>2</v>
      </c>
      <c r="J52" s="3">
        <v>0</v>
      </c>
      <c r="K52" s="3">
        <v>0</v>
      </c>
      <c r="L52" s="3">
        <v>0</v>
      </c>
      <c r="M52" s="3">
        <v>1</v>
      </c>
      <c r="N52" s="3">
        <v>0</v>
      </c>
      <c r="O52" s="3">
        <v>1</v>
      </c>
      <c r="P52" s="4">
        <f t="shared" si="0"/>
        <v>64</v>
      </c>
      <c r="Q52" s="1" t="s">
        <v>14</v>
      </c>
      <c r="R52" s="44">
        <v>20</v>
      </c>
      <c r="S52" s="47">
        <v>50</v>
      </c>
      <c r="T52" s="4"/>
    </row>
    <row r="53" spans="1:20" x14ac:dyDescent="0.25">
      <c r="A53" s="7">
        <v>50</v>
      </c>
      <c r="D53" s="9" t="s">
        <v>51</v>
      </c>
      <c r="E53" s="10"/>
      <c r="F53" s="10"/>
      <c r="G53" s="11"/>
      <c r="H53" s="12">
        <v>64</v>
      </c>
      <c r="I53" s="7" t="s">
        <v>2</v>
      </c>
      <c r="J53" s="3">
        <v>0</v>
      </c>
      <c r="K53" s="3">
        <v>0</v>
      </c>
      <c r="L53" s="3">
        <v>0</v>
      </c>
      <c r="M53" s="3">
        <v>1</v>
      </c>
      <c r="N53" s="3">
        <v>0</v>
      </c>
      <c r="O53" s="3">
        <v>1</v>
      </c>
      <c r="P53" s="4">
        <f t="shared" si="0"/>
        <v>62</v>
      </c>
      <c r="Q53" s="1" t="s">
        <v>14</v>
      </c>
      <c r="R53" s="44">
        <v>20</v>
      </c>
      <c r="S53" s="47">
        <v>50</v>
      </c>
      <c r="T53" s="4"/>
    </row>
    <row r="54" spans="1:20" x14ac:dyDescent="0.25">
      <c r="A54" s="7">
        <v>51</v>
      </c>
      <c r="D54" s="16" t="s">
        <v>52</v>
      </c>
      <c r="E54" s="17"/>
      <c r="F54" s="17"/>
      <c r="G54" s="18"/>
      <c r="H54" s="12">
        <v>70</v>
      </c>
      <c r="I54" s="7" t="s">
        <v>2</v>
      </c>
      <c r="J54" s="3">
        <v>0</v>
      </c>
      <c r="K54" s="3">
        <v>0</v>
      </c>
      <c r="L54" s="3">
        <v>0</v>
      </c>
      <c r="M54" s="3">
        <v>1</v>
      </c>
      <c r="N54" s="3">
        <v>0</v>
      </c>
      <c r="O54" s="3">
        <v>1</v>
      </c>
      <c r="P54" s="4">
        <f t="shared" si="0"/>
        <v>68</v>
      </c>
      <c r="Q54" s="1" t="s">
        <v>14</v>
      </c>
      <c r="R54" s="44">
        <v>20</v>
      </c>
      <c r="S54" s="47">
        <v>50</v>
      </c>
      <c r="T54" s="4" t="s">
        <v>14</v>
      </c>
    </row>
    <row r="55" spans="1:20" x14ac:dyDescent="0.25">
      <c r="A55" s="7">
        <v>52</v>
      </c>
      <c r="D55" s="9" t="s">
        <v>53</v>
      </c>
      <c r="E55" s="10"/>
      <c r="F55" s="10"/>
      <c r="G55" s="11"/>
      <c r="H55" s="12">
        <v>85</v>
      </c>
      <c r="I55" s="7" t="s">
        <v>2</v>
      </c>
      <c r="J55" s="3">
        <v>0</v>
      </c>
      <c r="K55" s="3">
        <v>0</v>
      </c>
      <c r="L55" s="3">
        <v>0</v>
      </c>
      <c r="M55" s="3">
        <v>1</v>
      </c>
      <c r="N55" s="3">
        <v>0</v>
      </c>
      <c r="O55" s="3">
        <v>1</v>
      </c>
      <c r="P55" s="4">
        <f t="shared" si="0"/>
        <v>83</v>
      </c>
      <c r="Q55" s="1" t="s">
        <v>14</v>
      </c>
      <c r="R55" s="44">
        <v>20</v>
      </c>
      <c r="S55" s="47">
        <v>50</v>
      </c>
      <c r="T55" s="4"/>
    </row>
    <row r="56" spans="1:20" x14ac:dyDescent="0.25">
      <c r="A56" s="7">
        <v>53</v>
      </c>
      <c r="D56" s="70" t="s">
        <v>191</v>
      </c>
      <c r="E56" s="71"/>
      <c r="F56" s="71"/>
      <c r="G56" s="72"/>
      <c r="H56" s="12">
        <v>645</v>
      </c>
      <c r="I56" s="7" t="s">
        <v>1</v>
      </c>
      <c r="J56" s="3">
        <v>495</v>
      </c>
      <c r="K56" s="3">
        <v>135</v>
      </c>
      <c r="L56" s="3">
        <v>165</v>
      </c>
      <c r="M56" s="3">
        <v>150</v>
      </c>
      <c r="N56" s="3">
        <v>135</v>
      </c>
      <c r="O56" s="3">
        <v>105</v>
      </c>
      <c r="P56" s="4">
        <f t="shared" si="0"/>
        <v>450</v>
      </c>
      <c r="Q56" s="1" t="s">
        <v>120</v>
      </c>
      <c r="R56" s="44">
        <v>300</v>
      </c>
      <c r="S56" s="47">
        <v>900</v>
      </c>
      <c r="T56" s="4"/>
    </row>
    <row r="57" spans="1:20" x14ac:dyDescent="0.25">
      <c r="A57" s="7">
        <v>54</v>
      </c>
      <c r="D57" s="16" t="s">
        <v>61</v>
      </c>
      <c r="E57" s="17"/>
      <c r="F57" s="17"/>
      <c r="G57" s="18"/>
      <c r="H57" s="12">
        <v>50</v>
      </c>
      <c r="I57" s="7" t="s">
        <v>171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  <c r="P57" s="4">
        <f t="shared" si="0"/>
        <v>50</v>
      </c>
      <c r="Q57" s="1" t="s">
        <v>14</v>
      </c>
      <c r="R57" s="44">
        <v>10</v>
      </c>
      <c r="S57" s="46">
        <v>200</v>
      </c>
      <c r="T57" s="4"/>
    </row>
    <row r="58" spans="1:20" x14ac:dyDescent="0.25">
      <c r="A58" s="7">
        <v>55</v>
      </c>
      <c r="D58" s="9" t="s">
        <v>62</v>
      </c>
      <c r="E58" s="10"/>
      <c r="F58" s="10"/>
      <c r="G58" s="11"/>
      <c r="H58" s="12">
        <v>810</v>
      </c>
      <c r="I58" s="7" t="s">
        <v>2</v>
      </c>
      <c r="J58" s="3">
        <v>0</v>
      </c>
      <c r="K58" s="3">
        <v>60</v>
      </c>
      <c r="L58" s="3">
        <v>12</v>
      </c>
      <c r="M58" s="3">
        <v>22</v>
      </c>
      <c r="N58" s="3">
        <v>273</v>
      </c>
      <c r="O58" s="3">
        <v>26</v>
      </c>
      <c r="P58" s="4">
        <f t="shared" si="0"/>
        <v>417</v>
      </c>
      <c r="Q58" s="1" t="s">
        <v>14</v>
      </c>
      <c r="R58" s="44">
        <v>500</v>
      </c>
      <c r="S58" s="47">
        <v>1000</v>
      </c>
      <c r="T58" s="4"/>
    </row>
    <row r="59" spans="1:20" x14ac:dyDescent="0.25">
      <c r="A59" s="7">
        <v>56</v>
      </c>
      <c r="D59" s="16" t="s">
        <v>13</v>
      </c>
      <c r="E59" s="17"/>
      <c r="F59" s="17"/>
      <c r="G59" s="18"/>
      <c r="H59" s="12">
        <v>57</v>
      </c>
      <c r="I59" s="7" t="s">
        <v>2</v>
      </c>
      <c r="J59" s="3">
        <v>0</v>
      </c>
      <c r="K59" s="3">
        <v>0</v>
      </c>
      <c r="L59" s="3">
        <v>0</v>
      </c>
      <c r="M59" s="3">
        <v>32</v>
      </c>
      <c r="N59" s="3">
        <v>0</v>
      </c>
      <c r="O59" s="3">
        <v>20</v>
      </c>
      <c r="P59" s="4">
        <f t="shared" si="0"/>
        <v>5</v>
      </c>
      <c r="Q59" s="1" t="s">
        <v>14</v>
      </c>
      <c r="R59" s="44">
        <v>200</v>
      </c>
      <c r="S59" s="47">
        <v>500</v>
      </c>
      <c r="T59" s="4"/>
    </row>
    <row r="60" spans="1:20" x14ac:dyDescent="0.25">
      <c r="A60" s="7">
        <v>57</v>
      </c>
      <c r="D60" s="9" t="s">
        <v>72</v>
      </c>
      <c r="E60" s="10"/>
      <c r="F60" s="10"/>
      <c r="G60" s="11"/>
      <c r="H60" s="12">
        <v>20</v>
      </c>
      <c r="I60" s="7" t="s">
        <v>2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4">
        <f t="shared" si="0"/>
        <v>20</v>
      </c>
      <c r="Q60" s="1" t="s">
        <v>14</v>
      </c>
      <c r="R60" s="44">
        <v>15</v>
      </c>
      <c r="S60" s="47">
        <v>300</v>
      </c>
      <c r="T60" s="4"/>
    </row>
    <row r="61" spans="1:20" x14ac:dyDescent="0.25">
      <c r="A61" s="7">
        <v>58</v>
      </c>
      <c r="D61" s="16" t="s">
        <v>182</v>
      </c>
      <c r="E61" s="17"/>
      <c r="F61" s="17"/>
      <c r="G61" s="18"/>
      <c r="H61" s="12">
        <v>320</v>
      </c>
      <c r="I61" s="7" t="s">
        <v>2</v>
      </c>
      <c r="J61" s="3">
        <v>0</v>
      </c>
      <c r="K61" s="3">
        <v>0</v>
      </c>
      <c r="L61" s="3">
        <v>60</v>
      </c>
      <c r="M61" s="3">
        <v>14</v>
      </c>
      <c r="N61" s="3">
        <v>5</v>
      </c>
      <c r="O61" s="3">
        <v>4</v>
      </c>
      <c r="P61" s="4">
        <f t="shared" si="0"/>
        <v>237</v>
      </c>
      <c r="Q61" s="1" t="s">
        <v>14</v>
      </c>
      <c r="R61" s="44">
        <v>150</v>
      </c>
      <c r="S61" s="47">
        <v>600</v>
      </c>
      <c r="T61" s="4"/>
    </row>
    <row r="62" spans="1:20" x14ac:dyDescent="0.25">
      <c r="A62" s="7">
        <v>59</v>
      </c>
      <c r="D62" s="9" t="s">
        <v>181</v>
      </c>
      <c r="E62" s="10"/>
      <c r="F62" s="10"/>
      <c r="G62" s="11"/>
      <c r="H62" s="12">
        <v>50</v>
      </c>
      <c r="I62" s="7" t="s">
        <v>2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4">
        <f t="shared" si="0"/>
        <v>50</v>
      </c>
      <c r="Q62" s="1" t="s">
        <v>14</v>
      </c>
      <c r="R62" s="44">
        <v>50</v>
      </c>
      <c r="S62" s="47">
        <v>200</v>
      </c>
      <c r="T62" s="4"/>
    </row>
    <row r="63" spans="1:20" x14ac:dyDescent="0.25">
      <c r="A63" s="7">
        <v>60</v>
      </c>
      <c r="D63" s="16" t="s">
        <v>130</v>
      </c>
      <c r="E63" s="17"/>
      <c r="F63" s="17"/>
      <c r="G63" s="18"/>
      <c r="H63" s="12">
        <v>163</v>
      </c>
      <c r="I63" s="7" t="s">
        <v>2</v>
      </c>
      <c r="J63" s="3">
        <v>0</v>
      </c>
      <c r="K63" s="3">
        <v>0</v>
      </c>
      <c r="L63" s="3">
        <v>0</v>
      </c>
      <c r="M63" s="3">
        <v>0</v>
      </c>
      <c r="N63" s="3">
        <v>1</v>
      </c>
      <c r="O63" s="3">
        <v>5</v>
      </c>
      <c r="P63" s="4">
        <f t="shared" si="0"/>
        <v>157</v>
      </c>
      <c r="Q63" s="1" t="s">
        <v>14</v>
      </c>
      <c r="R63" s="44">
        <v>20</v>
      </c>
      <c r="S63" s="46">
        <v>200</v>
      </c>
      <c r="T63" s="4"/>
    </row>
    <row r="64" spans="1:20" x14ac:dyDescent="0.25">
      <c r="A64" s="7">
        <v>61</v>
      </c>
      <c r="D64" s="26" t="s">
        <v>14</v>
      </c>
      <c r="E64" s="27"/>
      <c r="F64" s="27"/>
      <c r="G64" s="28"/>
      <c r="H64" s="12">
        <v>0</v>
      </c>
      <c r="I64" s="30" t="s">
        <v>2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4">
        <f t="shared" si="0"/>
        <v>0</v>
      </c>
      <c r="Q64" s="1" t="s">
        <v>14</v>
      </c>
      <c r="R64" s="44">
        <v>0</v>
      </c>
      <c r="S64" s="47">
        <v>0</v>
      </c>
      <c r="T64" s="4"/>
    </row>
    <row r="65" spans="1:20" x14ac:dyDescent="0.25">
      <c r="A65" s="7">
        <v>62</v>
      </c>
      <c r="D65" s="16" t="s">
        <v>65</v>
      </c>
      <c r="E65" s="17"/>
      <c r="F65" s="17"/>
      <c r="G65" s="18"/>
      <c r="H65" s="12">
        <v>10</v>
      </c>
      <c r="I65" s="7" t="s">
        <v>2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4">
        <f t="shared" si="0"/>
        <v>10</v>
      </c>
      <c r="Q65" s="1" t="s">
        <v>14</v>
      </c>
      <c r="R65" s="44">
        <v>10</v>
      </c>
      <c r="S65" s="46">
        <v>50</v>
      </c>
      <c r="T65" s="4"/>
    </row>
    <row r="66" spans="1:20" x14ac:dyDescent="0.25">
      <c r="A66" s="7">
        <v>63</v>
      </c>
      <c r="D66" s="9" t="s">
        <v>14</v>
      </c>
      <c r="E66" s="10"/>
      <c r="F66" s="10"/>
      <c r="G66" s="11"/>
      <c r="H66" s="12">
        <v>0</v>
      </c>
      <c r="I66" s="7" t="s">
        <v>14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  <c r="P66" s="4">
        <f t="shared" si="0"/>
        <v>0</v>
      </c>
      <c r="Q66" s="1" t="s">
        <v>14</v>
      </c>
      <c r="R66" s="44">
        <v>0</v>
      </c>
      <c r="S66" s="47">
        <v>0</v>
      </c>
      <c r="T66" s="4"/>
    </row>
    <row r="67" spans="1:20" x14ac:dyDescent="0.25">
      <c r="A67" s="7">
        <v>64</v>
      </c>
      <c r="D67" s="19" t="s">
        <v>165</v>
      </c>
      <c r="E67" s="20"/>
      <c r="F67" s="20"/>
      <c r="G67" s="21"/>
      <c r="H67" s="12">
        <v>55</v>
      </c>
      <c r="I67" s="7" t="s">
        <v>2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  <c r="P67" s="4">
        <f t="shared" si="0"/>
        <v>55</v>
      </c>
      <c r="Q67" s="1" t="s">
        <v>14</v>
      </c>
      <c r="R67" s="44">
        <v>50</v>
      </c>
      <c r="S67" s="47">
        <v>150</v>
      </c>
      <c r="T67" s="4"/>
    </row>
    <row r="68" spans="1:20" x14ac:dyDescent="0.25">
      <c r="A68" s="7">
        <v>65</v>
      </c>
      <c r="D68" s="22" t="s">
        <v>74</v>
      </c>
      <c r="E68" s="10"/>
      <c r="F68" s="10"/>
      <c r="G68" s="11"/>
      <c r="H68" s="12">
        <v>150</v>
      </c>
      <c r="I68" s="8" t="s">
        <v>75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4">
        <f t="shared" ref="P68:P89" si="1">+H68+J68-K68-L68-M68-N68-O68</f>
        <v>150</v>
      </c>
      <c r="Q68" s="1">
        <v>22</v>
      </c>
      <c r="R68" s="44">
        <v>65</v>
      </c>
      <c r="S68" s="47">
        <v>150</v>
      </c>
      <c r="T68" s="4"/>
    </row>
    <row r="69" spans="1:20" x14ac:dyDescent="0.25">
      <c r="A69" s="7">
        <v>66</v>
      </c>
      <c r="C69" s="1" t="s">
        <v>14</v>
      </c>
      <c r="D69" s="22" t="s">
        <v>76</v>
      </c>
      <c r="E69" s="10"/>
      <c r="F69" s="10"/>
      <c r="G69" s="11"/>
      <c r="H69" s="12">
        <v>140</v>
      </c>
      <c r="I69" s="8" t="s">
        <v>2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4">
        <f t="shared" si="1"/>
        <v>140</v>
      </c>
      <c r="Q69" s="1" t="s">
        <v>14</v>
      </c>
      <c r="R69" s="44">
        <v>50</v>
      </c>
      <c r="S69" s="47">
        <v>100</v>
      </c>
      <c r="T69" s="4"/>
    </row>
    <row r="70" spans="1:20" x14ac:dyDescent="0.25">
      <c r="A70" s="7">
        <v>67</v>
      </c>
      <c r="D70" s="25" t="s">
        <v>147</v>
      </c>
      <c r="H70" s="12">
        <v>93</v>
      </c>
      <c r="I70" s="30" t="s">
        <v>2</v>
      </c>
      <c r="J70" s="3">
        <v>0</v>
      </c>
      <c r="K70" s="3">
        <v>3</v>
      </c>
      <c r="L70" s="3">
        <v>5</v>
      </c>
      <c r="M70" s="3">
        <v>0</v>
      </c>
      <c r="N70" s="3">
        <v>8</v>
      </c>
      <c r="O70" s="3">
        <v>15</v>
      </c>
      <c r="P70" s="4">
        <f t="shared" si="1"/>
        <v>62</v>
      </c>
      <c r="Q70" s="1" t="s">
        <v>14</v>
      </c>
      <c r="R70" s="44">
        <v>50</v>
      </c>
      <c r="S70" s="47">
        <v>100</v>
      </c>
      <c r="T70" s="4"/>
    </row>
    <row r="71" spans="1:20" x14ac:dyDescent="0.25">
      <c r="A71" s="7">
        <v>68</v>
      </c>
      <c r="D71" s="26" t="s">
        <v>80</v>
      </c>
      <c r="E71" s="27"/>
      <c r="F71" s="27"/>
      <c r="G71" s="28"/>
      <c r="H71" s="12">
        <v>20</v>
      </c>
      <c r="I71" s="8" t="s">
        <v>171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4">
        <f t="shared" si="1"/>
        <v>20</v>
      </c>
      <c r="Q71" s="1" t="s">
        <v>14</v>
      </c>
      <c r="R71" s="44">
        <v>20</v>
      </c>
      <c r="S71" s="46">
        <v>200</v>
      </c>
      <c r="T71" s="4"/>
    </row>
    <row r="72" spans="1:20" x14ac:dyDescent="0.25">
      <c r="A72" s="7">
        <v>69</v>
      </c>
      <c r="D72" s="26" t="s">
        <v>194</v>
      </c>
      <c r="E72" s="27"/>
      <c r="F72" s="27"/>
      <c r="G72" s="28"/>
      <c r="H72" s="12">
        <v>240</v>
      </c>
      <c r="I72" s="8" t="s">
        <v>2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  <c r="P72" s="4">
        <f t="shared" si="1"/>
        <v>240</v>
      </c>
      <c r="Q72" s="1" t="s">
        <v>14</v>
      </c>
      <c r="R72" s="44" t="s">
        <v>14</v>
      </c>
      <c r="S72" s="47" t="s">
        <v>14</v>
      </c>
      <c r="T72" s="4"/>
    </row>
    <row r="73" spans="1:20" x14ac:dyDescent="0.25">
      <c r="A73" s="7">
        <v>70</v>
      </c>
      <c r="D73" s="26" t="s">
        <v>167</v>
      </c>
      <c r="E73" s="27"/>
      <c r="F73" s="27"/>
      <c r="G73" s="28"/>
      <c r="H73" s="12">
        <v>39</v>
      </c>
      <c r="I73" s="8" t="s">
        <v>2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4">
        <f t="shared" si="1"/>
        <v>39</v>
      </c>
      <c r="R73" s="44">
        <v>20</v>
      </c>
      <c r="S73" s="46">
        <v>200</v>
      </c>
      <c r="T73" s="4"/>
    </row>
    <row r="74" spans="1:20" x14ac:dyDescent="0.25">
      <c r="A74" s="7">
        <v>71</v>
      </c>
      <c r="D74" s="37" t="s">
        <v>176</v>
      </c>
      <c r="E74" s="17"/>
      <c r="F74" s="33"/>
      <c r="G74" s="33"/>
      <c r="H74" s="12">
        <v>1250</v>
      </c>
      <c r="I74" s="8" t="s">
        <v>2</v>
      </c>
      <c r="J74" s="3">
        <v>0</v>
      </c>
      <c r="K74" s="3">
        <v>0</v>
      </c>
      <c r="L74" s="3">
        <v>20</v>
      </c>
      <c r="M74" s="3">
        <v>0</v>
      </c>
      <c r="N74" s="3">
        <v>0</v>
      </c>
      <c r="O74" s="3">
        <v>0</v>
      </c>
      <c r="P74" s="4">
        <f t="shared" si="1"/>
        <v>1230</v>
      </c>
      <c r="Q74" s="1" t="s">
        <v>14</v>
      </c>
      <c r="R74" s="44">
        <v>100</v>
      </c>
      <c r="S74" s="47">
        <v>500</v>
      </c>
      <c r="T74" s="4"/>
    </row>
    <row r="75" spans="1:20" x14ac:dyDescent="0.25">
      <c r="A75" s="7">
        <v>72</v>
      </c>
      <c r="D75" s="22" t="s">
        <v>14</v>
      </c>
      <c r="E75" s="10"/>
      <c r="F75" s="10"/>
      <c r="G75" s="28"/>
      <c r="H75" s="12">
        <v>0</v>
      </c>
      <c r="I75" s="8" t="s">
        <v>2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4">
        <f t="shared" si="1"/>
        <v>0</v>
      </c>
      <c r="R75" s="44">
        <v>0</v>
      </c>
      <c r="S75" s="46"/>
      <c r="T75" s="4"/>
    </row>
    <row r="76" spans="1:20" x14ac:dyDescent="0.25">
      <c r="A76" s="7">
        <v>73</v>
      </c>
      <c r="D76" s="37" t="s">
        <v>113</v>
      </c>
      <c r="E76" s="17"/>
      <c r="F76" s="17"/>
      <c r="G76" s="33"/>
      <c r="H76" s="12">
        <v>980</v>
      </c>
      <c r="I76" s="8" t="s">
        <v>97</v>
      </c>
      <c r="J76" s="3">
        <v>0</v>
      </c>
      <c r="K76" s="3">
        <v>100</v>
      </c>
      <c r="L76" s="3">
        <v>83</v>
      </c>
      <c r="M76" s="3">
        <v>60</v>
      </c>
      <c r="N76" s="3">
        <v>62</v>
      </c>
      <c r="O76" s="3">
        <v>56</v>
      </c>
      <c r="P76" s="4">
        <f t="shared" si="1"/>
        <v>619</v>
      </c>
      <c r="Q76" s="65" t="s">
        <v>121</v>
      </c>
      <c r="R76" s="44">
        <v>300</v>
      </c>
      <c r="S76" s="47">
        <v>1000</v>
      </c>
      <c r="T76" s="4"/>
    </row>
    <row r="77" spans="1:20" x14ac:dyDescent="0.25">
      <c r="A77" s="7">
        <v>74</v>
      </c>
      <c r="D77" s="22" t="s">
        <v>103</v>
      </c>
      <c r="E77" s="10"/>
      <c r="F77" s="10"/>
      <c r="G77" s="28"/>
      <c r="H77" s="12">
        <v>3</v>
      </c>
      <c r="I77" s="8" t="s">
        <v>132</v>
      </c>
      <c r="J77" s="3">
        <v>240</v>
      </c>
      <c r="K77" s="3">
        <v>0</v>
      </c>
      <c r="L77" s="3">
        <v>95</v>
      </c>
      <c r="M77" s="3">
        <v>0</v>
      </c>
      <c r="N77" s="3">
        <v>8</v>
      </c>
      <c r="O77" s="3">
        <v>1</v>
      </c>
      <c r="P77" s="4">
        <f t="shared" si="1"/>
        <v>139</v>
      </c>
      <c r="R77" s="44">
        <v>60</v>
      </c>
      <c r="S77" s="47">
        <v>100</v>
      </c>
      <c r="T77" s="4"/>
    </row>
    <row r="78" spans="1:20" x14ac:dyDescent="0.25">
      <c r="A78" s="8">
        <v>75</v>
      </c>
      <c r="D78" s="49" t="s">
        <v>108</v>
      </c>
      <c r="E78" s="20"/>
      <c r="F78" s="20"/>
      <c r="G78" s="20"/>
      <c r="H78" s="12">
        <v>7500</v>
      </c>
      <c r="I78" s="8" t="s">
        <v>110</v>
      </c>
      <c r="J78" s="3">
        <v>0</v>
      </c>
      <c r="K78" s="3">
        <v>1000</v>
      </c>
      <c r="L78" s="3">
        <v>2000</v>
      </c>
      <c r="M78" s="3">
        <v>1000</v>
      </c>
      <c r="N78" s="3">
        <v>1000</v>
      </c>
      <c r="O78" s="3">
        <v>500</v>
      </c>
      <c r="P78" s="99">
        <f t="shared" si="1"/>
        <v>2000</v>
      </c>
      <c r="R78" s="95">
        <v>10000</v>
      </c>
      <c r="S78" s="96">
        <v>30000</v>
      </c>
      <c r="T78" s="4"/>
    </row>
    <row r="79" spans="1:20" x14ac:dyDescent="0.25">
      <c r="A79" s="48">
        <v>76</v>
      </c>
      <c r="B79" s="41"/>
      <c r="C79" s="41"/>
      <c r="D79" s="22" t="s">
        <v>115</v>
      </c>
      <c r="E79" s="10"/>
      <c r="F79" s="10"/>
      <c r="G79" s="11"/>
      <c r="H79" s="12">
        <v>81</v>
      </c>
      <c r="I79" s="62" t="s">
        <v>2</v>
      </c>
      <c r="J79" s="3">
        <v>0</v>
      </c>
      <c r="K79" s="3">
        <v>3</v>
      </c>
      <c r="L79" s="3">
        <v>5</v>
      </c>
      <c r="M79" s="3">
        <v>0</v>
      </c>
      <c r="N79" s="3">
        <v>8</v>
      </c>
      <c r="O79" s="3">
        <v>15</v>
      </c>
      <c r="P79" s="64">
        <f t="shared" si="1"/>
        <v>50</v>
      </c>
      <c r="R79" s="64">
        <v>50</v>
      </c>
      <c r="S79" s="64">
        <v>100</v>
      </c>
      <c r="T79" s="4" t="s">
        <v>14</v>
      </c>
    </row>
    <row r="80" spans="1:20" x14ac:dyDescent="0.25">
      <c r="A80" s="73">
        <v>77</v>
      </c>
      <c r="B80" s="41"/>
      <c r="C80" s="41"/>
      <c r="D80" s="49" t="s">
        <v>134</v>
      </c>
      <c r="E80" s="35"/>
      <c r="F80" s="35"/>
      <c r="G80" s="60"/>
      <c r="H80" s="12">
        <v>100</v>
      </c>
      <c r="I80" s="8" t="s">
        <v>2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  <c r="P80" s="4">
        <f t="shared" si="1"/>
        <v>100</v>
      </c>
      <c r="Q80" s="4"/>
      <c r="R80" s="4">
        <v>20</v>
      </c>
      <c r="S80" s="4">
        <v>50</v>
      </c>
      <c r="T80" s="4"/>
    </row>
    <row r="81" spans="1:20" x14ac:dyDescent="0.25">
      <c r="A81" s="8">
        <v>78</v>
      </c>
      <c r="D81" s="22" t="s">
        <v>123</v>
      </c>
      <c r="E81" s="10"/>
      <c r="F81" s="10"/>
      <c r="G81" s="11"/>
      <c r="H81" s="12">
        <v>500</v>
      </c>
      <c r="I81" s="8" t="s">
        <v>2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  <c r="P81" s="4">
        <f t="shared" si="1"/>
        <v>500</v>
      </c>
      <c r="Q81" s="4"/>
      <c r="R81" s="4">
        <v>500</v>
      </c>
      <c r="S81" s="4">
        <v>2500</v>
      </c>
      <c r="T81" s="4"/>
    </row>
    <row r="82" spans="1:20" x14ac:dyDescent="0.25">
      <c r="A82" s="48">
        <v>79</v>
      </c>
      <c r="B82" s="41"/>
      <c r="C82" s="41"/>
      <c r="D82" s="22" t="s">
        <v>177</v>
      </c>
      <c r="E82" s="10"/>
      <c r="F82" s="10"/>
      <c r="G82" s="11"/>
      <c r="H82" s="4">
        <v>250</v>
      </c>
      <c r="I82" s="8" t="s">
        <v>110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  <c r="P82" s="4">
        <f t="shared" si="1"/>
        <v>250</v>
      </c>
      <c r="Q82" s="4" t="s">
        <v>110</v>
      </c>
      <c r="R82" s="4">
        <v>250</v>
      </c>
      <c r="S82" s="4">
        <v>2000</v>
      </c>
      <c r="T82" s="4"/>
    </row>
    <row r="83" spans="1:20" x14ac:dyDescent="0.25">
      <c r="A83" s="48">
        <v>80</v>
      </c>
      <c r="B83" s="41"/>
      <c r="C83" s="41"/>
      <c r="D83" s="37" t="s">
        <v>178</v>
      </c>
      <c r="E83" s="17"/>
      <c r="F83" s="17"/>
      <c r="G83" s="18"/>
      <c r="H83" s="64">
        <v>1500</v>
      </c>
      <c r="I83" s="62" t="s">
        <v>110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64">
        <f t="shared" si="1"/>
        <v>1500</v>
      </c>
      <c r="Q83" s="64" t="s">
        <v>110</v>
      </c>
      <c r="R83" s="64">
        <v>3000</v>
      </c>
      <c r="S83" s="64">
        <v>10000</v>
      </c>
      <c r="T83" s="4"/>
    </row>
    <row r="84" spans="1:20" x14ac:dyDescent="0.25">
      <c r="A84" s="48">
        <v>81</v>
      </c>
      <c r="B84" s="11"/>
      <c r="C84" s="23"/>
      <c r="D84" s="68" t="s">
        <v>192</v>
      </c>
      <c r="E84" s="27"/>
      <c r="F84" s="27"/>
      <c r="G84" s="28"/>
      <c r="H84" s="74">
        <v>200</v>
      </c>
      <c r="I84" s="75" t="s">
        <v>110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4">
        <f t="shared" si="1"/>
        <v>200</v>
      </c>
      <c r="Q84" s="4"/>
      <c r="R84" s="4">
        <v>10</v>
      </c>
      <c r="S84" s="4">
        <v>50</v>
      </c>
      <c r="T84" s="4"/>
    </row>
    <row r="85" spans="1:20" x14ac:dyDescent="0.25">
      <c r="A85" s="8">
        <v>82</v>
      </c>
      <c r="D85" s="68" t="s">
        <v>148</v>
      </c>
      <c r="E85" s="27"/>
      <c r="F85" s="27"/>
      <c r="G85" s="28"/>
      <c r="H85" s="4">
        <v>0</v>
      </c>
      <c r="I85" s="8" t="s">
        <v>2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4">
        <f t="shared" si="1"/>
        <v>0</v>
      </c>
      <c r="Q85" s="4"/>
      <c r="R85" s="4">
        <v>50</v>
      </c>
      <c r="S85" s="4">
        <v>200</v>
      </c>
      <c r="T85" s="4"/>
    </row>
    <row r="86" spans="1:20" ht="15.75" customHeight="1" x14ac:dyDescent="0.25">
      <c r="A86" s="8">
        <v>83</v>
      </c>
      <c r="D86" s="79" t="s">
        <v>150</v>
      </c>
      <c r="E86" s="80"/>
      <c r="F86" s="81"/>
      <c r="G86" s="82"/>
      <c r="H86" s="4">
        <v>200</v>
      </c>
      <c r="I86" s="8" t="s">
        <v>2</v>
      </c>
      <c r="J86" s="3">
        <v>0</v>
      </c>
      <c r="K86" s="3">
        <v>0</v>
      </c>
      <c r="L86" s="3">
        <v>12</v>
      </c>
      <c r="M86" s="3">
        <v>55</v>
      </c>
      <c r="N86" s="3">
        <v>8</v>
      </c>
      <c r="O86" s="3">
        <v>25</v>
      </c>
      <c r="P86" s="4">
        <f t="shared" si="1"/>
        <v>100</v>
      </c>
      <c r="Q86" s="4"/>
      <c r="R86" s="4">
        <v>75</v>
      </c>
      <c r="S86" s="4">
        <v>500</v>
      </c>
      <c r="T86" s="4"/>
    </row>
    <row r="87" spans="1:20" x14ac:dyDescent="0.25">
      <c r="A87" s="8">
        <v>84</v>
      </c>
      <c r="D87" s="22" t="s">
        <v>183</v>
      </c>
      <c r="E87" s="10"/>
      <c r="F87" s="10"/>
      <c r="G87" s="11"/>
      <c r="H87" s="23">
        <v>580</v>
      </c>
      <c r="I87" s="8" t="s">
        <v>2</v>
      </c>
      <c r="J87" s="3">
        <v>0</v>
      </c>
      <c r="K87" s="3">
        <v>0</v>
      </c>
      <c r="L87" s="3">
        <v>10</v>
      </c>
      <c r="M87" s="3">
        <v>3</v>
      </c>
      <c r="N87" s="3">
        <v>0</v>
      </c>
      <c r="O87" s="3">
        <v>0</v>
      </c>
      <c r="P87" s="4">
        <f t="shared" si="1"/>
        <v>567</v>
      </c>
      <c r="Q87" s="4"/>
      <c r="R87" s="4">
        <v>20</v>
      </c>
      <c r="S87" s="4">
        <v>300</v>
      </c>
      <c r="T87" s="4"/>
    </row>
    <row r="88" spans="1:20" x14ac:dyDescent="0.25">
      <c r="A88" s="8">
        <v>85</v>
      </c>
      <c r="D88" s="49" t="s">
        <v>199</v>
      </c>
      <c r="E88" s="20"/>
      <c r="F88" s="20"/>
      <c r="G88" s="21"/>
      <c r="H88" s="23">
        <v>0</v>
      </c>
      <c r="I88" s="8" t="s">
        <v>2</v>
      </c>
      <c r="J88" s="3">
        <v>300</v>
      </c>
      <c r="K88" s="3">
        <v>0</v>
      </c>
      <c r="L88" s="3">
        <v>0</v>
      </c>
      <c r="M88" s="3">
        <v>46</v>
      </c>
      <c r="N88" s="3">
        <v>0</v>
      </c>
      <c r="O88" s="3">
        <v>0</v>
      </c>
      <c r="P88" s="4">
        <f t="shared" si="1"/>
        <v>254</v>
      </c>
      <c r="Q88" s="4"/>
      <c r="R88" s="4">
        <v>10</v>
      </c>
      <c r="S88" s="4">
        <v>200</v>
      </c>
      <c r="T88" s="4"/>
    </row>
    <row r="89" spans="1:20" x14ac:dyDescent="0.25">
      <c r="A89" s="77">
        <v>86</v>
      </c>
      <c r="D89" s="68" t="s">
        <v>14</v>
      </c>
      <c r="E89" s="27"/>
      <c r="F89" s="27"/>
      <c r="G89" s="28"/>
      <c r="H89" s="74">
        <v>0</v>
      </c>
      <c r="I89" s="75" t="s">
        <v>14</v>
      </c>
      <c r="J89" s="3">
        <v>0</v>
      </c>
      <c r="K89" s="3">
        <v>0</v>
      </c>
      <c r="L89" s="3">
        <v>0</v>
      </c>
      <c r="M89" s="3">
        <v>0</v>
      </c>
      <c r="N89" s="3">
        <v>0</v>
      </c>
      <c r="O89" s="3">
        <v>0</v>
      </c>
      <c r="P89" s="4">
        <f t="shared" si="1"/>
        <v>0</v>
      </c>
      <c r="Q89" s="4"/>
      <c r="R89" s="4" t="s">
        <v>14</v>
      </c>
      <c r="S89" s="4" t="s">
        <v>14</v>
      </c>
      <c r="T89" s="4"/>
    </row>
  </sheetData>
  <pageMargins left="0.75" right="0.75" top="1" bottom="1" header="0.5" footer="0.5"/>
  <pageSetup paperSize="9" orientation="portrait"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1B7E5C-10FF-4569-84DE-B0989F609A85}">
  <dimension ref="A1:T89"/>
  <sheetViews>
    <sheetView topLeftCell="A2" workbookViewId="0">
      <selection activeCell="N68" sqref="N68"/>
    </sheetView>
  </sheetViews>
  <sheetFormatPr defaultRowHeight="15" x14ac:dyDescent="0.25"/>
  <cols>
    <col min="1" max="1" width="5.5703125" customWidth="1"/>
    <col min="2" max="3" width="9.140625" hidden="1" customWidth="1"/>
    <col min="6" max="6" width="12.7109375" customWidth="1"/>
    <col min="8" max="8" width="10.140625" customWidth="1"/>
    <col min="9" max="9" width="10" customWidth="1"/>
    <col min="10" max="10" width="7.7109375" customWidth="1"/>
    <col min="11" max="11" width="10.7109375" customWidth="1"/>
    <col min="12" max="12" width="10.140625" customWidth="1"/>
    <col min="13" max="13" width="11.85546875" customWidth="1"/>
    <col min="14" max="15" width="11.7109375" customWidth="1"/>
    <col min="16" max="16" width="10.140625" customWidth="1"/>
    <col min="17" max="17" width="4.7109375" customWidth="1"/>
    <col min="18" max="18" width="10.140625" customWidth="1"/>
    <col min="19" max="19" width="11.5703125" customWidth="1"/>
    <col min="20" max="20" width="0.28515625" customWidth="1"/>
  </cols>
  <sheetData>
    <row r="1" spans="1:20" x14ac:dyDescent="0.25">
      <c r="G1" s="1"/>
      <c r="P1">
        <f>+H1+J1-K1-L1-M1-N1-O1</f>
        <v>0</v>
      </c>
    </row>
    <row r="2" spans="1:20" x14ac:dyDescent="0.25">
      <c r="A2" t="s">
        <v>14</v>
      </c>
      <c r="D2" s="78" t="s">
        <v>168</v>
      </c>
      <c r="O2" s="38" t="s">
        <v>14</v>
      </c>
      <c r="S2" s="50">
        <v>45656</v>
      </c>
    </row>
    <row r="3" spans="1:20" x14ac:dyDescent="0.25">
      <c r="A3" s="3" t="s">
        <v>15</v>
      </c>
      <c r="D3" s="9" t="s">
        <v>17</v>
      </c>
      <c r="E3" s="10"/>
      <c r="F3" s="10"/>
      <c r="G3" s="11"/>
      <c r="H3" s="12" t="s">
        <v>18</v>
      </c>
      <c r="I3" s="4" t="s">
        <v>19</v>
      </c>
      <c r="J3" s="3" t="s">
        <v>20</v>
      </c>
      <c r="K3" s="5">
        <v>45940</v>
      </c>
      <c r="L3" s="6">
        <v>45947</v>
      </c>
      <c r="M3" s="5">
        <v>45954</v>
      </c>
      <c r="N3" s="5">
        <v>45961</v>
      </c>
      <c r="O3" s="6">
        <v>0</v>
      </c>
      <c r="P3" s="3" t="s">
        <v>21</v>
      </c>
      <c r="R3" s="42" t="s">
        <v>105</v>
      </c>
      <c r="S3" s="45" t="s">
        <v>104</v>
      </c>
      <c r="T3" s="4"/>
    </row>
    <row r="4" spans="1:20" x14ac:dyDescent="0.25">
      <c r="A4" s="7">
        <v>1</v>
      </c>
      <c r="D4" s="13" t="s">
        <v>16</v>
      </c>
      <c r="E4" s="14"/>
      <c r="F4" s="14"/>
      <c r="G4" s="15"/>
      <c r="H4" s="12">
        <v>0</v>
      </c>
      <c r="I4" s="7" t="s">
        <v>1</v>
      </c>
      <c r="J4" s="3">
        <v>543</v>
      </c>
      <c r="K4" s="3">
        <v>46</v>
      </c>
      <c r="L4" s="3">
        <v>46</v>
      </c>
      <c r="M4" s="3">
        <v>46</v>
      </c>
      <c r="N4" s="3">
        <v>23</v>
      </c>
      <c r="O4" s="3">
        <v>0</v>
      </c>
      <c r="P4" s="4">
        <f t="shared" ref="P4:P67" si="0">+H4+J4-K4-L4-M4-N4-O4</f>
        <v>382</v>
      </c>
      <c r="Q4" t="s">
        <v>173</v>
      </c>
      <c r="R4" s="43">
        <v>150</v>
      </c>
      <c r="S4" s="46">
        <v>500</v>
      </c>
      <c r="T4" s="4" t="s">
        <v>14</v>
      </c>
    </row>
    <row r="5" spans="1:20" x14ac:dyDescent="0.25">
      <c r="A5" s="7">
        <v>2</v>
      </c>
      <c r="D5" s="9" t="s">
        <v>14</v>
      </c>
      <c r="E5" s="10"/>
      <c r="F5" s="10"/>
      <c r="G5" s="11"/>
      <c r="H5" s="12">
        <v>0</v>
      </c>
      <c r="I5" s="7" t="s">
        <v>14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4">
        <f t="shared" si="0"/>
        <v>0</v>
      </c>
      <c r="Q5" s="1" t="s">
        <v>14</v>
      </c>
      <c r="R5" s="44">
        <v>0</v>
      </c>
      <c r="S5" s="47">
        <v>0</v>
      </c>
      <c r="T5" s="4"/>
    </row>
    <row r="6" spans="1:20" x14ac:dyDescent="0.25">
      <c r="A6" s="7">
        <v>3</v>
      </c>
      <c r="D6" s="16" t="s">
        <v>23</v>
      </c>
      <c r="E6" s="17"/>
      <c r="F6" s="17"/>
      <c r="G6" s="18"/>
      <c r="H6" s="12">
        <v>10</v>
      </c>
      <c r="I6" s="7" t="s">
        <v>2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4">
        <f t="shared" si="0"/>
        <v>10</v>
      </c>
      <c r="Q6" s="1" t="s">
        <v>14</v>
      </c>
      <c r="R6" s="44">
        <v>6</v>
      </c>
      <c r="S6" s="47">
        <v>10</v>
      </c>
      <c r="T6" s="4"/>
    </row>
    <row r="7" spans="1:20" x14ac:dyDescent="0.25">
      <c r="A7" s="7">
        <v>4</v>
      </c>
      <c r="D7" s="9" t="s">
        <v>3</v>
      </c>
      <c r="E7" s="10"/>
      <c r="F7" s="10"/>
      <c r="G7" s="11"/>
      <c r="H7" s="12">
        <v>20</v>
      </c>
      <c r="I7" s="7" t="s">
        <v>2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4">
        <f t="shared" si="0"/>
        <v>20</v>
      </c>
      <c r="Q7" s="1" t="s">
        <v>14</v>
      </c>
      <c r="R7" s="44">
        <v>6</v>
      </c>
      <c r="S7" s="47">
        <v>10</v>
      </c>
      <c r="T7" s="4"/>
    </row>
    <row r="8" spans="1:20" x14ac:dyDescent="0.25">
      <c r="A8" s="7">
        <v>5</v>
      </c>
      <c r="D8" s="16" t="s">
        <v>139</v>
      </c>
      <c r="E8" s="17"/>
      <c r="F8" s="17"/>
      <c r="G8" s="18"/>
      <c r="H8" s="12">
        <v>98</v>
      </c>
      <c r="I8" s="7" t="s">
        <v>2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4">
        <f t="shared" si="0"/>
        <v>98</v>
      </c>
      <c r="Q8" s="1" t="s">
        <v>14</v>
      </c>
      <c r="R8" s="44">
        <v>50</v>
      </c>
      <c r="S8" s="47">
        <v>400</v>
      </c>
      <c r="T8" s="4"/>
    </row>
    <row r="9" spans="1:20" x14ac:dyDescent="0.25">
      <c r="A9" s="7">
        <v>6</v>
      </c>
      <c r="D9" s="9" t="s">
        <v>24</v>
      </c>
      <c r="E9" s="10"/>
      <c r="F9" s="10"/>
      <c r="G9" s="11"/>
      <c r="H9" s="12">
        <v>100</v>
      </c>
      <c r="I9" s="7" t="s">
        <v>171</v>
      </c>
      <c r="J9" s="3">
        <v>100</v>
      </c>
      <c r="K9" s="3">
        <v>0</v>
      </c>
      <c r="L9" s="3">
        <v>0</v>
      </c>
      <c r="M9" s="3">
        <v>10</v>
      </c>
      <c r="N9" s="3">
        <v>10</v>
      </c>
      <c r="O9" s="3">
        <v>0</v>
      </c>
      <c r="P9" s="4">
        <f t="shared" si="0"/>
        <v>180</v>
      </c>
      <c r="Q9" s="1" t="s">
        <v>132</v>
      </c>
      <c r="R9" s="44">
        <v>100</v>
      </c>
      <c r="S9" s="47">
        <v>400</v>
      </c>
      <c r="T9" s="4"/>
    </row>
    <row r="10" spans="1:20" x14ac:dyDescent="0.25">
      <c r="A10" s="7">
        <v>7</v>
      </c>
      <c r="D10" s="16" t="s">
        <v>101</v>
      </c>
      <c r="E10" s="17"/>
      <c r="F10" s="17"/>
      <c r="G10" s="18"/>
      <c r="H10" s="12">
        <v>165</v>
      </c>
      <c r="I10" s="7" t="s">
        <v>171</v>
      </c>
      <c r="J10" s="3">
        <v>0</v>
      </c>
      <c r="K10" s="3">
        <v>11</v>
      </c>
      <c r="L10" s="3">
        <v>1</v>
      </c>
      <c r="M10" s="3">
        <v>21</v>
      </c>
      <c r="N10" s="3">
        <v>60</v>
      </c>
      <c r="O10" s="3">
        <v>0</v>
      </c>
      <c r="P10" s="4">
        <f t="shared" si="0"/>
        <v>72</v>
      </c>
      <c r="Q10" s="1" t="s">
        <v>171</v>
      </c>
      <c r="R10" s="44">
        <v>200</v>
      </c>
      <c r="S10" s="47">
        <v>500</v>
      </c>
      <c r="T10" s="4"/>
    </row>
    <row r="11" spans="1:20" x14ac:dyDescent="0.25">
      <c r="A11" s="7">
        <v>8</v>
      </c>
      <c r="D11" s="9" t="s">
        <v>25</v>
      </c>
      <c r="E11" s="10"/>
      <c r="F11" s="10"/>
      <c r="G11" s="11"/>
      <c r="H11" s="12">
        <v>252</v>
      </c>
      <c r="I11" s="7" t="s">
        <v>2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4">
        <f t="shared" si="0"/>
        <v>252</v>
      </c>
      <c r="Q11" s="1" t="s">
        <v>14</v>
      </c>
      <c r="R11" s="44">
        <v>50</v>
      </c>
      <c r="S11" s="47">
        <v>300</v>
      </c>
      <c r="T11" s="4"/>
    </row>
    <row r="12" spans="1:20" x14ac:dyDescent="0.25">
      <c r="A12" s="7">
        <v>9</v>
      </c>
      <c r="D12" s="16" t="s">
        <v>174</v>
      </c>
      <c r="E12" s="17"/>
      <c r="F12" s="17"/>
      <c r="G12" s="18"/>
      <c r="H12" s="12">
        <v>80</v>
      </c>
      <c r="I12" s="7" t="s">
        <v>2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4">
        <f t="shared" si="0"/>
        <v>80</v>
      </c>
      <c r="Q12" s="1" t="s">
        <v>14</v>
      </c>
      <c r="R12" s="44">
        <v>45</v>
      </c>
      <c r="S12" s="47">
        <v>200</v>
      </c>
      <c r="T12" s="4"/>
    </row>
    <row r="13" spans="1:20" x14ac:dyDescent="0.25">
      <c r="A13" s="7">
        <v>10</v>
      </c>
      <c r="D13" s="9" t="s">
        <v>6</v>
      </c>
      <c r="E13" s="10"/>
      <c r="F13" s="10"/>
      <c r="G13" s="11"/>
      <c r="H13" s="12">
        <v>10</v>
      </c>
      <c r="I13" s="7" t="s">
        <v>2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4">
        <f t="shared" si="0"/>
        <v>10</v>
      </c>
      <c r="Q13" s="1" t="s">
        <v>14</v>
      </c>
      <c r="R13" s="44">
        <v>10</v>
      </c>
      <c r="S13" s="46">
        <v>100</v>
      </c>
      <c r="T13" s="4"/>
    </row>
    <row r="14" spans="1:20" x14ac:dyDescent="0.25">
      <c r="A14" s="7">
        <v>11</v>
      </c>
      <c r="D14" s="16" t="s">
        <v>7</v>
      </c>
      <c r="E14" s="17"/>
      <c r="F14" s="17"/>
      <c r="G14" s="18"/>
      <c r="H14" s="12">
        <v>4</v>
      </c>
      <c r="I14" s="7" t="s">
        <v>171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4">
        <f t="shared" si="0"/>
        <v>4</v>
      </c>
      <c r="Q14" s="1" t="s">
        <v>14</v>
      </c>
      <c r="R14" s="44">
        <v>10</v>
      </c>
      <c r="S14" s="47">
        <v>50</v>
      </c>
      <c r="T14" s="4"/>
    </row>
    <row r="15" spans="1:20" x14ac:dyDescent="0.25">
      <c r="A15" s="7">
        <v>12</v>
      </c>
      <c r="D15" s="9" t="s">
        <v>198</v>
      </c>
      <c r="E15" s="10"/>
      <c r="F15" s="10"/>
      <c r="G15" s="11"/>
      <c r="H15" s="12">
        <v>4</v>
      </c>
      <c r="I15" s="7" t="s">
        <v>171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4">
        <f t="shared" si="0"/>
        <v>4</v>
      </c>
      <c r="Q15" s="1" t="s">
        <v>132</v>
      </c>
      <c r="R15" s="44">
        <v>5</v>
      </c>
      <c r="S15" s="47">
        <v>50</v>
      </c>
      <c r="T15" s="4"/>
    </row>
    <row r="16" spans="1:20" x14ac:dyDescent="0.25">
      <c r="A16" s="7">
        <v>13</v>
      </c>
      <c r="D16" s="100"/>
      <c r="E16" s="89"/>
      <c r="F16" s="90" t="s">
        <v>111</v>
      </c>
      <c r="G16" s="87"/>
      <c r="H16" s="12">
        <v>101</v>
      </c>
      <c r="I16" s="7" t="s">
        <v>2</v>
      </c>
      <c r="J16" s="3">
        <v>0</v>
      </c>
      <c r="K16" s="3">
        <v>0</v>
      </c>
      <c r="L16" s="3">
        <v>0</v>
      </c>
      <c r="M16" s="3">
        <v>0</v>
      </c>
      <c r="N16" s="3">
        <v>10</v>
      </c>
      <c r="O16" s="3">
        <v>0</v>
      </c>
      <c r="P16" s="4">
        <f t="shared" si="0"/>
        <v>91</v>
      </c>
      <c r="Q16" s="1" t="s">
        <v>14</v>
      </c>
      <c r="R16" s="44">
        <v>100</v>
      </c>
      <c r="S16" s="46">
        <v>500</v>
      </c>
      <c r="T16" s="4"/>
    </row>
    <row r="17" spans="1:20" x14ac:dyDescent="0.25">
      <c r="A17" s="7">
        <v>14</v>
      </c>
      <c r="D17" s="9" t="s">
        <v>73</v>
      </c>
      <c r="E17" s="10"/>
      <c r="F17" s="10"/>
      <c r="G17" s="11"/>
      <c r="H17" s="12">
        <v>590</v>
      </c>
      <c r="I17" s="7" t="s">
        <v>2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4">
        <f t="shared" si="0"/>
        <v>590</v>
      </c>
      <c r="Q17" s="1" t="s">
        <v>14</v>
      </c>
      <c r="R17" s="44">
        <v>0</v>
      </c>
      <c r="S17" s="46"/>
      <c r="T17" s="4"/>
    </row>
    <row r="18" spans="1:20" x14ac:dyDescent="0.25">
      <c r="A18" s="7">
        <v>15</v>
      </c>
      <c r="D18" s="16" t="s">
        <v>28</v>
      </c>
      <c r="E18" s="17"/>
      <c r="F18" s="17"/>
      <c r="G18" s="18"/>
      <c r="H18" s="12">
        <v>50</v>
      </c>
      <c r="I18" s="7" t="s">
        <v>2</v>
      </c>
      <c r="J18" s="3">
        <v>0</v>
      </c>
      <c r="K18" s="3">
        <v>0</v>
      </c>
      <c r="L18" s="3">
        <v>27</v>
      </c>
      <c r="M18" s="3">
        <v>0</v>
      </c>
      <c r="N18" s="3">
        <v>17</v>
      </c>
      <c r="O18" s="3">
        <v>0</v>
      </c>
      <c r="P18" s="4">
        <f t="shared" si="0"/>
        <v>6</v>
      </c>
      <c r="Q18" s="1" t="s">
        <v>14</v>
      </c>
      <c r="R18" s="44">
        <v>50</v>
      </c>
      <c r="S18" s="47">
        <v>100</v>
      </c>
      <c r="T18" s="4"/>
    </row>
    <row r="19" spans="1:20" ht="15.75" thickBot="1" x14ac:dyDescent="0.3">
      <c r="A19" s="7">
        <v>16</v>
      </c>
      <c r="D19" s="13" t="s">
        <v>29</v>
      </c>
      <c r="E19" s="14"/>
      <c r="F19" s="14"/>
      <c r="G19" s="15"/>
      <c r="H19" s="12">
        <v>50</v>
      </c>
      <c r="I19" s="7" t="s">
        <v>2</v>
      </c>
      <c r="J19" s="3">
        <v>0</v>
      </c>
      <c r="K19" s="3">
        <v>0</v>
      </c>
      <c r="L19" s="3">
        <v>27</v>
      </c>
      <c r="M19" s="3">
        <v>0</v>
      </c>
      <c r="N19" s="3">
        <v>17</v>
      </c>
      <c r="O19" s="3">
        <v>0</v>
      </c>
      <c r="P19" s="4">
        <f t="shared" si="0"/>
        <v>6</v>
      </c>
      <c r="Q19" s="1" t="s">
        <v>14</v>
      </c>
      <c r="R19" s="44">
        <v>50</v>
      </c>
      <c r="S19" s="47">
        <v>100</v>
      </c>
      <c r="T19" s="4"/>
    </row>
    <row r="20" spans="1:20" ht="15.75" thickBot="1" x14ac:dyDescent="0.3">
      <c r="A20" s="7">
        <v>17</v>
      </c>
      <c r="D20" s="102" t="s">
        <v>200</v>
      </c>
      <c r="E20" s="103"/>
      <c r="F20" s="103"/>
      <c r="G20" s="104"/>
      <c r="H20" s="101"/>
      <c r="I20" s="7" t="s">
        <v>2</v>
      </c>
      <c r="J20" s="3">
        <v>20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4">
        <f t="shared" si="0"/>
        <v>20</v>
      </c>
      <c r="Q20" s="1"/>
      <c r="R20" s="44">
        <v>10</v>
      </c>
      <c r="S20" s="47">
        <v>50</v>
      </c>
      <c r="T20" s="4"/>
    </row>
    <row r="21" spans="1:20" x14ac:dyDescent="0.25">
      <c r="A21" s="7">
        <v>18</v>
      </c>
      <c r="D21" s="19" t="s">
        <v>129</v>
      </c>
      <c r="E21" s="20"/>
      <c r="F21" s="20"/>
      <c r="G21" s="21"/>
      <c r="H21" s="12">
        <v>15</v>
      </c>
      <c r="I21" s="7" t="s">
        <v>2</v>
      </c>
      <c r="J21" s="3">
        <v>20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4">
        <f t="shared" si="0"/>
        <v>35</v>
      </c>
      <c r="Q21" s="1" t="s">
        <v>14</v>
      </c>
      <c r="R21" s="44">
        <v>10</v>
      </c>
      <c r="S21" s="46">
        <v>50</v>
      </c>
      <c r="T21" s="4"/>
    </row>
    <row r="22" spans="1:20" x14ac:dyDescent="0.25">
      <c r="A22" s="7">
        <v>19</v>
      </c>
      <c r="D22" s="55" t="s">
        <v>184</v>
      </c>
      <c r="E22" s="56"/>
      <c r="F22" s="56"/>
      <c r="G22" s="57"/>
      <c r="H22" s="12">
        <v>160</v>
      </c>
      <c r="I22" s="59" t="s">
        <v>1</v>
      </c>
      <c r="J22" s="3">
        <v>750</v>
      </c>
      <c r="K22" s="3">
        <v>30</v>
      </c>
      <c r="L22" s="3">
        <v>110</v>
      </c>
      <c r="M22" s="3">
        <v>60</v>
      </c>
      <c r="N22" s="3">
        <v>50</v>
      </c>
      <c r="O22" s="3">
        <v>0</v>
      </c>
      <c r="P22" s="46">
        <f t="shared" si="0"/>
        <v>660</v>
      </c>
      <c r="Q22" s="1" t="s">
        <v>75</v>
      </c>
      <c r="R22" s="44">
        <v>150</v>
      </c>
      <c r="S22" s="47">
        <v>400</v>
      </c>
      <c r="T22" s="4"/>
    </row>
    <row r="23" spans="1:20" x14ac:dyDescent="0.25">
      <c r="A23" s="7">
        <v>20</v>
      </c>
      <c r="D23" s="9" t="s">
        <v>32</v>
      </c>
      <c r="E23" s="10"/>
      <c r="F23" s="10"/>
      <c r="G23" s="11"/>
      <c r="H23" s="12">
        <v>800</v>
      </c>
      <c r="I23" s="7" t="s">
        <v>2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4">
        <f t="shared" si="0"/>
        <v>800</v>
      </c>
      <c r="Q23" s="1" t="s">
        <v>14</v>
      </c>
      <c r="R23" s="44">
        <v>0</v>
      </c>
      <c r="S23" s="46">
        <v>0</v>
      </c>
      <c r="T23" s="4"/>
    </row>
    <row r="24" spans="1:20" x14ac:dyDescent="0.25">
      <c r="A24" s="7">
        <v>21</v>
      </c>
      <c r="D24" s="16" t="s">
        <v>188</v>
      </c>
      <c r="E24" s="17"/>
      <c r="F24" s="17"/>
      <c r="G24" s="18"/>
      <c r="H24" s="12">
        <v>90</v>
      </c>
      <c r="I24" s="7" t="s">
        <v>2</v>
      </c>
      <c r="J24" s="3">
        <v>0</v>
      </c>
      <c r="K24" s="3">
        <v>0</v>
      </c>
      <c r="L24" s="3">
        <v>0</v>
      </c>
      <c r="M24" s="3">
        <v>0</v>
      </c>
      <c r="N24" s="3">
        <v>55</v>
      </c>
      <c r="O24" s="3">
        <v>0</v>
      </c>
      <c r="P24" s="4">
        <f t="shared" si="0"/>
        <v>35</v>
      </c>
      <c r="Q24" s="1" t="s">
        <v>14</v>
      </c>
      <c r="R24" s="44">
        <v>10</v>
      </c>
      <c r="S24" s="46">
        <v>100</v>
      </c>
      <c r="T24" s="4"/>
    </row>
    <row r="25" spans="1:20" x14ac:dyDescent="0.25">
      <c r="A25" s="7">
        <v>22</v>
      </c>
      <c r="D25" s="9" t="s">
        <v>34</v>
      </c>
      <c r="E25" s="10"/>
      <c r="F25" s="10"/>
      <c r="G25" s="11"/>
      <c r="H25" s="12">
        <v>32</v>
      </c>
      <c r="I25" s="7" t="s">
        <v>2</v>
      </c>
      <c r="J25" s="3">
        <v>0</v>
      </c>
      <c r="K25" s="3">
        <v>0</v>
      </c>
      <c r="L25" s="3">
        <v>7</v>
      </c>
      <c r="M25" s="3">
        <v>0</v>
      </c>
      <c r="N25" s="3">
        <v>0</v>
      </c>
      <c r="O25" s="3">
        <v>0</v>
      </c>
      <c r="P25" s="4">
        <f t="shared" si="0"/>
        <v>25</v>
      </c>
      <c r="Q25" s="1" t="s">
        <v>14</v>
      </c>
      <c r="R25" s="44">
        <v>20</v>
      </c>
      <c r="S25" s="46">
        <v>50</v>
      </c>
      <c r="T25" s="4"/>
    </row>
    <row r="26" spans="1:20" x14ac:dyDescent="0.25">
      <c r="A26" s="7">
        <v>23</v>
      </c>
      <c r="D26" s="16" t="s">
        <v>142</v>
      </c>
      <c r="E26" s="17"/>
      <c r="F26" s="17"/>
      <c r="G26" s="18"/>
      <c r="H26" s="12">
        <v>69</v>
      </c>
      <c r="I26" s="7" t="s">
        <v>2</v>
      </c>
      <c r="J26" s="3">
        <v>0</v>
      </c>
      <c r="K26" s="3">
        <v>1</v>
      </c>
      <c r="L26" s="3">
        <v>0</v>
      </c>
      <c r="M26" s="3">
        <v>0</v>
      </c>
      <c r="N26" s="3">
        <v>0</v>
      </c>
      <c r="O26" s="3">
        <v>0</v>
      </c>
      <c r="P26" s="4">
        <f t="shared" si="0"/>
        <v>68</v>
      </c>
      <c r="Q26" s="1" t="s">
        <v>14</v>
      </c>
      <c r="R26" s="44">
        <v>20</v>
      </c>
      <c r="S26" s="47">
        <v>50</v>
      </c>
      <c r="T26" s="4"/>
    </row>
    <row r="27" spans="1:20" x14ac:dyDescent="0.25">
      <c r="A27" s="7">
        <v>24</v>
      </c>
      <c r="D27" s="9" t="s">
        <v>141</v>
      </c>
      <c r="E27" s="10"/>
      <c r="F27" s="10"/>
      <c r="G27" s="11"/>
      <c r="H27" s="12">
        <v>69</v>
      </c>
      <c r="I27" s="7" t="s">
        <v>2</v>
      </c>
      <c r="J27" s="3">
        <v>0</v>
      </c>
      <c r="K27" s="3">
        <v>1</v>
      </c>
      <c r="L27" s="3">
        <v>0</v>
      </c>
      <c r="M27" s="3">
        <v>0</v>
      </c>
      <c r="N27" s="3">
        <v>0</v>
      </c>
      <c r="O27" s="3">
        <v>0</v>
      </c>
      <c r="P27" s="4">
        <f t="shared" si="0"/>
        <v>68</v>
      </c>
      <c r="Q27" s="1"/>
      <c r="R27" s="44">
        <v>20</v>
      </c>
      <c r="S27" s="47">
        <v>50</v>
      </c>
      <c r="T27" s="4"/>
    </row>
    <row r="28" spans="1:20" x14ac:dyDescent="0.25">
      <c r="A28" s="7">
        <v>25</v>
      </c>
      <c r="D28" s="9" t="s">
        <v>137</v>
      </c>
      <c r="E28" s="10"/>
      <c r="F28" s="10"/>
      <c r="G28" s="11"/>
      <c r="H28" s="12">
        <v>21</v>
      </c>
      <c r="I28" s="7" t="s">
        <v>2</v>
      </c>
      <c r="J28" s="3">
        <v>0</v>
      </c>
      <c r="K28" s="3">
        <v>1</v>
      </c>
      <c r="L28" s="3">
        <v>7</v>
      </c>
      <c r="M28" s="3">
        <v>0</v>
      </c>
      <c r="N28" s="3">
        <v>0</v>
      </c>
      <c r="O28" s="3">
        <v>0</v>
      </c>
      <c r="P28" s="4">
        <f t="shared" si="0"/>
        <v>13</v>
      </c>
      <c r="Q28" s="1" t="s">
        <v>14</v>
      </c>
      <c r="R28" s="44">
        <v>20</v>
      </c>
      <c r="S28" s="47">
        <v>50</v>
      </c>
      <c r="T28" s="4"/>
    </row>
    <row r="29" spans="1:20" x14ac:dyDescent="0.25">
      <c r="A29" s="7">
        <v>26</v>
      </c>
      <c r="D29" s="9" t="s">
        <v>138</v>
      </c>
      <c r="E29" s="10"/>
      <c r="F29" s="10"/>
      <c r="G29" s="11"/>
      <c r="H29" s="12">
        <v>7</v>
      </c>
      <c r="I29" s="7" t="s">
        <v>2</v>
      </c>
      <c r="J29" s="3">
        <v>0</v>
      </c>
      <c r="K29" s="3">
        <v>1</v>
      </c>
      <c r="L29" s="3">
        <v>0</v>
      </c>
      <c r="M29" s="3">
        <v>0</v>
      </c>
      <c r="N29" s="3">
        <v>0</v>
      </c>
      <c r="O29" s="3">
        <v>0</v>
      </c>
      <c r="P29" s="4">
        <f t="shared" si="0"/>
        <v>6</v>
      </c>
      <c r="Q29" s="1"/>
      <c r="R29" s="44">
        <v>20</v>
      </c>
      <c r="S29" s="47">
        <v>50</v>
      </c>
      <c r="T29" s="4"/>
    </row>
    <row r="30" spans="1:20" x14ac:dyDescent="0.25">
      <c r="A30" s="7">
        <v>27</v>
      </c>
      <c r="D30" s="16" t="s">
        <v>35</v>
      </c>
      <c r="E30" s="17"/>
      <c r="F30" s="17"/>
      <c r="G30" s="18"/>
      <c r="H30" s="12">
        <v>150</v>
      </c>
      <c r="I30" s="7" t="s">
        <v>2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4">
        <f t="shared" si="0"/>
        <v>150</v>
      </c>
      <c r="Q30" s="1" t="s">
        <v>14</v>
      </c>
      <c r="R30" s="44">
        <v>50</v>
      </c>
      <c r="S30" s="47">
        <v>100</v>
      </c>
      <c r="T30" s="4"/>
    </row>
    <row r="31" spans="1:20" x14ac:dyDescent="0.25">
      <c r="A31" s="7">
        <v>28</v>
      </c>
      <c r="D31" s="9" t="s">
        <v>36</v>
      </c>
      <c r="E31" s="10"/>
      <c r="F31" s="10"/>
      <c r="G31" s="11"/>
      <c r="H31" s="12">
        <v>15</v>
      </c>
      <c r="I31" s="7" t="s">
        <v>2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4">
        <f t="shared" si="0"/>
        <v>15</v>
      </c>
      <c r="Q31" s="1" t="s">
        <v>14</v>
      </c>
      <c r="R31" s="44">
        <v>50</v>
      </c>
      <c r="S31" s="47">
        <v>100</v>
      </c>
      <c r="T31" s="4"/>
    </row>
    <row r="32" spans="1:20" x14ac:dyDescent="0.25">
      <c r="A32" s="7">
        <v>29</v>
      </c>
      <c r="D32" s="16" t="s">
        <v>37</v>
      </c>
      <c r="E32" s="17"/>
      <c r="F32" s="17"/>
      <c r="G32" s="18"/>
      <c r="H32" s="12">
        <v>98</v>
      </c>
      <c r="I32" s="7" t="s">
        <v>2</v>
      </c>
      <c r="J32" s="3">
        <v>0</v>
      </c>
      <c r="K32" s="3">
        <v>1</v>
      </c>
      <c r="L32" s="3">
        <v>0</v>
      </c>
      <c r="M32" s="3">
        <v>0</v>
      </c>
      <c r="N32" s="3">
        <v>0</v>
      </c>
      <c r="O32" s="3">
        <v>0</v>
      </c>
      <c r="P32" s="4">
        <f t="shared" si="0"/>
        <v>97</v>
      </c>
      <c r="Q32" s="1" t="s">
        <v>14</v>
      </c>
      <c r="R32" s="44">
        <v>20</v>
      </c>
      <c r="S32" s="47">
        <v>50</v>
      </c>
      <c r="T32" s="4"/>
    </row>
    <row r="33" spans="1:20" x14ac:dyDescent="0.25">
      <c r="A33" s="7">
        <v>30</v>
      </c>
      <c r="D33" s="9" t="s">
        <v>38</v>
      </c>
      <c r="E33" s="10"/>
      <c r="F33" s="10"/>
      <c r="G33" s="11"/>
      <c r="H33" s="12">
        <v>65</v>
      </c>
      <c r="I33" s="7" t="s">
        <v>2</v>
      </c>
      <c r="J33" s="3">
        <v>0</v>
      </c>
      <c r="K33" s="3">
        <v>3</v>
      </c>
      <c r="L33" s="3">
        <v>10</v>
      </c>
      <c r="M33" s="3">
        <v>6</v>
      </c>
      <c r="N33" s="3">
        <v>4</v>
      </c>
      <c r="O33" s="3">
        <v>0</v>
      </c>
      <c r="P33" s="4">
        <f t="shared" si="0"/>
        <v>42</v>
      </c>
      <c r="Q33" s="1" t="s">
        <v>14</v>
      </c>
      <c r="R33" s="44">
        <v>50</v>
      </c>
      <c r="S33" s="47">
        <v>100</v>
      </c>
      <c r="T33" s="4"/>
    </row>
    <row r="34" spans="1:20" x14ac:dyDescent="0.25">
      <c r="A34" s="7">
        <v>31</v>
      </c>
      <c r="D34" s="16" t="s">
        <v>39</v>
      </c>
      <c r="E34" s="17"/>
      <c r="F34" s="17"/>
      <c r="G34" s="18"/>
      <c r="H34" s="12">
        <v>69</v>
      </c>
      <c r="I34" s="7" t="s">
        <v>2</v>
      </c>
      <c r="J34" s="3">
        <v>0</v>
      </c>
      <c r="K34" s="3">
        <v>1</v>
      </c>
      <c r="L34" s="3">
        <v>0</v>
      </c>
      <c r="M34" s="3">
        <v>0</v>
      </c>
      <c r="N34" s="3">
        <v>0</v>
      </c>
      <c r="O34" s="3">
        <v>0</v>
      </c>
      <c r="P34" s="4">
        <f t="shared" si="0"/>
        <v>68</v>
      </c>
      <c r="Q34" s="1" t="s">
        <v>14</v>
      </c>
      <c r="R34" s="44">
        <v>20</v>
      </c>
      <c r="S34" s="47">
        <v>50</v>
      </c>
      <c r="T34" s="4"/>
    </row>
    <row r="35" spans="1:20" x14ac:dyDescent="0.25">
      <c r="A35" s="7">
        <v>32</v>
      </c>
      <c r="D35" s="9" t="s">
        <v>40</v>
      </c>
      <c r="E35" s="10"/>
      <c r="F35" s="10"/>
      <c r="G35" s="11"/>
      <c r="H35" s="12">
        <v>1050</v>
      </c>
      <c r="I35" s="7" t="s">
        <v>2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4">
        <f t="shared" si="0"/>
        <v>1050</v>
      </c>
      <c r="Q35" s="1" t="s">
        <v>14</v>
      </c>
      <c r="R35" s="44">
        <v>0</v>
      </c>
      <c r="S35" s="46">
        <v>0</v>
      </c>
      <c r="T35" s="4"/>
    </row>
    <row r="36" spans="1:20" x14ac:dyDescent="0.25">
      <c r="A36" s="7">
        <v>33</v>
      </c>
      <c r="D36" s="9" t="s">
        <v>9</v>
      </c>
      <c r="E36" s="10"/>
      <c r="F36" s="10"/>
      <c r="G36" s="11"/>
      <c r="H36" s="83">
        <v>110</v>
      </c>
      <c r="I36" s="7" t="s">
        <v>132</v>
      </c>
      <c r="J36" s="3">
        <v>0</v>
      </c>
      <c r="K36" s="3">
        <v>21</v>
      </c>
      <c r="L36" s="3">
        <v>18</v>
      </c>
      <c r="M36" s="3">
        <v>0</v>
      </c>
      <c r="N36" s="3">
        <v>29</v>
      </c>
      <c r="O36" s="3">
        <v>0</v>
      </c>
      <c r="P36" s="4">
        <f t="shared" si="0"/>
        <v>42</v>
      </c>
      <c r="Q36" s="1" t="s">
        <v>132</v>
      </c>
      <c r="R36" s="44">
        <v>50</v>
      </c>
      <c r="S36" s="47">
        <v>100</v>
      </c>
      <c r="T36" s="4"/>
    </row>
    <row r="37" spans="1:20" x14ac:dyDescent="0.25">
      <c r="A37" s="7">
        <v>34</v>
      </c>
      <c r="D37" s="19" t="s">
        <v>166</v>
      </c>
      <c r="E37" s="20"/>
      <c r="F37" s="20"/>
      <c r="G37" s="21"/>
      <c r="H37" s="69">
        <v>150</v>
      </c>
      <c r="I37" s="7" t="s">
        <v>2</v>
      </c>
      <c r="J37" s="3">
        <v>0</v>
      </c>
      <c r="K37" s="3">
        <v>21</v>
      </c>
      <c r="L37" s="3">
        <v>18</v>
      </c>
      <c r="M37" s="3">
        <v>0</v>
      </c>
      <c r="N37" s="3">
        <v>29</v>
      </c>
      <c r="O37" s="3">
        <v>0</v>
      </c>
      <c r="P37" s="4">
        <f t="shared" si="0"/>
        <v>82</v>
      </c>
      <c r="Q37" s="1" t="s">
        <v>14</v>
      </c>
      <c r="R37" s="44">
        <v>50</v>
      </c>
      <c r="S37" s="46">
        <v>100</v>
      </c>
      <c r="T37" s="4"/>
    </row>
    <row r="38" spans="1:20" x14ac:dyDescent="0.25">
      <c r="A38" s="7">
        <v>35</v>
      </c>
      <c r="D38" s="16" t="s">
        <v>143</v>
      </c>
      <c r="E38" s="17"/>
      <c r="F38" s="17"/>
      <c r="G38" s="18"/>
      <c r="H38" s="12">
        <v>110</v>
      </c>
      <c r="I38" s="7" t="s">
        <v>2</v>
      </c>
      <c r="J38" s="3">
        <v>0</v>
      </c>
      <c r="K38" s="3">
        <v>21</v>
      </c>
      <c r="L38" s="3">
        <v>18</v>
      </c>
      <c r="M38" s="3">
        <v>0</v>
      </c>
      <c r="N38" s="3">
        <v>29</v>
      </c>
      <c r="O38" s="3">
        <v>0</v>
      </c>
      <c r="P38" s="4">
        <f t="shared" si="0"/>
        <v>42</v>
      </c>
      <c r="Q38" s="1" t="s">
        <v>14</v>
      </c>
      <c r="R38" s="44">
        <v>50</v>
      </c>
      <c r="S38" s="46">
        <v>100</v>
      </c>
      <c r="T38" s="4"/>
    </row>
    <row r="39" spans="1:20" x14ac:dyDescent="0.25">
      <c r="A39" s="7">
        <v>36</v>
      </c>
      <c r="D39" s="9" t="s">
        <v>144</v>
      </c>
      <c r="E39" s="10"/>
      <c r="F39" s="10"/>
      <c r="G39" s="11"/>
      <c r="H39" s="12">
        <v>110</v>
      </c>
      <c r="I39" s="7" t="s">
        <v>2</v>
      </c>
      <c r="J39" s="3">
        <v>0</v>
      </c>
      <c r="K39" s="3">
        <v>21</v>
      </c>
      <c r="L39" s="3">
        <v>18</v>
      </c>
      <c r="M39" s="3">
        <v>0</v>
      </c>
      <c r="N39" s="3">
        <v>29</v>
      </c>
      <c r="O39" s="3">
        <v>0</v>
      </c>
      <c r="P39" s="4">
        <f t="shared" si="0"/>
        <v>42</v>
      </c>
      <c r="Q39" s="1" t="s">
        <v>14</v>
      </c>
      <c r="R39" s="44">
        <v>50</v>
      </c>
      <c r="S39" s="47">
        <v>100</v>
      </c>
      <c r="T39" s="4"/>
    </row>
    <row r="40" spans="1:20" x14ac:dyDescent="0.25">
      <c r="A40" s="7">
        <v>37</v>
      </c>
      <c r="D40" s="16" t="s">
        <v>42</v>
      </c>
      <c r="E40" s="17"/>
      <c r="F40" s="17"/>
      <c r="G40" s="18"/>
      <c r="H40" s="12">
        <v>110</v>
      </c>
      <c r="I40" s="7" t="s">
        <v>2</v>
      </c>
      <c r="J40" s="3">
        <v>0</v>
      </c>
      <c r="K40" s="3">
        <v>21</v>
      </c>
      <c r="L40" s="3">
        <v>18</v>
      </c>
      <c r="M40" s="3">
        <v>0</v>
      </c>
      <c r="N40" s="3">
        <v>29</v>
      </c>
      <c r="O40" s="3">
        <v>0</v>
      </c>
      <c r="P40" s="4">
        <f t="shared" si="0"/>
        <v>42</v>
      </c>
      <c r="Q40" s="1" t="s">
        <v>14</v>
      </c>
      <c r="R40" s="44">
        <v>50</v>
      </c>
      <c r="S40" s="47">
        <v>100</v>
      </c>
      <c r="T40" s="4"/>
    </row>
    <row r="41" spans="1:20" x14ac:dyDescent="0.25">
      <c r="A41" s="7">
        <v>38</v>
      </c>
      <c r="D41" s="9" t="s">
        <v>133</v>
      </c>
      <c r="E41" s="10"/>
      <c r="F41" s="10"/>
      <c r="G41" s="11"/>
      <c r="H41" s="12">
        <v>47</v>
      </c>
      <c r="I41" s="7" t="s">
        <v>2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4">
        <f t="shared" si="0"/>
        <v>47</v>
      </c>
      <c r="Q41" s="1" t="s">
        <v>14</v>
      </c>
      <c r="R41" s="44">
        <v>50</v>
      </c>
      <c r="S41" s="47">
        <v>100</v>
      </c>
      <c r="T41" s="4"/>
    </row>
    <row r="42" spans="1:20" x14ac:dyDescent="0.25">
      <c r="A42" s="7">
        <v>39</v>
      </c>
      <c r="D42" s="16" t="s">
        <v>145</v>
      </c>
      <c r="E42" s="17"/>
      <c r="F42" s="17"/>
      <c r="G42" s="18"/>
      <c r="H42" s="12">
        <v>47</v>
      </c>
      <c r="I42" s="7" t="s">
        <v>2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4">
        <f t="shared" si="0"/>
        <v>47</v>
      </c>
      <c r="Q42" s="1" t="s">
        <v>14</v>
      </c>
      <c r="R42" s="44">
        <v>50</v>
      </c>
      <c r="S42" s="46">
        <v>100</v>
      </c>
      <c r="T42" s="4"/>
    </row>
    <row r="43" spans="1:20" x14ac:dyDescent="0.25">
      <c r="A43" s="7">
        <v>40</v>
      </c>
      <c r="D43" s="9" t="s">
        <v>190</v>
      </c>
      <c r="E43" s="10"/>
      <c r="F43" s="10" t="s">
        <v>14</v>
      </c>
      <c r="G43" s="11" t="s">
        <v>14</v>
      </c>
      <c r="H43" s="12">
        <v>70</v>
      </c>
      <c r="I43" s="7" t="s">
        <v>75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4">
        <f t="shared" si="0"/>
        <v>70</v>
      </c>
      <c r="Q43" s="1" t="s">
        <v>75</v>
      </c>
      <c r="R43" s="44">
        <v>50</v>
      </c>
      <c r="S43" s="47">
        <v>200</v>
      </c>
      <c r="T43" s="4"/>
    </row>
    <row r="44" spans="1:20" x14ac:dyDescent="0.25">
      <c r="A44" s="7">
        <v>41</v>
      </c>
      <c r="D44" s="16" t="s">
        <v>10</v>
      </c>
      <c r="E44" s="17"/>
      <c r="F44" s="17"/>
      <c r="G44" s="18"/>
      <c r="H44" s="12">
        <v>14</v>
      </c>
      <c r="I44" s="7" t="s">
        <v>2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4">
        <f t="shared" si="0"/>
        <v>14</v>
      </c>
      <c r="Q44" s="1" t="s">
        <v>132</v>
      </c>
      <c r="R44" s="44">
        <v>20</v>
      </c>
      <c r="S44" s="47">
        <v>50</v>
      </c>
      <c r="T44" s="4"/>
    </row>
    <row r="45" spans="1:20" x14ac:dyDescent="0.25">
      <c r="A45" s="7">
        <v>42</v>
      </c>
      <c r="D45" s="9" t="s">
        <v>45</v>
      </c>
      <c r="E45" s="10"/>
      <c r="F45" s="10"/>
      <c r="G45" s="11"/>
      <c r="H45" s="12">
        <v>24</v>
      </c>
      <c r="I45" s="7" t="s">
        <v>2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4">
        <f t="shared" si="0"/>
        <v>24</v>
      </c>
      <c r="Q45" s="1" t="s">
        <v>14</v>
      </c>
      <c r="R45" s="44">
        <v>20</v>
      </c>
      <c r="S45" s="47">
        <v>50</v>
      </c>
      <c r="T45" s="4"/>
    </row>
    <row r="46" spans="1:20" x14ac:dyDescent="0.25">
      <c r="A46" s="7">
        <v>43</v>
      </c>
      <c r="D46" s="16" t="s">
        <v>46</v>
      </c>
      <c r="E46" s="17"/>
      <c r="F46" s="17"/>
      <c r="G46" s="18"/>
      <c r="H46" s="12">
        <v>24</v>
      </c>
      <c r="I46" s="7" t="s">
        <v>2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4">
        <f t="shared" si="0"/>
        <v>24</v>
      </c>
      <c r="Q46" s="1" t="s">
        <v>14</v>
      </c>
      <c r="R46" s="44">
        <v>20</v>
      </c>
      <c r="S46" s="47">
        <v>50</v>
      </c>
      <c r="T46" s="4"/>
    </row>
    <row r="47" spans="1:20" x14ac:dyDescent="0.25">
      <c r="A47" s="7">
        <v>44</v>
      </c>
      <c r="D47" s="9" t="s">
        <v>47</v>
      </c>
      <c r="E47" s="10"/>
      <c r="F47" s="10"/>
      <c r="G47" s="11" t="s">
        <v>14</v>
      </c>
      <c r="H47" s="12">
        <v>24</v>
      </c>
      <c r="I47" s="7" t="s">
        <v>2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4">
        <f t="shared" si="0"/>
        <v>24</v>
      </c>
      <c r="Q47" s="1" t="s">
        <v>14</v>
      </c>
      <c r="R47" s="44">
        <v>20</v>
      </c>
      <c r="S47" s="47">
        <v>50</v>
      </c>
      <c r="T47" s="4"/>
    </row>
    <row r="48" spans="1:20" x14ac:dyDescent="0.25">
      <c r="A48" s="7">
        <v>45</v>
      </c>
      <c r="D48" s="16" t="s">
        <v>175</v>
      </c>
      <c r="E48" s="17"/>
      <c r="F48" s="17"/>
      <c r="G48" s="18"/>
      <c r="H48" s="12">
        <v>300</v>
      </c>
      <c r="I48" s="7" t="s">
        <v>2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4">
        <f t="shared" si="0"/>
        <v>300</v>
      </c>
      <c r="Q48" s="1" t="s">
        <v>14</v>
      </c>
      <c r="R48" s="44">
        <v>500</v>
      </c>
      <c r="S48" s="47">
        <v>2000</v>
      </c>
      <c r="T48" s="4"/>
    </row>
    <row r="49" spans="1:20" x14ac:dyDescent="0.25">
      <c r="A49" s="7">
        <v>46</v>
      </c>
      <c r="D49" s="9" t="s">
        <v>48</v>
      </c>
      <c r="E49" s="10"/>
      <c r="F49" s="10"/>
      <c r="G49" s="11"/>
      <c r="H49" s="12">
        <v>13</v>
      </c>
      <c r="I49" s="7" t="s">
        <v>2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4">
        <f t="shared" si="0"/>
        <v>13</v>
      </c>
      <c r="Q49" s="1" t="s">
        <v>14</v>
      </c>
      <c r="R49" s="44">
        <v>10</v>
      </c>
      <c r="S49" s="47">
        <v>20</v>
      </c>
      <c r="T49" s="4" t="s">
        <v>14</v>
      </c>
    </row>
    <row r="50" spans="1:20" x14ac:dyDescent="0.25">
      <c r="A50" s="7">
        <v>47</v>
      </c>
      <c r="D50" s="16" t="s">
        <v>49</v>
      </c>
      <c r="E50" s="17"/>
      <c r="F50" s="17"/>
      <c r="G50" s="18"/>
      <c r="H50" s="12">
        <v>80</v>
      </c>
      <c r="I50" s="7" t="s">
        <v>2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4">
        <f t="shared" si="0"/>
        <v>80</v>
      </c>
      <c r="Q50" s="1" t="s">
        <v>14</v>
      </c>
      <c r="R50" s="44">
        <v>10</v>
      </c>
      <c r="S50" s="47">
        <v>20</v>
      </c>
      <c r="T50" s="4"/>
    </row>
    <row r="51" spans="1:20" x14ac:dyDescent="0.25">
      <c r="A51" s="7">
        <v>48</v>
      </c>
      <c r="D51" s="9" t="s">
        <v>189</v>
      </c>
      <c r="E51" s="10"/>
      <c r="F51" s="10"/>
      <c r="G51" s="11"/>
      <c r="H51" s="12">
        <v>30</v>
      </c>
      <c r="I51" s="7" t="s">
        <v>1</v>
      </c>
      <c r="J51" s="3">
        <v>200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4">
        <f t="shared" si="0"/>
        <v>230</v>
      </c>
      <c r="Q51" s="1" t="s">
        <v>75</v>
      </c>
      <c r="R51" s="44">
        <v>50</v>
      </c>
      <c r="S51" s="47">
        <v>100</v>
      </c>
      <c r="T51" s="4"/>
    </row>
    <row r="52" spans="1:20" x14ac:dyDescent="0.25">
      <c r="A52" s="7">
        <v>49</v>
      </c>
      <c r="D52" s="94" t="s">
        <v>185</v>
      </c>
      <c r="E52" s="91" t="s">
        <v>186</v>
      </c>
      <c r="F52" s="92" t="s">
        <v>187</v>
      </c>
      <c r="G52" s="93"/>
      <c r="H52" s="12">
        <v>64</v>
      </c>
      <c r="I52" s="7" t="s">
        <v>2</v>
      </c>
      <c r="J52" s="3">
        <v>0</v>
      </c>
      <c r="K52" s="3">
        <v>14</v>
      </c>
      <c r="L52" s="3">
        <v>10</v>
      </c>
      <c r="M52" s="3">
        <v>0</v>
      </c>
      <c r="N52" s="3">
        <v>0</v>
      </c>
      <c r="O52" s="3">
        <v>0</v>
      </c>
      <c r="P52" s="4">
        <f t="shared" si="0"/>
        <v>40</v>
      </c>
      <c r="Q52" s="1" t="s">
        <v>14</v>
      </c>
      <c r="R52" s="44">
        <v>20</v>
      </c>
      <c r="S52" s="47">
        <v>50</v>
      </c>
      <c r="T52" s="4"/>
    </row>
    <row r="53" spans="1:20" x14ac:dyDescent="0.25">
      <c r="A53" s="7">
        <v>50</v>
      </c>
      <c r="D53" s="9" t="s">
        <v>51</v>
      </c>
      <c r="E53" s="10"/>
      <c r="F53" s="10"/>
      <c r="G53" s="11"/>
      <c r="H53" s="12">
        <v>62</v>
      </c>
      <c r="I53" s="7" t="s">
        <v>2</v>
      </c>
      <c r="J53" s="3">
        <v>0</v>
      </c>
      <c r="K53" s="3">
        <v>14</v>
      </c>
      <c r="L53" s="3">
        <v>10</v>
      </c>
      <c r="M53" s="3">
        <v>0</v>
      </c>
      <c r="N53" s="3">
        <v>0</v>
      </c>
      <c r="O53" s="3">
        <v>0</v>
      </c>
      <c r="P53" s="4">
        <f t="shared" si="0"/>
        <v>38</v>
      </c>
      <c r="Q53" s="1" t="s">
        <v>14</v>
      </c>
      <c r="R53" s="44">
        <v>20</v>
      </c>
      <c r="S53" s="47">
        <v>50</v>
      </c>
      <c r="T53" s="4"/>
    </row>
    <row r="54" spans="1:20" x14ac:dyDescent="0.25">
      <c r="A54" s="7">
        <v>51</v>
      </c>
      <c r="D54" s="16" t="s">
        <v>52</v>
      </c>
      <c r="E54" s="17"/>
      <c r="F54" s="17"/>
      <c r="G54" s="18"/>
      <c r="H54" s="12">
        <v>68</v>
      </c>
      <c r="I54" s="7" t="s">
        <v>2</v>
      </c>
      <c r="J54" s="3">
        <v>0</v>
      </c>
      <c r="K54" s="3">
        <v>14</v>
      </c>
      <c r="L54" s="3">
        <v>10</v>
      </c>
      <c r="M54" s="3">
        <v>0</v>
      </c>
      <c r="N54" s="3">
        <v>0</v>
      </c>
      <c r="O54" s="3">
        <v>0</v>
      </c>
      <c r="P54" s="4">
        <f t="shared" si="0"/>
        <v>44</v>
      </c>
      <c r="Q54" s="1" t="s">
        <v>14</v>
      </c>
      <c r="R54" s="44">
        <v>20</v>
      </c>
      <c r="S54" s="47">
        <v>50</v>
      </c>
      <c r="T54" s="4" t="s">
        <v>14</v>
      </c>
    </row>
    <row r="55" spans="1:20" x14ac:dyDescent="0.25">
      <c r="A55" s="7">
        <v>52</v>
      </c>
      <c r="D55" s="9" t="s">
        <v>53</v>
      </c>
      <c r="E55" s="10"/>
      <c r="F55" s="10"/>
      <c r="G55" s="11"/>
      <c r="H55" s="12">
        <v>83</v>
      </c>
      <c r="I55" s="7" t="s">
        <v>2</v>
      </c>
      <c r="J55" s="3">
        <v>0</v>
      </c>
      <c r="K55" s="3">
        <v>14</v>
      </c>
      <c r="L55" s="3">
        <v>10</v>
      </c>
      <c r="M55" s="3">
        <v>0</v>
      </c>
      <c r="N55" s="3">
        <v>0</v>
      </c>
      <c r="O55" s="3">
        <v>0</v>
      </c>
      <c r="P55" s="4">
        <f t="shared" si="0"/>
        <v>59</v>
      </c>
      <c r="Q55" s="1" t="s">
        <v>14</v>
      </c>
      <c r="R55" s="44">
        <v>20</v>
      </c>
      <c r="S55" s="47">
        <v>50</v>
      </c>
      <c r="T55" s="4"/>
    </row>
    <row r="56" spans="1:20" x14ac:dyDescent="0.25">
      <c r="A56" s="7">
        <v>53</v>
      </c>
      <c r="D56" s="70" t="s">
        <v>191</v>
      </c>
      <c r="E56" s="71"/>
      <c r="F56" s="71"/>
      <c r="G56" s="72"/>
      <c r="H56" s="12">
        <v>450</v>
      </c>
      <c r="I56" s="7" t="s">
        <v>1</v>
      </c>
      <c r="J56" s="3">
        <v>750</v>
      </c>
      <c r="K56" s="3">
        <v>190</v>
      </c>
      <c r="L56" s="3">
        <v>195</v>
      </c>
      <c r="M56" s="3">
        <v>90</v>
      </c>
      <c r="N56" s="3">
        <v>75</v>
      </c>
      <c r="O56" s="3">
        <v>0</v>
      </c>
      <c r="P56" s="4">
        <f t="shared" si="0"/>
        <v>650</v>
      </c>
      <c r="Q56" s="1" t="s">
        <v>120</v>
      </c>
      <c r="R56" s="44">
        <v>300</v>
      </c>
      <c r="S56" s="47">
        <v>900</v>
      </c>
      <c r="T56" s="4"/>
    </row>
    <row r="57" spans="1:20" x14ac:dyDescent="0.25">
      <c r="A57" s="7">
        <v>54</v>
      </c>
      <c r="D57" s="16" t="s">
        <v>61</v>
      </c>
      <c r="E57" s="17"/>
      <c r="F57" s="17"/>
      <c r="G57" s="18"/>
      <c r="H57" s="12">
        <v>50</v>
      </c>
      <c r="I57" s="7" t="s">
        <v>171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  <c r="P57" s="4">
        <f t="shared" si="0"/>
        <v>50</v>
      </c>
      <c r="Q57" s="1" t="s">
        <v>14</v>
      </c>
      <c r="R57" s="44">
        <v>10</v>
      </c>
      <c r="S57" s="46">
        <v>200</v>
      </c>
      <c r="T57" s="4"/>
    </row>
    <row r="58" spans="1:20" x14ac:dyDescent="0.25">
      <c r="A58" s="7">
        <v>55</v>
      </c>
      <c r="D58" s="9" t="s">
        <v>62</v>
      </c>
      <c r="E58" s="10"/>
      <c r="F58" s="10"/>
      <c r="G58" s="11"/>
      <c r="H58" s="12">
        <v>417</v>
      </c>
      <c r="I58" s="7" t="s">
        <v>2</v>
      </c>
      <c r="J58" s="3">
        <v>0</v>
      </c>
      <c r="K58" s="3">
        <v>37</v>
      </c>
      <c r="L58" s="3">
        <v>0</v>
      </c>
      <c r="M58" s="3">
        <v>36</v>
      </c>
      <c r="N58" s="3">
        <v>246</v>
      </c>
      <c r="O58" s="3">
        <v>0</v>
      </c>
      <c r="P58" s="4">
        <f t="shared" si="0"/>
        <v>98</v>
      </c>
      <c r="Q58" s="1" t="s">
        <v>14</v>
      </c>
      <c r="R58" s="44">
        <v>500</v>
      </c>
      <c r="S58" s="47">
        <v>1000</v>
      </c>
      <c r="T58" s="4"/>
    </row>
    <row r="59" spans="1:20" x14ac:dyDescent="0.25">
      <c r="A59" s="7">
        <v>56</v>
      </c>
      <c r="D59" s="16" t="s">
        <v>13</v>
      </c>
      <c r="E59" s="17"/>
      <c r="F59" s="17"/>
      <c r="G59" s="18"/>
      <c r="H59" s="12">
        <v>35</v>
      </c>
      <c r="I59" s="7" t="s">
        <v>2</v>
      </c>
      <c r="J59" s="3">
        <v>192</v>
      </c>
      <c r="K59" s="3">
        <v>0</v>
      </c>
      <c r="L59" s="3">
        <v>5</v>
      </c>
      <c r="M59" s="3">
        <v>14</v>
      </c>
      <c r="N59" s="3">
        <v>47</v>
      </c>
      <c r="O59" s="3">
        <v>0</v>
      </c>
      <c r="P59" s="4">
        <f t="shared" si="0"/>
        <v>161</v>
      </c>
      <c r="Q59" s="1" t="s">
        <v>14</v>
      </c>
      <c r="R59" s="44">
        <v>100</v>
      </c>
      <c r="S59" s="47">
        <v>500</v>
      </c>
      <c r="T59" s="4"/>
    </row>
    <row r="60" spans="1:20" x14ac:dyDescent="0.25">
      <c r="A60" s="7">
        <v>57</v>
      </c>
      <c r="D60" s="9" t="s">
        <v>72</v>
      </c>
      <c r="E60" s="10"/>
      <c r="F60" s="10"/>
      <c r="G60" s="11"/>
      <c r="H60" s="12">
        <v>20</v>
      </c>
      <c r="I60" s="7" t="s">
        <v>2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4">
        <f t="shared" si="0"/>
        <v>20</v>
      </c>
      <c r="Q60" s="1" t="s">
        <v>14</v>
      </c>
      <c r="R60" s="44">
        <v>15</v>
      </c>
      <c r="S60" s="47">
        <v>300</v>
      </c>
      <c r="T60" s="4"/>
    </row>
    <row r="61" spans="1:20" x14ac:dyDescent="0.25">
      <c r="A61" s="7">
        <v>58</v>
      </c>
      <c r="D61" s="16" t="s">
        <v>182</v>
      </c>
      <c r="E61" s="17"/>
      <c r="F61" s="17"/>
      <c r="G61" s="18"/>
      <c r="H61" s="12">
        <v>237</v>
      </c>
      <c r="I61" s="7" t="s">
        <v>2</v>
      </c>
      <c r="J61" s="3">
        <v>0</v>
      </c>
      <c r="K61" s="3">
        <v>0</v>
      </c>
      <c r="L61" s="3">
        <v>25</v>
      </c>
      <c r="M61" s="3">
        <v>0</v>
      </c>
      <c r="N61" s="3">
        <v>13</v>
      </c>
      <c r="O61" s="3">
        <v>0</v>
      </c>
      <c r="P61" s="4">
        <f t="shared" si="0"/>
        <v>199</v>
      </c>
      <c r="Q61" s="1" t="s">
        <v>14</v>
      </c>
      <c r="R61" s="44">
        <v>150</v>
      </c>
      <c r="S61" s="47">
        <v>600</v>
      </c>
      <c r="T61" s="4"/>
    </row>
    <row r="62" spans="1:20" x14ac:dyDescent="0.25">
      <c r="A62" s="7">
        <v>59</v>
      </c>
      <c r="D62" s="9" t="s">
        <v>181</v>
      </c>
      <c r="E62" s="10"/>
      <c r="F62" s="10"/>
      <c r="G62" s="11"/>
      <c r="H62" s="12">
        <v>50</v>
      </c>
      <c r="I62" s="7" t="s">
        <v>2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4">
        <f t="shared" si="0"/>
        <v>50</v>
      </c>
      <c r="Q62" s="1" t="s">
        <v>14</v>
      </c>
      <c r="R62" s="44">
        <v>50</v>
      </c>
      <c r="S62" s="47">
        <v>200</v>
      </c>
      <c r="T62" s="4"/>
    </row>
    <row r="63" spans="1:20" x14ac:dyDescent="0.25">
      <c r="A63" s="7">
        <v>60</v>
      </c>
      <c r="D63" s="16" t="s">
        <v>130</v>
      </c>
      <c r="E63" s="17"/>
      <c r="F63" s="17"/>
      <c r="G63" s="18"/>
      <c r="H63" s="12">
        <v>157</v>
      </c>
      <c r="I63" s="7" t="s">
        <v>2</v>
      </c>
      <c r="J63" s="3">
        <v>0</v>
      </c>
      <c r="K63" s="3">
        <v>0</v>
      </c>
      <c r="L63" s="3">
        <v>1</v>
      </c>
      <c r="M63" s="3">
        <v>6</v>
      </c>
      <c r="N63" s="3">
        <v>55</v>
      </c>
      <c r="O63" s="3">
        <v>0</v>
      </c>
      <c r="P63" s="4">
        <f t="shared" si="0"/>
        <v>95</v>
      </c>
      <c r="Q63" s="1" t="s">
        <v>14</v>
      </c>
      <c r="R63" s="44">
        <v>20</v>
      </c>
      <c r="S63" s="46">
        <v>200</v>
      </c>
      <c r="T63" s="4"/>
    </row>
    <row r="64" spans="1:20" x14ac:dyDescent="0.25">
      <c r="A64" s="7">
        <v>61</v>
      </c>
      <c r="D64" s="26" t="s">
        <v>203</v>
      </c>
      <c r="E64" s="27"/>
      <c r="F64" s="27"/>
      <c r="G64" s="28"/>
      <c r="H64" s="12">
        <v>0</v>
      </c>
      <c r="I64" s="30" t="s">
        <v>2</v>
      </c>
      <c r="J64" s="3">
        <v>80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4">
        <f t="shared" si="0"/>
        <v>80</v>
      </c>
      <c r="Q64" s="1" t="s">
        <v>14</v>
      </c>
      <c r="R64" s="44">
        <v>0</v>
      </c>
      <c r="S64" s="47">
        <v>0</v>
      </c>
      <c r="T64" s="4"/>
    </row>
    <row r="65" spans="1:20" x14ac:dyDescent="0.25">
      <c r="A65" s="7">
        <v>62</v>
      </c>
      <c r="D65" s="16" t="s">
        <v>65</v>
      </c>
      <c r="E65" s="17"/>
      <c r="F65" s="17"/>
      <c r="G65" s="18"/>
      <c r="H65" s="12">
        <v>10</v>
      </c>
      <c r="I65" s="7" t="s">
        <v>2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4">
        <f t="shared" si="0"/>
        <v>10</v>
      </c>
      <c r="Q65" s="1" t="s">
        <v>14</v>
      </c>
      <c r="R65" s="44">
        <v>10</v>
      </c>
      <c r="S65" s="46">
        <v>50</v>
      </c>
      <c r="T65" s="4"/>
    </row>
    <row r="66" spans="1:20" x14ac:dyDescent="0.25">
      <c r="A66" s="7">
        <v>63</v>
      </c>
      <c r="D66" s="9" t="s">
        <v>202</v>
      </c>
      <c r="E66" s="10"/>
      <c r="F66" s="10"/>
      <c r="G66" s="11"/>
      <c r="H66" s="12">
        <v>20</v>
      </c>
      <c r="I66" s="7" t="s">
        <v>2</v>
      </c>
      <c r="J66" s="3">
        <v>80</v>
      </c>
      <c r="K66" s="3">
        <v>0</v>
      </c>
      <c r="L66" s="3">
        <v>0</v>
      </c>
      <c r="M66" s="3">
        <v>0</v>
      </c>
      <c r="N66" s="3">
        <v>91</v>
      </c>
      <c r="O66" s="3">
        <v>0</v>
      </c>
      <c r="P66" s="4">
        <f t="shared" si="0"/>
        <v>9</v>
      </c>
      <c r="Q66" s="1" t="s">
        <v>14</v>
      </c>
      <c r="R66" s="44">
        <v>10</v>
      </c>
      <c r="S66" s="47">
        <v>50</v>
      </c>
      <c r="T66" s="4"/>
    </row>
    <row r="67" spans="1:20" x14ac:dyDescent="0.25">
      <c r="A67" s="7">
        <v>64</v>
      </c>
      <c r="D67" s="19" t="s">
        <v>165</v>
      </c>
      <c r="E67" s="20"/>
      <c r="F67" s="20"/>
      <c r="G67" s="21"/>
      <c r="H67" s="12">
        <v>55</v>
      </c>
      <c r="I67" s="7" t="s">
        <v>2</v>
      </c>
      <c r="J67" s="3">
        <v>0</v>
      </c>
      <c r="K67" s="3">
        <v>0</v>
      </c>
      <c r="L67" s="3">
        <v>0</v>
      </c>
      <c r="M67" s="3">
        <v>6</v>
      </c>
      <c r="N67" s="3">
        <v>49</v>
      </c>
      <c r="O67" s="3">
        <v>0</v>
      </c>
      <c r="P67" s="4">
        <f t="shared" si="0"/>
        <v>0</v>
      </c>
      <c r="Q67" s="1" t="s">
        <v>14</v>
      </c>
      <c r="R67" s="44">
        <v>50</v>
      </c>
      <c r="S67" s="47">
        <v>150</v>
      </c>
      <c r="T67" s="4"/>
    </row>
    <row r="68" spans="1:20" x14ac:dyDescent="0.25">
      <c r="A68" s="7">
        <v>65</v>
      </c>
      <c r="D68" s="22" t="s">
        <v>74</v>
      </c>
      <c r="E68" s="10"/>
      <c r="F68" s="10"/>
      <c r="G68" s="11"/>
      <c r="H68" s="12">
        <v>150</v>
      </c>
      <c r="I68" s="8" t="s">
        <v>75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4">
        <f t="shared" ref="P68:P89" si="1">+H68+J68-K68-L68-M68-N68-O68</f>
        <v>150</v>
      </c>
      <c r="Q68" s="1">
        <v>22</v>
      </c>
      <c r="R68" s="44">
        <v>65</v>
      </c>
      <c r="S68" s="47">
        <v>150</v>
      </c>
      <c r="T68" s="4"/>
    </row>
    <row r="69" spans="1:20" x14ac:dyDescent="0.25">
      <c r="A69" s="7">
        <v>66</v>
      </c>
      <c r="C69" s="1" t="s">
        <v>14</v>
      </c>
      <c r="D69" s="22" t="s">
        <v>76</v>
      </c>
      <c r="E69" s="10"/>
      <c r="F69" s="10"/>
      <c r="G69" s="11"/>
      <c r="H69" s="12">
        <v>140</v>
      </c>
      <c r="I69" s="8" t="s">
        <v>2</v>
      </c>
      <c r="J69" s="3">
        <v>0</v>
      </c>
      <c r="K69" s="3">
        <v>0</v>
      </c>
      <c r="L69" s="3">
        <v>0</v>
      </c>
      <c r="M69" s="3">
        <v>10</v>
      </c>
      <c r="N69" s="3">
        <v>16</v>
      </c>
      <c r="O69" s="3">
        <v>0</v>
      </c>
      <c r="P69" s="4">
        <f t="shared" si="1"/>
        <v>114</v>
      </c>
      <c r="Q69" s="1" t="s">
        <v>14</v>
      </c>
      <c r="R69" s="44">
        <v>50</v>
      </c>
      <c r="S69" s="47">
        <v>100</v>
      </c>
      <c r="T69" s="4"/>
    </row>
    <row r="70" spans="1:20" x14ac:dyDescent="0.25">
      <c r="A70" s="7">
        <v>67</v>
      </c>
      <c r="D70" s="25" t="s">
        <v>147</v>
      </c>
      <c r="H70" s="12">
        <v>62</v>
      </c>
      <c r="I70" s="30" t="s">
        <v>2</v>
      </c>
      <c r="J70" s="3">
        <v>0</v>
      </c>
      <c r="K70" s="3">
        <v>3</v>
      </c>
      <c r="L70" s="3">
        <v>10</v>
      </c>
      <c r="M70" s="3">
        <v>6</v>
      </c>
      <c r="N70" s="3">
        <v>4</v>
      </c>
      <c r="O70" s="3">
        <v>0</v>
      </c>
      <c r="P70" s="4">
        <f t="shared" si="1"/>
        <v>39</v>
      </c>
      <c r="Q70" s="1" t="s">
        <v>14</v>
      </c>
      <c r="R70" s="44">
        <v>50</v>
      </c>
      <c r="S70" s="47">
        <v>100</v>
      </c>
      <c r="T70" s="4"/>
    </row>
    <row r="71" spans="1:20" x14ac:dyDescent="0.25">
      <c r="A71" s="7">
        <v>68</v>
      </c>
      <c r="D71" s="26" t="s">
        <v>80</v>
      </c>
      <c r="E71" s="27"/>
      <c r="F71" s="27"/>
      <c r="G71" s="28"/>
      <c r="H71" s="12">
        <v>20</v>
      </c>
      <c r="I71" s="8" t="s">
        <v>171</v>
      </c>
      <c r="J71" s="3">
        <v>0</v>
      </c>
      <c r="K71" s="3">
        <v>3</v>
      </c>
      <c r="L71" s="3">
        <v>0</v>
      </c>
      <c r="M71" s="3">
        <v>0</v>
      </c>
      <c r="N71" s="3">
        <v>0</v>
      </c>
      <c r="O71" s="3">
        <v>0</v>
      </c>
      <c r="P71" s="4">
        <f t="shared" si="1"/>
        <v>17</v>
      </c>
      <c r="Q71" s="1" t="s">
        <v>14</v>
      </c>
      <c r="R71" s="44">
        <v>20</v>
      </c>
      <c r="S71" s="46">
        <v>200</v>
      </c>
      <c r="T71" s="4"/>
    </row>
    <row r="72" spans="1:20" x14ac:dyDescent="0.25">
      <c r="A72" s="7">
        <v>69</v>
      </c>
      <c r="D72" s="26" t="s">
        <v>194</v>
      </c>
      <c r="E72" s="27"/>
      <c r="F72" s="27"/>
      <c r="G72" s="28"/>
      <c r="H72" s="12">
        <v>240</v>
      </c>
      <c r="I72" s="8" t="s">
        <v>2</v>
      </c>
      <c r="J72" s="3">
        <v>0</v>
      </c>
      <c r="K72" s="3">
        <v>0</v>
      </c>
      <c r="L72" s="3">
        <v>1</v>
      </c>
      <c r="M72" s="3">
        <v>0</v>
      </c>
      <c r="N72" s="3">
        <v>0</v>
      </c>
      <c r="O72" s="3">
        <v>0</v>
      </c>
      <c r="P72" s="4">
        <f t="shared" si="1"/>
        <v>239</v>
      </c>
      <c r="Q72" s="1" t="s">
        <v>14</v>
      </c>
      <c r="R72" s="44" t="s">
        <v>14</v>
      </c>
      <c r="S72" s="47" t="s">
        <v>14</v>
      </c>
      <c r="T72" s="4"/>
    </row>
    <row r="73" spans="1:20" x14ac:dyDescent="0.25">
      <c r="A73" s="7">
        <v>70</v>
      </c>
      <c r="D73" s="26" t="s">
        <v>167</v>
      </c>
      <c r="E73" s="27"/>
      <c r="F73" s="27"/>
      <c r="G73" s="28"/>
      <c r="H73" s="12">
        <v>39</v>
      </c>
      <c r="I73" s="8" t="s">
        <v>2</v>
      </c>
      <c r="J73" s="3">
        <v>0</v>
      </c>
      <c r="K73" s="3">
        <v>3</v>
      </c>
      <c r="L73" s="3">
        <v>0</v>
      </c>
      <c r="M73" s="3">
        <v>0</v>
      </c>
      <c r="N73" s="3">
        <v>0</v>
      </c>
      <c r="O73" s="3">
        <v>0</v>
      </c>
      <c r="P73" s="4">
        <f t="shared" si="1"/>
        <v>36</v>
      </c>
      <c r="R73" s="44">
        <v>20</v>
      </c>
      <c r="S73" s="46">
        <v>200</v>
      </c>
      <c r="T73" s="4"/>
    </row>
    <row r="74" spans="1:20" x14ac:dyDescent="0.25">
      <c r="A74" s="7">
        <v>71</v>
      </c>
      <c r="D74" s="37" t="s">
        <v>176</v>
      </c>
      <c r="E74" s="17"/>
      <c r="F74" s="33"/>
      <c r="G74" s="33"/>
      <c r="H74" s="12">
        <v>1230</v>
      </c>
      <c r="I74" s="8" t="s">
        <v>2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4">
        <f t="shared" si="1"/>
        <v>1230</v>
      </c>
      <c r="Q74" s="1" t="s">
        <v>14</v>
      </c>
      <c r="R74" s="44">
        <v>100</v>
      </c>
      <c r="S74" s="47">
        <v>500</v>
      </c>
      <c r="T74" s="4"/>
    </row>
    <row r="75" spans="1:20" x14ac:dyDescent="0.25">
      <c r="A75" s="7">
        <v>72</v>
      </c>
      <c r="D75" s="22" t="s">
        <v>201</v>
      </c>
      <c r="E75" s="10"/>
      <c r="F75" s="10"/>
      <c r="G75" s="28"/>
      <c r="H75" s="12">
        <v>20</v>
      </c>
      <c r="I75" s="8" t="s">
        <v>2</v>
      </c>
      <c r="J75" s="3">
        <v>80</v>
      </c>
      <c r="K75" s="3">
        <v>0</v>
      </c>
      <c r="L75" s="3">
        <v>0</v>
      </c>
      <c r="M75" s="3">
        <v>0</v>
      </c>
      <c r="N75" s="3">
        <v>91</v>
      </c>
      <c r="O75" s="3">
        <v>0</v>
      </c>
      <c r="P75" s="4">
        <f t="shared" si="1"/>
        <v>9</v>
      </c>
      <c r="R75" s="44">
        <v>10</v>
      </c>
      <c r="S75" s="46">
        <v>50</v>
      </c>
      <c r="T75" s="4"/>
    </row>
    <row r="76" spans="1:20" x14ac:dyDescent="0.25">
      <c r="A76" s="7">
        <v>73</v>
      </c>
      <c r="D76" s="37" t="s">
        <v>113</v>
      </c>
      <c r="E76" s="17"/>
      <c r="F76" s="17"/>
      <c r="G76" s="33"/>
      <c r="H76" s="12">
        <v>619</v>
      </c>
      <c r="I76" s="8" t="s">
        <v>97</v>
      </c>
      <c r="J76" s="3">
        <v>0</v>
      </c>
      <c r="K76" s="3">
        <v>69</v>
      </c>
      <c r="L76" s="3">
        <v>88</v>
      </c>
      <c r="M76" s="3">
        <v>78</v>
      </c>
      <c r="N76" s="3">
        <v>87</v>
      </c>
      <c r="O76" s="3">
        <v>0</v>
      </c>
      <c r="P76" s="4">
        <f t="shared" si="1"/>
        <v>297</v>
      </c>
      <c r="Q76" s="65" t="s">
        <v>121</v>
      </c>
      <c r="R76" s="44">
        <v>300</v>
      </c>
      <c r="S76" s="47">
        <v>1000</v>
      </c>
      <c r="T76" s="4"/>
    </row>
    <row r="77" spans="1:20" x14ac:dyDescent="0.25">
      <c r="A77" s="7">
        <v>74</v>
      </c>
      <c r="D77" s="22" t="s">
        <v>103</v>
      </c>
      <c r="E77" s="10"/>
      <c r="F77" s="10"/>
      <c r="G77" s="28"/>
      <c r="H77" s="12">
        <v>139</v>
      </c>
      <c r="I77" s="8" t="s">
        <v>132</v>
      </c>
      <c r="J77" s="3">
        <v>200</v>
      </c>
      <c r="K77" s="3">
        <v>0</v>
      </c>
      <c r="L77" s="3">
        <v>76</v>
      </c>
      <c r="M77" s="3">
        <v>0</v>
      </c>
      <c r="N77" s="3">
        <v>0</v>
      </c>
      <c r="O77" s="3">
        <v>0</v>
      </c>
      <c r="P77" s="4">
        <f t="shared" si="1"/>
        <v>263</v>
      </c>
      <c r="R77" s="44">
        <v>60</v>
      </c>
      <c r="S77" s="47">
        <v>100</v>
      </c>
      <c r="T77" s="4"/>
    </row>
    <row r="78" spans="1:20" x14ac:dyDescent="0.25">
      <c r="A78" s="8">
        <v>75</v>
      </c>
      <c r="D78" s="49" t="s">
        <v>108</v>
      </c>
      <c r="E78" s="20"/>
      <c r="F78" s="20"/>
      <c r="G78" s="20"/>
      <c r="H78" s="12">
        <v>2000</v>
      </c>
      <c r="I78" s="8" t="s">
        <v>110</v>
      </c>
      <c r="J78" s="3">
        <v>9000</v>
      </c>
      <c r="K78" s="3">
        <v>1000</v>
      </c>
      <c r="L78" s="3">
        <v>500</v>
      </c>
      <c r="M78" s="3">
        <v>2000</v>
      </c>
      <c r="N78" s="3">
        <v>2000</v>
      </c>
      <c r="O78" s="3">
        <v>0</v>
      </c>
      <c r="P78" s="99">
        <f t="shared" si="1"/>
        <v>5500</v>
      </c>
      <c r="R78" s="95">
        <v>10000</v>
      </c>
      <c r="S78" s="96">
        <v>30000</v>
      </c>
      <c r="T78" s="4"/>
    </row>
    <row r="79" spans="1:20" x14ac:dyDescent="0.25">
      <c r="A79" s="48">
        <v>76</v>
      </c>
      <c r="B79" s="41"/>
      <c r="C79" s="41"/>
      <c r="D79" s="22" t="s">
        <v>115</v>
      </c>
      <c r="E79" s="10"/>
      <c r="F79" s="10"/>
      <c r="G79" s="11"/>
      <c r="H79" s="12">
        <v>50</v>
      </c>
      <c r="I79" s="62" t="s">
        <v>2</v>
      </c>
      <c r="J79" s="3">
        <v>0</v>
      </c>
      <c r="K79" s="3">
        <v>3</v>
      </c>
      <c r="L79" s="3">
        <v>10</v>
      </c>
      <c r="M79" s="3">
        <v>6</v>
      </c>
      <c r="N79" s="3">
        <v>4</v>
      </c>
      <c r="O79" s="3">
        <v>0</v>
      </c>
      <c r="P79" s="64">
        <f t="shared" si="1"/>
        <v>27</v>
      </c>
      <c r="R79" s="64">
        <v>50</v>
      </c>
      <c r="S79" s="64">
        <v>100</v>
      </c>
      <c r="T79" s="4" t="s">
        <v>14</v>
      </c>
    </row>
    <row r="80" spans="1:20" x14ac:dyDescent="0.25">
      <c r="A80" s="73">
        <v>77</v>
      </c>
      <c r="B80" s="41"/>
      <c r="C80" s="41"/>
      <c r="D80" s="49" t="s">
        <v>134</v>
      </c>
      <c r="E80" s="35"/>
      <c r="F80" s="35"/>
      <c r="G80" s="60"/>
      <c r="H80" s="12">
        <v>100</v>
      </c>
      <c r="I80" s="8" t="s">
        <v>2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  <c r="P80" s="4">
        <f t="shared" si="1"/>
        <v>100</v>
      </c>
      <c r="Q80" s="4"/>
      <c r="R80" s="4">
        <v>20</v>
      </c>
      <c r="S80" s="4">
        <v>50</v>
      </c>
      <c r="T80" s="4"/>
    </row>
    <row r="81" spans="1:20" x14ac:dyDescent="0.25">
      <c r="A81" s="8">
        <v>78</v>
      </c>
      <c r="D81" s="22" t="s">
        <v>123</v>
      </c>
      <c r="E81" s="10"/>
      <c r="F81" s="10"/>
      <c r="G81" s="11"/>
      <c r="H81" s="12">
        <v>500</v>
      </c>
      <c r="I81" s="8" t="s">
        <v>2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  <c r="P81" s="4">
        <f t="shared" si="1"/>
        <v>500</v>
      </c>
      <c r="Q81" s="4"/>
      <c r="R81" s="4">
        <v>500</v>
      </c>
      <c r="S81" s="4">
        <v>2500</v>
      </c>
      <c r="T81" s="4"/>
    </row>
    <row r="82" spans="1:20" x14ac:dyDescent="0.25">
      <c r="A82" s="48">
        <v>79</v>
      </c>
      <c r="B82" s="41"/>
      <c r="C82" s="41"/>
      <c r="D82" s="22" t="s">
        <v>177</v>
      </c>
      <c r="E82" s="10"/>
      <c r="F82" s="10"/>
      <c r="G82" s="11"/>
      <c r="H82" s="4">
        <v>250</v>
      </c>
      <c r="I82" s="8" t="s">
        <v>110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  <c r="P82" s="4">
        <f t="shared" si="1"/>
        <v>250</v>
      </c>
      <c r="Q82" s="4" t="s">
        <v>110</v>
      </c>
      <c r="R82" s="4">
        <v>250</v>
      </c>
      <c r="S82" s="4">
        <v>2000</v>
      </c>
      <c r="T82" s="4"/>
    </row>
    <row r="83" spans="1:20" x14ac:dyDescent="0.25">
      <c r="A83" s="48">
        <v>80</v>
      </c>
      <c r="B83" s="41"/>
      <c r="C83" s="41"/>
      <c r="D83" s="37" t="s">
        <v>178</v>
      </c>
      <c r="E83" s="17"/>
      <c r="F83" s="17"/>
      <c r="G83" s="18"/>
      <c r="H83" s="64">
        <v>1500</v>
      </c>
      <c r="I83" s="62" t="s">
        <v>110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64">
        <f t="shared" si="1"/>
        <v>1500</v>
      </c>
      <c r="Q83" s="64" t="s">
        <v>110</v>
      </c>
      <c r="R83" s="64">
        <v>3000</v>
      </c>
      <c r="S83" s="64">
        <v>10000</v>
      </c>
      <c r="T83" s="4"/>
    </row>
    <row r="84" spans="1:20" x14ac:dyDescent="0.25">
      <c r="A84" s="48">
        <v>81</v>
      </c>
      <c r="B84" s="11"/>
      <c r="C84" s="23"/>
      <c r="D84" s="68" t="s">
        <v>192</v>
      </c>
      <c r="E84" s="27"/>
      <c r="F84" s="27"/>
      <c r="G84" s="28"/>
      <c r="H84" s="74">
        <v>200</v>
      </c>
      <c r="I84" s="75" t="s">
        <v>110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4">
        <f t="shared" si="1"/>
        <v>200</v>
      </c>
      <c r="Q84" s="4"/>
      <c r="R84" s="4">
        <v>10</v>
      </c>
      <c r="S84" s="4">
        <v>50</v>
      </c>
      <c r="T84" s="4"/>
    </row>
    <row r="85" spans="1:20" x14ac:dyDescent="0.25">
      <c r="A85" s="8">
        <v>82</v>
      </c>
      <c r="D85" s="68" t="s">
        <v>148</v>
      </c>
      <c r="E85" s="27"/>
      <c r="F85" s="27"/>
      <c r="G85" s="28"/>
      <c r="H85" s="4">
        <v>0</v>
      </c>
      <c r="I85" s="8" t="s">
        <v>2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4">
        <f t="shared" si="1"/>
        <v>0</v>
      </c>
      <c r="Q85" s="4"/>
      <c r="R85" s="4">
        <v>50</v>
      </c>
      <c r="S85" s="4">
        <v>200</v>
      </c>
      <c r="T85" s="4"/>
    </row>
    <row r="86" spans="1:20" ht="15.75" customHeight="1" x14ac:dyDescent="0.25">
      <c r="A86" s="8">
        <v>83</v>
      </c>
      <c r="D86" s="79" t="s">
        <v>150</v>
      </c>
      <c r="E86" s="80"/>
      <c r="F86" s="81"/>
      <c r="G86" s="82"/>
      <c r="H86" s="4">
        <v>100</v>
      </c>
      <c r="I86" s="8" t="s">
        <v>2</v>
      </c>
      <c r="J86" s="3">
        <v>0</v>
      </c>
      <c r="K86" s="3">
        <v>3</v>
      </c>
      <c r="L86" s="3">
        <v>40</v>
      </c>
      <c r="M86" s="3">
        <v>4</v>
      </c>
      <c r="N86" s="3">
        <v>31</v>
      </c>
      <c r="O86" s="3">
        <v>0</v>
      </c>
      <c r="P86" s="4">
        <f t="shared" si="1"/>
        <v>22</v>
      </c>
      <c r="Q86" s="4"/>
      <c r="R86" s="4">
        <v>75</v>
      </c>
      <c r="S86" s="4">
        <v>500</v>
      </c>
      <c r="T86" s="4"/>
    </row>
    <row r="87" spans="1:20" x14ac:dyDescent="0.25">
      <c r="A87" s="8">
        <v>84</v>
      </c>
      <c r="D87" s="22" t="s">
        <v>183</v>
      </c>
      <c r="E87" s="10"/>
      <c r="F87" s="10"/>
      <c r="G87" s="11"/>
      <c r="H87" s="23">
        <v>567</v>
      </c>
      <c r="I87" s="8" t="s">
        <v>2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4">
        <f t="shared" si="1"/>
        <v>567</v>
      </c>
      <c r="Q87" s="4"/>
      <c r="R87" s="4">
        <v>20</v>
      </c>
      <c r="S87" s="4">
        <v>300</v>
      </c>
      <c r="T87" s="4"/>
    </row>
    <row r="88" spans="1:20" x14ac:dyDescent="0.25">
      <c r="A88" s="8">
        <v>85</v>
      </c>
      <c r="D88" s="49" t="s">
        <v>199</v>
      </c>
      <c r="E88" s="20"/>
      <c r="F88" s="20"/>
      <c r="G88" s="21"/>
      <c r="H88" s="23">
        <v>254</v>
      </c>
      <c r="I88" s="8" t="s">
        <v>2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4">
        <f t="shared" si="1"/>
        <v>254</v>
      </c>
      <c r="Q88" s="4"/>
      <c r="R88" s="4">
        <v>10</v>
      </c>
      <c r="S88" s="4">
        <v>200</v>
      </c>
      <c r="T88" s="4"/>
    </row>
    <row r="89" spans="1:20" x14ac:dyDescent="0.25">
      <c r="A89" s="77">
        <v>86</v>
      </c>
      <c r="D89" s="68" t="s">
        <v>14</v>
      </c>
      <c r="E89" s="27"/>
      <c r="F89" s="27"/>
      <c r="G89" s="28"/>
      <c r="H89" s="74">
        <v>0</v>
      </c>
      <c r="I89" s="75" t="s">
        <v>14</v>
      </c>
      <c r="J89" s="3">
        <v>0</v>
      </c>
      <c r="K89" s="3">
        <v>0</v>
      </c>
      <c r="L89" s="3">
        <v>0</v>
      </c>
      <c r="M89" s="3">
        <v>0</v>
      </c>
      <c r="N89" s="3">
        <v>0</v>
      </c>
      <c r="O89" s="3">
        <v>0</v>
      </c>
      <c r="P89" s="4">
        <f t="shared" si="1"/>
        <v>0</v>
      </c>
      <c r="Q89" s="4"/>
      <c r="R89" s="4" t="s">
        <v>14</v>
      </c>
      <c r="S89" s="4" t="s">
        <v>14</v>
      </c>
      <c r="T89" s="4"/>
    </row>
  </sheetData>
  <pageMargins left="0.75" right="0.75" top="1" bottom="1" header="0.5" footer="0.5"/>
  <pageSetup paperSize="9" orientation="portrait"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E56DC3-5749-48B5-84DB-68B84D2CE278}">
  <dimension ref="A1:T89"/>
  <sheetViews>
    <sheetView topLeftCell="A9" workbookViewId="0">
      <selection activeCell="N10" sqref="N10"/>
    </sheetView>
  </sheetViews>
  <sheetFormatPr defaultRowHeight="15" x14ac:dyDescent="0.25"/>
  <cols>
    <col min="1" max="1" width="5.5703125" customWidth="1"/>
    <col min="2" max="3" width="9.140625" hidden="1" customWidth="1"/>
    <col min="6" max="6" width="12.7109375" customWidth="1"/>
    <col min="8" max="8" width="10.140625" customWidth="1"/>
    <col min="9" max="9" width="10" customWidth="1"/>
    <col min="10" max="10" width="7.7109375" customWidth="1"/>
    <col min="11" max="11" width="10.7109375" customWidth="1"/>
    <col min="12" max="12" width="10.140625" customWidth="1"/>
    <col min="13" max="13" width="11.85546875" customWidth="1"/>
    <col min="14" max="15" width="11.7109375" customWidth="1"/>
    <col min="16" max="16" width="10.140625" customWidth="1"/>
    <col min="17" max="17" width="4.7109375" customWidth="1"/>
    <col min="18" max="18" width="10.140625" customWidth="1"/>
    <col min="19" max="19" width="11.5703125" customWidth="1"/>
    <col min="20" max="20" width="0.28515625" customWidth="1"/>
  </cols>
  <sheetData>
    <row r="1" spans="1:20" x14ac:dyDescent="0.25">
      <c r="G1" s="1"/>
      <c r="P1">
        <f>+H1+J1-K1-L1-M1-N1-O1</f>
        <v>0</v>
      </c>
    </row>
    <row r="2" spans="1:20" x14ac:dyDescent="0.25">
      <c r="A2" t="s">
        <v>14</v>
      </c>
      <c r="D2" s="78" t="s">
        <v>204</v>
      </c>
      <c r="O2" s="38" t="s">
        <v>14</v>
      </c>
      <c r="S2" s="50">
        <v>45656</v>
      </c>
    </row>
    <row r="3" spans="1:20" x14ac:dyDescent="0.25">
      <c r="A3" s="3" t="s">
        <v>15</v>
      </c>
      <c r="D3" s="9" t="s">
        <v>17</v>
      </c>
      <c r="E3" s="10"/>
      <c r="F3" s="10"/>
      <c r="G3" s="11"/>
      <c r="H3" s="12" t="s">
        <v>18</v>
      </c>
      <c r="I3" s="4" t="s">
        <v>19</v>
      </c>
      <c r="J3" s="3" t="s">
        <v>20</v>
      </c>
      <c r="K3" s="5">
        <v>45968</v>
      </c>
      <c r="L3" s="6">
        <v>45975</v>
      </c>
      <c r="M3" s="5">
        <v>45982</v>
      </c>
      <c r="N3" s="5">
        <v>45989</v>
      </c>
      <c r="O3" s="6">
        <v>0</v>
      </c>
      <c r="P3" s="3" t="s">
        <v>21</v>
      </c>
      <c r="R3" s="42" t="s">
        <v>105</v>
      </c>
      <c r="S3" s="45" t="s">
        <v>104</v>
      </c>
      <c r="T3" s="4"/>
    </row>
    <row r="4" spans="1:20" x14ac:dyDescent="0.25">
      <c r="A4" s="7">
        <v>1</v>
      </c>
      <c r="D4" s="13" t="s">
        <v>16</v>
      </c>
      <c r="E4" s="14"/>
      <c r="F4" s="14"/>
      <c r="G4" s="15"/>
      <c r="H4" s="12">
        <v>382</v>
      </c>
      <c r="I4" s="7" t="s">
        <v>1</v>
      </c>
      <c r="J4" s="3">
        <v>0</v>
      </c>
      <c r="K4" s="3">
        <v>23</v>
      </c>
      <c r="L4" s="3">
        <v>0</v>
      </c>
      <c r="M4" s="3">
        <v>23</v>
      </c>
      <c r="N4" s="3">
        <v>46</v>
      </c>
      <c r="O4" s="3">
        <v>0</v>
      </c>
      <c r="P4" s="4">
        <f t="shared" ref="P4:P67" si="0">+H4+J4-K4-L4-M4-N4-O4</f>
        <v>290</v>
      </c>
      <c r="Q4" t="s">
        <v>173</v>
      </c>
      <c r="R4" s="43">
        <v>150</v>
      </c>
      <c r="S4" s="46">
        <v>500</v>
      </c>
      <c r="T4" s="4" t="s">
        <v>14</v>
      </c>
    </row>
    <row r="5" spans="1:20" x14ac:dyDescent="0.25">
      <c r="A5" s="7">
        <v>2</v>
      </c>
      <c r="D5" s="9" t="s">
        <v>205</v>
      </c>
      <c r="E5" s="10"/>
      <c r="F5" s="10"/>
      <c r="G5" s="11"/>
      <c r="H5" s="12">
        <v>0</v>
      </c>
      <c r="I5" s="7" t="s">
        <v>2</v>
      </c>
      <c r="J5" s="3">
        <v>90</v>
      </c>
      <c r="K5" s="3">
        <v>0</v>
      </c>
      <c r="L5" s="3">
        <v>0</v>
      </c>
      <c r="M5" s="3">
        <v>9</v>
      </c>
      <c r="N5" s="3">
        <v>0</v>
      </c>
      <c r="O5" s="3">
        <v>0</v>
      </c>
      <c r="P5" s="4">
        <f t="shared" si="0"/>
        <v>81</v>
      </c>
      <c r="Q5" s="1" t="s">
        <v>14</v>
      </c>
      <c r="R5" s="44">
        <v>0</v>
      </c>
      <c r="S5" s="47">
        <v>0</v>
      </c>
      <c r="T5" s="4"/>
    </row>
    <row r="6" spans="1:20" x14ac:dyDescent="0.25">
      <c r="A6" s="7">
        <v>3</v>
      </c>
      <c r="D6" s="16" t="s">
        <v>23</v>
      </c>
      <c r="E6" s="17"/>
      <c r="F6" s="17"/>
      <c r="G6" s="18"/>
      <c r="H6" s="12">
        <v>10</v>
      </c>
      <c r="I6" s="7" t="s">
        <v>2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4">
        <f t="shared" si="0"/>
        <v>10</v>
      </c>
      <c r="Q6" s="1" t="s">
        <v>14</v>
      </c>
      <c r="R6" s="44">
        <v>6</v>
      </c>
      <c r="S6" s="47">
        <v>10</v>
      </c>
      <c r="T6" s="4"/>
    </row>
    <row r="7" spans="1:20" x14ac:dyDescent="0.25">
      <c r="A7" s="7">
        <v>4</v>
      </c>
      <c r="D7" s="9" t="s">
        <v>3</v>
      </c>
      <c r="E7" s="10"/>
      <c r="F7" s="10"/>
      <c r="G7" s="11"/>
      <c r="H7" s="12">
        <v>20</v>
      </c>
      <c r="I7" s="7" t="s">
        <v>2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4">
        <f t="shared" si="0"/>
        <v>20</v>
      </c>
      <c r="Q7" s="1" t="s">
        <v>14</v>
      </c>
      <c r="R7" s="44">
        <v>6</v>
      </c>
      <c r="S7" s="47">
        <v>10</v>
      </c>
      <c r="T7" s="4"/>
    </row>
    <row r="8" spans="1:20" x14ac:dyDescent="0.25">
      <c r="A8" s="7">
        <v>5</v>
      </c>
      <c r="D8" s="16" t="s">
        <v>139</v>
      </c>
      <c r="E8" s="17"/>
      <c r="F8" s="17"/>
      <c r="G8" s="18"/>
      <c r="H8" s="12">
        <v>98</v>
      </c>
      <c r="I8" s="7" t="s">
        <v>2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4">
        <f t="shared" si="0"/>
        <v>98</v>
      </c>
      <c r="Q8" s="1" t="s">
        <v>14</v>
      </c>
      <c r="R8" s="44">
        <v>50</v>
      </c>
      <c r="S8" s="47">
        <v>400</v>
      </c>
      <c r="T8" s="4"/>
    </row>
    <row r="9" spans="1:20" x14ac:dyDescent="0.25">
      <c r="A9" s="7">
        <v>6</v>
      </c>
      <c r="D9" s="9" t="s">
        <v>24</v>
      </c>
      <c r="E9" s="10"/>
      <c r="F9" s="10"/>
      <c r="G9" s="11"/>
      <c r="H9" s="12">
        <v>180</v>
      </c>
      <c r="I9" s="7" t="s">
        <v>171</v>
      </c>
      <c r="J9" s="3">
        <v>0</v>
      </c>
      <c r="K9" s="3">
        <v>0</v>
      </c>
      <c r="L9" s="3">
        <v>10</v>
      </c>
      <c r="M9" s="3">
        <v>0</v>
      </c>
      <c r="N9" s="3">
        <v>0</v>
      </c>
      <c r="O9" s="3">
        <v>0</v>
      </c>
      <c r="P9" s="4">
        <f t="shared" si="0"/>
        <v>170</v>
      </c>
      <c r="Q9" s="1" t="s">
        <v>132</v>
      </c>
      <c r="R9" s="44">
        <v>100</v>
      </c>
      <c r="S9" s="47">
        <v>400</v>
      </c>
      <c r="T9" s="4"/>
    </row>
    <row r="10" spans="1:20" x14ac:dyDescent="0.25">
      <c r="A10" s="7">
        <v>7</v>
      </c>
      <c r="D10" s="16" t="s">
        <v>101</v>
      </c>
      <c r="E10" s="17"/>
      <c r="F10" s="17"/>
      <c r="G10" s="18"/>
      <c r="H10" s="12">
        <v>70</v>
      </c>
      <c r="I10" s="7" t="s">
        <v>171</v>
      </c>
      <c r="J10" s="3">
        <v>0</v>
      </c>
      <c r="K10" s="3">
        <v>0</v>
      </c>
      <c r="L10" s="3">
        <v>70</v>
      </c>
      <c r="M10" s="3">
        <v>0</v>
      </c>
      <c r="N10" s="3">
        <v>0</v>
      </c>
      <c r="O10" s="3">
        <v>0</v>
      </c>
      <c r="P10" s="4">
        <f t="shared" si="0"/>
        <v>0</v>
      </c>
      <c r="Q10" s="1" t="s">
        <v>171</v>
      </c>
      <c r="R10" s="44">
        <v>200</v>
      </c>
      <c r="S10" s="47">
        <v>500</v>
      </c>
      <c r="T10" s="4"/>
    </row>
    <row r="11" spans="1:20" x14ac:dyDescent="0.25">
      <c r="A11" s="7">
        <v>8</v>
      </c>
      <c r="D11" s="9" t="s">
        <v>25</v>
      </c>
      <c r="E11" s="10"/>
      <c r="F11" s="10"/>
      <c r="G11" s="11"/>
      <c r="H11" s="12">
        <v>252</v>
      </c>
      <c r="I11" s="7" t="s">
        <v>2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4">
        <f t="shared" si="0"/>
        <v>252</v>
      </c>
      <c r="Q11" s="1" t="s">
        <v>14</v>
      </c>
      <c r="R11" s="44">
        <v>50</v>
      </c>
      <c r="S11" s="47">
        <v>300</v>
      </c>
      <c r="T11" s="4"/>
    </row>
    <row r="12" spans="1:20" x14ac:dyDescent="0.25">
      <c r="A12" s="7">
        <v>9</v>
      </c>
      <c r="D12" s="16" t="s">
        <v>174</v>
      </c>
      <c r="E12" s="17"/>
      <c r="F12" s="17"/>
      <c r="G12" s="18"/>
      <c r="H12" s="12">
        <v>80</v>
      </c>
      <c r="I12" s="7" t="s">
        <v>2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4">
        <f t="shared" si="0"/>
        <v>80</v>
      </c>
      <c r="Q12" s="1" t="s">
        <v>14</v>
      </c>
      <c r="R12" s="44">
        <v>45</v>
      </c>
      <c r="S12" s="47">
        <v>200</v>
      </c>
      <c r="T12" s="4"/>
    </row>
    <row r="13" spans="1:20" x14ac:dyDescent="0.25">
      <c r="A13" s="7">
        <v>10</v>
      </c>
      <c r="D13" s="9" t="s">
        <v>6</v>
      </c>
      <c r="E13" s="10"/>
      <c r="F13" s="10"/>
      <c r="G13" s="11"/>
      <c r="H13" s="12">
        <v>10</v>
      </c>
      <c r="I13" s="7" t="s">
        <v>2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4">
        <f t="shared" si="0"/>
        <v>10</v>
      </c>
      <c r="Q13" s="1" t="s">
        <v>14</v>
      </c>
      <c r="R13" s="44">
        <v>10</v>
      </c>
      <c r="S13" s="46">
        <v>100</v>
      </c>
      <c r="T13" s="4"/>
    </row>
    <row r="14" spans="1:20" x14ac:dyDescent="0.25">
      <c r="A14" s="7">
        <v>11</v>
      </c>
      <c r="D14" s="16" t="s">
        <v>7</v>
      </c>
      <c r="E14" s="17"/>
      <c r="F14" s="17"/>
      <c r="G14" s="18"/>
      <c r="H14" s="12">
        <v>4</v>
      </c>
      <c r="I14" s="7" t="s">
        <v>171</v>
      </c>
      <c r="J14" s="3">
        <v>0</v>
      </c>
      <c r="K14" s="3">
        <v>2</v>
      </c>
      <c r="L14" s="3">
        <v>0</v>
      </c>
      <c r="M14" s="3">
        <v>0</v>
      </c>
      <c r="N14" s="3">
        <v>0</v>
      </c>
      <c r="O14" s="3">
        <v>0</v>
      </c>
      <c r="P14" s="4">
        <f t="shared" si="0"/>
        <v>2</v>
      </c>
      <c r="Q14" s="1" t="s">
        <v>14</v>
      </c>
      <c r="R14" s="44">
        <v>10</v>
      </c>
      <c r="S14" s="47">
        <v>50</v>
      </c>
      <c r="T14" s="4"/>
    </row>
    <row r="15" spans="1:20" x14ac:dyDescent="0.25">
      <c r="A15" s="7">
        <v>12</v>
      </c>
      <c r="D15" s="9" t="s">
        <v>198</v>
      </c>
      <c r="E15" s="10"/>
      <c r="F15" s="10"/>
      <c r="G15" s="11"/>
      <c r="H15" s="12">
        <v>4</v>
      </c>
      <c r="I15" s="7" t="s">
        <v>171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4">
        <f t="shared" si="0"/>
        <v>4</v>
      </c>
      <c r="Q15" s="1" t="s">
        <v>132</v>
      </c>
      <c r="R15" s="44">
        <v>5</v>
      </c>
      <c r="S15" s="47">
        <v>50</v>
      </c>
      <c r="T15" s="4"/>
    </row>
    <row r="16" spans="1:20" x14ac:dyDescent="0.25">
      <c r="A16" s="7">
        <v>13</v>
      </c>
      <c r="D16" s="100"/>
      <c r="E16" s="89"/>
      <c r="F16" s="90" t="s">
        <v>111</v>
      </c>
      <c r="G16" s="87"/>
      <c r="H16" s="12">
        <v>91</v>
      </c>
      <c r="I16" s="7" t="s">
        <v>2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4">
        <f t="shared" si="0"/>
        <v>91</v>
      </c>
      <c r="Q16" s="1" t="s">
        <v>14</v>
      </c>
      <c r="R16" s="44">
        <v>100</v>
      </c>
      <c r="S16" s="46">
        <v>500</v>
      </c>
      <c r="T16" s="4"/>
    </row>
    <row r="17" spans="1:20" x14ac:dyDescent="0.25">
      <c r="A17" s="7">
        <v>14</v>
      </c>
      <c r="D17" s="9" t="s">
        <v>73</v>
      </c>
      <c r="E17" s="10"/>
      <c r="F17" s="10"/>
      <c r="G17" s="11"/>
      <c r="H17" s="12">
        <v>590</v>
      </c>
      <c r="I17" s="7" t="s">
        <v>2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4">
        <f t="shared" si="0"/>
        <v>590</v>
      </c>
      <c r="Q17" s="1" t="s">
        <v>14</v>
      </c>
      <c r="R17" s="44">
        <v>0</v>
      </c>
      <c r="S17" s="46"/>
      <c r="T17" s="4"/>
    </row>
    <row r="18" spans="1:20" x14ac:dyDescent="0.25">
      <c r="A18" s="7">
        <v>15</v>
      </c>
      <c r="D18" s="16" t="s">
        <v>28</v>
      </c>
      <c r="E18" s="17"/>
      <c r="F18" s="17"/>
      <c r="G18" s="18"/>
      <c r="H18" s="12">
        <v>20</v>
      </c>
      <c r="I18" s="7" t="s">
        <v>2</v>
      </c>
      <c r="J18" s="3">
        <v>50</v>
      </c>
      <c r="K18" s="3">
        <v>0</v>
      </c>
      <c r="L18" s="3">
        <v>0</v>
      </c>
      <c r="M18" s="3">
        <v>0</v>
      </c>
      <c r="N18" s="3">
        <v>40</v>
      </c>
      <c r="O18" s="3">
        <v>0</v>
      </c>
      <c r="P18" s="4">
        <f t="shared" si="0"/>
        <v>30</v>
      </c>
      <c r="Q18" s="1" t="s">
        <v>14</v>
      </c>
      <c r="R18" s="44">
        <v>50</v>
      </c>
      <c r="S18" s="47">
        <v>100</v>
      </c>
      <c r="T18" s="4"/>
    </row>
    <row r="19" spans="1:20" ht="15.75" thickBot="1" x14ac:dyDescent="0.3">
      <c r="A19" s="7">
        <v>16</v>
      </c>
      <c r="D19" s="13" t="s">
        <v>29</v>
      </c>
      <c r="E19" s="14"/>
      <c r="F19" s="14"/>
      <c r="G19" s="15"/>
      <c r="H19" s="12">
        <v>3</v>
      </c>
      <c r="I19" s="7" t="s">
        <v>2</v>
      </c>
      <c r="J19" s="3">
        <v>50</v>
      </c>
      <c r="K19" s="3">
        <v>0</v>
      </c>
      <c r="L19" s="3">
        <v>0</v>
      </c>
      <c r="M19" s="3">
        <v>0</v>
      </c>
      <c r="N19" s="3">
        <v>50</v>
      </c>
      <c r="O19" s="3">
        <v>0</v>
      </c>
      <c r="P19" s="4">
        <f t="shared" si="0"/>
        <v>3</v>
      </c>
      <c r="Q19" s="1" t="s">
        <v>14</v>
      </c>
      <c r="R19" s="44">
        <v>50</v>
      </c>
      <c r="S19" s="47">
        <v>100</v>
      </c>
      <c r="T19" s="4"/>
    </row>
    <row r="20" spans="1:20" ht="15.75" thickBot="1" x14ac:dyDescent="0.3">
      <c r="A20" s="7">
        <v>17</v>
      </c>
      <c r="D20" s="102" t="s">
        <v>200</v>
      </c>
      <c r="E20" s="103"/>
      <c r="F20" s="103"/>
      <c r="G20" s="104"/>
      <c r="H20" s="101">
        <v>20</v>
      </c>
      <c r="I20" s="7" t="s">
        <v>2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4">
        <f t="shared" si="0"/>
        <v>20</v>
      </c>
      <c r="Q20" s="1"/>
      <c r="R20" s="44">
        <v>10</v>
      </c>
      <c r="S20" s="47">
        <v>50</v>
      </c>
      <c r="T20" s="4"/>
    </row>
    <row r="21" spans="1:20" x14ac:dyDescent="0.25">
      <c r="A21" s="7">
        <v>18</v>
      </c>
      <c r="D21" s="19" t="s">
        <v>129</v>
      </c>
      <c r="E21" s="20"/>
      <c r="F21" s="20"/>
      <c r="G21" s="21"/>
      <c r="H21" s="12">
        <v>35</v>
      </c>
      <c r="I21" s="7" t="s">
        <v>2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4">
        <f t="shared" si="0"/>
        <v>35</v>
      </c>
      <c r="Q21" s="1" t="s">
        <v>14</v>
      </c>
      <c r="R21" s="44">
        <v>10</v>
      </c>
      <c r="S21" s="46">
        <v>50</v>
      </c>
      <c r="T21" s="4"/>
    </row>
    <row r="22" spans="1:20" x14ac:dyDescent="0.25">
      <c r="A22" s="7">
        <v>19</v>
      </c>
      <c r="D22" s="55" t="s">
        <v>184</v>
      </c>
      <c r="E22" s="56"/>
      <c r="F22" s="56"/>
      <c r="G22" s="57"/>
      <c r="H22" s="12">
        <v>660</v>
      </c>
      <c r="I22" s="59" t="s">
        <v>1</v>
      </c>
      <c r="J22" s="3">
        <v>0</v>
      </c>
      <c r="K22" s="3">
        <v>70</v>
      </c>
      <c r="L22" s="3">
        <v>50</v>
      </c>
      <c r="M22" s="3">
        <v>70</v>
      </c>
      <c r="N22" s="3">
        <v>70</v>
      </c>
      <c r="O22" s="3">
        <v>0</v>
      </c>
      <c r="P22" s="46">
        <f t="shared" si="0"/>
        <v>400</v>
      </c>
      <c r="Q22" s="1" t="s">
        <v>75</v>
      </c>
      <c r="R22" s="44">
        <v>150</v>
      </c>
      <c r="S22" s="47">
        <v>400</v>
      </c>
      <c r="T22" s="4"/>
    </row>
    <row r="23" spans="1:20" x14ac:dyDescent="0.25">
      <c r="A23" s="7">
        <v>20</v>
      </c>
      <c r="D23" s="9" t="s">
        <v>32</v>
      </c>
      <c r="E23" s="10"/>
      <c r="F23" s="10"/>
      <c r="G23" s="11"/>
      <c r="H23" s="12">
        <v>800</v>
      </c>
      <c r="I23" s="7" t="s">
        <v>2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4">
        <f t="shared" si="0"/>
        <v>800</v>
      </c>
      <c r="Q23" s="1" t="s">
        <v>14</v>
      </c>
      <c r="R23" s="44">
        <v>0</v>
      </c>
      <c r="S23" s="46">
        <v>0</v>
      </c>
      <c r="T23" s="4"/>
    </row>
    <row r="24" spans="1:20" x14ac:dyDescent="0.25">
      <c r="A24" s="7">
        <v>21</v>
      </c>
      <c r="D24" s="16" t="s">
        <v>188</v>
      </c>
      <c r="E24" s="17"/>
      <c r="F24" s="17"/>
      <c r="G24" s="18"/>
      <c r="H24" s="12">
        <v>35</v>
      </c>
      <c r="I24" s="7" t="s">
        <v>2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4">
        <f t="shared" si="0"/>
        <v>35</v>
      </c>
      <c r="Q24" s="1" t="s">
        <v>14</v>
      </c>
      <c r="R24" s="44">
        <v>10</v>
      </c>
      <c r="S24" s="46">
        <v>100</v>
      </c>
      <c r="T24" s="4"/>
    </row>
    <row r="25" spans="1:20" x14ac:dyDescent="0.25">
      <c r="A25" s="7">
        <v>22</v>
      </c>
      <c r="D25" s="9" t="s">
        <v>34</v>
      </c>
      <c r="E25" s="10"/>
      <c r="F25" s="10"/>
      <c r="G25" s="11"/>
      <c r="H25" s="12">
        <v>25</v>
      </c>
      <c r="I25" s="7" t="s">
        <v>2</v>
      </c>
      <c r="J25" s="3">
        <v>100</v>
      </c>
      <c r="K25" s="3">
        <v>0</v>
      </c>
      <c r="L25" s="3">
        <v>0</v>
      </c>
      <c r="M25" s="3">
        <v>9</v>
      </c>
      <c r="N25" s="3">
        <v>0</v>
      </c>
      <c r="O25" s="3">
        <v>0</v>
      </c>
      <c r="P25" s="4">
        <f t="shared" si="0"/>
        <v>116</v>
      </c>
      <c r="Q25" s="1" t="s">
        <v>14</v>
      </c>
      <c r="R25" s="44">
        <v>20</v>
      </c>
      <c r="S25" s="46">
        <v>50</v>
      </c>
      <c r="T25" s="4"/>
    </row>
    <row r="26" spans="1:20" x14ac:dyDescent="0.25">
      <c r="A26" s="7">
        <v>23</v>
      </c>
      <c r="D26" s="16" t="s">
        <v>142</v>
      </c>
      <c r="E26" s="17"/>
      <c r="F26" s="17"/>
      <c r="G26" s="18"/>
      <c r="H26" s="12">
        <v>68</v>
      </c>
      <c r="I26" s="7" t="s">
        <v>2</v>
      </c>
      <c r="J26" s="3">
        <v>0</v>
      </c>
      <c r="K26" s="3">
        <v>0</v>
      </c>
      <c r="L26" s="3">
        <v>0</v>
      </c>
      <c r="M26" s="3">
        <v>0</v>
      </c>
      <c r="N26" s="3">
        <v>20</v>
      </c>
      <c r="O26" s="3">
        <v>0</v>
      </c>
      <c r="P26" s="4">
        <f t="shared" si="0"/>
        <v>48</v>
      </c>
      <c r="Q26" s="1" t="s">
        <v>14</v>
      </c>
      <c r="R26" s="44">
        <v>20</v>
      </c>
      <c r="S26" s="47">
        <v>50</v>
      </c>
      <c r="T26" s="4"/>
    </row>
    <row r="27" spans="1:20" x14ac:dyDescent="0.25">
      <c r="A27" s="7">
        <v>24</v>
      </c>
      <c r="D27" s="9" t="s">
        <v>141</v>
      </c>
      <c r="E27" s="10"/>
      <c r="F27" s="10"/>
      <c r="G27" s="11"/>
      <c r="H27" s="12">
        <v>68</v>
      </c>
      <c r="I27" s="7" t="s">
        <v>2</v>
      </c>
      <c r="J27" s="3">
        <v>0</v>
      </c>
      <c r="K27" s="3">
        <v>0</v>
      </c>
      <c r="L27" s="3">
        <v>0</v>
      </c>
      <c r="M27" s="3">
        <v>0</v>
      </c>
      <c r="N27" s="3">
        <v>20</v>
      </c>
      <c r="O27" s="3">
        <v>0</v>
      </c>
      <c r="P27" s="4">
        <f t="shared" si="0"/>
        <v>48</v>
      </c>
      <c r="Q27" s="1"/>
      <c r="R27" s="44">
        <v>20</v>
      </c>
      <c r="S27" s="47">
        <v>50</v>
      </c>
      <c r="T27" s="4"/>
    </row>
    <row r="28" spans="1:20" x14ac:dyDescent="0.25">
      <c r="A28" s="7">
        <v>25</v>
      </c>
      <c r="D28" s="9" t="s">
        <v>137</v>
      </c>
      <c r="E28" s="10"/>
      <c r="F28" s="10"/>
      <c r="G28" s="11"/>
      <c r="H28" s="12">
        <v>13</v>
      </c>
      <c r="I28" s="7" t="s">
        <v>2</v>
      </c>
      <c r="J28" s="3">
        <v>50</v>
      </c>
      <c r="K28" s="3">
        <v>0</v>
      </c>
      <c r="L28" s="3">
        <v>0</v>
      </c>
      <c r="M28" s="3">
        <v>9</v>
      </c>
      <c r="N28" s="3">
        <v>0</v>
      </c>
      <c r="O28" s="3">
        <v>0</v>
      </c>
      <c r="P28" s="4">
        <f t="shared" si="0"/>
        <v>54</v>
      </c>
      <c r="Q28" s="1" t="s">
        <v>14</v>
      </c>
      <c r="R28" s="44">
        <v>20</v>
      </c>
      <c r="S28" s="47">
        <v>50</v>
      </c>
      <c r="T28" s="4"/>
    </row>
    <row r="29" spans="1:20" x14ac:dyDescent="0.25">
      <c r="A29" s="7">
        <v>26</v>
      </c>
      <c r="D29" s="9" t="s">
        <v>138</v>
      </c>
      <c r="E29" s="10"/>
      <c r="F29" s="10"/>
      <c r="G29" s="11"/>
      <c r="H29" s="12">
        <v>6</v>
      </c>
      <c r="I29" s="7" t="s">
        <v>2</v>
      </c>
      <c r="J29" s="3">
        <v>50</v>
      </c>
      <c r="K29" s="3">
        <v>0</v>
      </c>
      <c r="L29" s="3">
        <v>0</v>
      </c>
      <c r="M29" s="3">
        <v>9</v>
      </c>
      <c r="N29" s="3">
        <v>0</v>
      </c>
      <c r="O29" s="3">
        <v>0</v>
      </c>
      <c r="P29" s="4">
        <f t="shared" si="0"/>
        <v>47</v>
      </c>
      <c r="Q29" s="1"/>
      <c r="R29" s="44">
        <v>20</v>
      </c>
      <c r="S29" s="47">
        <v>50</v>
      </c>
      <c r="T29" s="4"/>
    </row>
    <row r="30" spans="1:20" x14ac:dyDescent="0.25">
      <c r="A30" s="7">
        <v>27</v>
      </c>
      <c r="D30" s="16" t="s">
        <v>35</v>
      </c>
      <c r="E30" s="17"/>
      <c r="F30" s="17"/>
      <c r="G30" s="18"/>
      <c r="H30" s="12">
        <v>150</v>
      </c>
      <c r="I30" s="7" t="s">
        <v>2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4">
        <f t="shared" si="0"/>
        <v>150</v>
      </c>
      <c r="Q30" s="1" t="s">
        <v>14</v>
      </c>
      <c r="R30" s="44">
        <v>50</v>
      </c>
      <c r="S30" s="47">
        <v>100</v>
      </c>
      <c r="T30" s="4"/>
    </row>
    <row r="31" spans="1:20" x14ac:dyDescent="0.25">
      <c r="A31" s="7">
        <v>28</v>
      </c>
      <c r="D31" s="9" t="s">
        <v>36</v>
      </c>
      <c r="E31" s="10"/>
      <c r="F31" s="10"/>
      <c r="G31" s="11"/>
      <c r="H31" s="12">
        <v>15</v>
      </c>
      <c r="I31" s="7" t="s">
        <v>2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4">
        <f t="shared" si="0"/>
        <v>15</v>
      </c>
      <c r="Q31" s="1" t="s">
        <v>14</v>
      </c>
      <c r="R31" s="44">
        <v>50</v>
      </c>
      <c r="S31" s="47">
        <v>100</v>
      </c>
      <c r="T31" s="4"/>
    </row>
    <row r="32" spans="1:20" x14ac:dyDescent="0.25">
      <c r="A32" s="7">
        <v>29</v>
      </c>
      <c r="D32" s="16" t="s">
        <v>37</v>
      </c>
      <c r="E32" s="17"/>
      <c r="F32" s="17"/>
      <c r="G32" s="18"/>
      <c r="H32" s="12">
        <v>97</v>
      </c>
      <c r="I32" s="7" t="s">
        <v>2</v>
      </c>
      <c r="J32" s="3">
        <v>100</v>
      </c>
      <c r="K32" s="3">
        <v>0</v>
      </c>
      <c r="L32" s="3">
        <v>0</v>
      </c>
      <c r="M32" s="3">
        <v>0</v>
      </c>
      <c r="N32" s="3">
        <v>8</v>
      </c>
      <c r="O32" s="3">
        <v>0</v>
      </c>
      <c r="P32" s="4">
        <f t="shared" si="0"/>
        <v>189</v>
      </c>
      <c r="Q32" s="1" t="s">
        <v>14</v>
      </c>
      <c r="R32" s="44">
        <v>20</v>
      </c>
      <c r="S32" s="47">
        <v>50</v>
      </c>
      <c r="T32" s="4"/>
    </row>
    <row r="33" spans="1:20" x14ac:dyDescent="0.25">
      <c r="A33" s="7">
        <v>30</v>
      </c>
      <c r="D33" s="9" t="s">
        <v>38</v>
      </c>
      <c r="E33" s="10"/>
      <c r="F33" s="10"/>
      <c r="G33" s="11"/>
      <c r="H33" s="12">
        <v>42</v>
      </c>
      <c r="I33" s="7" t="s">
        <v>2</v>
      </c>
      <c r="J33" s="3">
        <v>106</v>
      </c>
      <c r="K33" s="3">
        <v>1</v>
      </c>
      <c r="L33" s="3">
        <v>2</v>
      </c>
      <c r="M33" s="3">
        <v>55</v>
      </c>
      <c r="N33" s="3">
        <v>14</v>
      </c>
      <c r="O33" s="3">
        <v>0</v>
      </c>
      <c r="P33" s="4">
        <f t="shared" si="0"/>
        <v>76</v>
      </c>
      <c r="Q33" s="1" t="s">
        <v>14</v>
      </c>
      <c r="R33" s="44">
        <v>50</v>
      </c>
      <c r="S33" s="47">
        <v>100</v>
      </c>
      <c r="T33" s="4"/>
    </row>
    <row r="34" spans="1:20" x14ac:dyDescent="0.25">
      <c r="A34" s="7">
        <v>31</v>
      </c>
      <c r="D34" s="16" t="s">
        <v>39</v>
      </c>
      <c r="E34" s="17"/>
      <c r="F34" s="17"/>
      <c r="G34" s="18"/>
      <c r="H34" s="12">
        <v>68</v>
      </c>
      <c r="I34" s="7" t="s">
        <v>2</v>
      </c>
      <c r="J34" s="3">
        <v>0</v>
      </c>
      <c r="K34" s="3">
        <v>0</v>
      </c>
      <c r="L34" s="3">
        <v>0</v>
      </c>
      <c r="M34" s="3">
        <v>0</v>
      </c>
      <c r="N34" s="3">
        <v>20</v>
      </c>
      <c r="O34" s="3">
        <v>0</v>
      </c>
      <c r="P34" s="4">
        <f t="shared" si="0"/>
        <v>48</v>
      </c>
      <c r="Q34" s="1" t="s">
        <v>14</v>
      </c>
      <c r="R34" s="44">
        <v>20</v>
      </c>
      <c r="S34" s="47">
        <v>50</v>
      </c>
      <c r="T34" s="4"/>
    </row>
    <row r="35" spans="1:20" x14ac:dyDescent="0.25">
      <c r="A35" s="7">
        <v>32</v>
      </c>
      <c r="D35" s="9" t="s">
        <v>40</v>
      </c>
      <c r="E35" s="10"/>
      <c r="F35" s="10"/>
      <c r="G35" s="11"/>
      <c r="H35" s="12">
        <v>1050</v>
      </c>
      <c r="I35" s="7" t="s">
        <v>2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4">
        <f t="shared" si="0"/>
        <v>1050</v>
      </c>
      <c r="Q35" s="1" t="s">
        <v>14</v>
      </c>
      <c r="R35" s="44">
        <v>0</v>
      </c>
      <c r="S35" s="46">
        <v>0</v>
      </c>
      <c r="T35" s="4"/>
    </row>
    <row r="36" spans="1:20" x14ac:dyDescent="0.25">
      <c r="A36" s="7">
        <v>33</v>
      </c>
      <c r="D36" s="9" t="s">
        <v>9</v>
      </c>
      <c r="E36" s="10"/>
      <c r="F36" s="10"/>
      <c r="G36" s="11"/>
      <c r="H36" s="83">
        <v>42</v>
      </c>
      <c r="I36" s="7" t="s">
        <v>132</v>
      </c>
      <c r="J36" s="3">
        <v>50</v>
      </c>
      <c r="K36" s="3">
        <v>2</v>
      </c>
      <c r="L36" s="3">
        <v>0</v>
      </c>
      <c r="M36" s="3">
        <v>13</v>
      </c>
      <c r="N36" s="3">
        <v>4</v>
      </c>
      <c r="O36" s="3">
        <v>0</v>
      </c>
      <c r="P36" s="4">
        <f t="shared" si="0"/>
        <v>73</v>
      </c>
      <c r="Q36" s="1" t="s">
        <v>132</v>
      </c>
      <c r="R36" s="44">
        <v>50</v>
      </c>
      <c r="S36" s="47">
        <v>100</v>
      </c>
      <c r="T36" s="4"/>
    </row>
    <row r="37" spans="1:20" x14ac:dyDescent="0.25">
      <c r="A37" s="7">
        <v>34</v>
      </c>
      <c r="D37" s="19" t="s">
        <v>166</v>
      </c>
      <c r="E37" s="20"/>
      <c r="F37" s="20"/>
      <c r="G37" s="21"/>
      <c r="H37" s="69">
        <v>82</v>
      </c>
      <c r="I37" s="7" t="s">
        <v>2</v>
      </c>
      <c r="J37" s="3">
        <v>0</v>
      </c>
      <c r="K37" s="3">
        <v>2</v>
      </c>
      <c r="L37" s="3">
        <v>0</v>
      </c>
      <c r="M37" s="3">
        <v>13</v>
      </c>
      <c r="N37" s="3">
        <v>0</v>
      </c>
      <c r="O37" s="3">
        <v>0</v>
      </c>
      <c r="P37" s="4">
        <f t="shared" si="0"/>
        <v>67</v>
      </c>
      <c r="Q37" s="1" t="s">
        <v>14</v>
      </c>
      <c r="R37" s="44">
        <v>50</v>
      </c>
      <c r="S37" s="46">
        <v>100</v>
      </c>
      <c r="T37" s="4"/>
    </row>
    <row r="38" spans="1:20" x14ac:dyDescent="0.25">
      <c r="A38" s="7">
        <v>35</v>
      </c>
      <c r="D38" s="16" t="s">
        <v>143</v>
      </c>
      <c r="E38" s="17"/>
      <c r="F38" s="17"/>
      <c r="G38" s="18"/>
      <c r="H38" s="12">
        <v>42</v>
      </c>
      <c r="I38" s="7" t="s">
        <v>2</v>
      </c>
      <c r="J38" s="3">
        <v>50</v>
      </c>
      <c r="K38" s="3">
        <v>2</v>
      </c>
      <c r="L38" s="3">
        <v>0</v>
      </c>
      <c r="M38" s="3">
        <v>13</v>
      </c>
      <c r="N38" s="3">
        <v>4</v>
      </c>
      <c r="O38" s="3">
        <v>0</v>
      </c>
      <c r="P38" s="4">
        <f t="shared" si="0"/>
        <v>73</v>
      </c>
      <c r="Q38" s="1" t="s">
        <v>14</v>
      </c>
      <c r="R38" s="44">
        <v>50</v>
      </c>
      <c r="S38" s="46">
        <v>100</v>
      </c>
      <c r="T38" s="4"/>
    </row>
    <row r="39" spans="1:20" x14ac:dyDescent="0.25">
      <c r="A39" s="7">
        <v>36</v>
      </c>
      <c r="D39" s="9" t="s">
        <v>144</v>
      </c>
      <c r="E39" s="10"/>
      <c r="F39" s="10"/>
      <c r="G39" s="11"/>
      <c r="H39" s="12">
        <v>42</v>
      </c>
      <c r="I39" s="7" t="s">
        <v>2</v>
      </c>
      <c r="J39" s="3">
        <v>50</v>
      </c>
      <c r="K39" s="3">
        <v>2</v>
      </c>
      <c r="L39" s="3">
        <v>0</v>
      </c>
      <c r="M39" s="3">
        <v>13</v>
      </c>
      <c r="N39" s="3">
        <v>4</v>
      </c>
      <c r="O39" s="3">
        <v>0</v>
      </c>
      <c r="P39" s="4">
        <f t="shared" si="0"/>
        <v>73</v>
      </c>
      <c r="Q39" s="1" t="s">
        <v>14</v>
      </c>
      <c r="R39" s="44">
        <v>50</v>
      </c>
      <c r="S39" s="47">
        <v>100</v>
      </c>
      <c r="T39" s="4"/>
    </row>
    <row r="40" spans="1:20" x14ac:dyDescent="0.25">
      <c r="A40" s="7">
        <v>37</v>
      </c>
      <c r="D40" s="16" t="s">
        <v>42</v>
      </c>
      <c r="E40" s="17"/>
      <c r="F40" s="17"/>
      <c r="G40" s="18"/>
      <c r="H40" s="12">
        <v>42</v>
      </c>
      <c r="I40" s="7" t="s">
        <v>2</v>
      </c>
      <c r="J40" s="3">
        <v>50</v>
      </c>
      <c r="K40" s="3">
        <v>2</v>
      </c>
      <c r="L40" s="3">
        <v>0</v>
      </c>
      <c r="M40" s="3">
        <v>13</v>
      </c>
      <c r="N40" s="3">
        <v>4</v>
      </c>
      <c r="O40" s="3">
        <v>0</v>
      </c>
      <c r="P40" s="4">
        <f t="shared" si="0"/>
        <v>73</v>
      </c>
      <c r="Q40" s="1" t="s">
        <v>14</v>
      </c>
      <c r="R40" s="44">
        <v>50</v>
      </c>
      <c r="S40" s="47">
        <v>100</v>
      </c>
      <c r="T40" s="4"/>
    </row>
    <row r="41" spans="1:20" x14ac:dyDescent="0.25">
      <c r="A41" s="7">
        <v>38</v>
      </c>
      <c r="D41" s="9" t="s">
        <v>133</v>
      </c>
      <c r="E41" s="10"/>
      <c r="F41" s="10"/>
      <c r="G41" s="11"/>
      <c r="H41" s="12">
        <v>47</v>
      </c>
      <c r="I41" s="7" t="s">
        <v>2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4">
        <f t="shared" si="0"/>
        <v>47</v>
      </c>
      <c r="Q41" s="1" t="s">
        <v>14</v>
      </c>
      <c r="R41" s="44">
        <v>50</v>
      </c>
      <c r="S41" s="47">
        <v>100</v>
      </c>
      <c r="T41" s="4"/>
    </row>
    <row r="42" spans="1:20" x14ac:dyDescent="0.25">
      <c r="A42" s="7">
        <v>39</v>
      </c>
      <c r="D42" s="16" t="s">
        <v>145</v>
      </c>
      <c r="E42" s="17"/>
      <c r="F42" s="17"/>
      <c r="G42" s="18"/>
      <c r="H42" s="12">
        <v>47</v>
      </c>
      <c r="I42" s="7" t="s">
        <v>2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4">
        <f t="shared" si="0"/>
        <v>47</v>
      </c>
      <c r="Q42" s="1" t="s">
        <v>14</v>
      </c>
      <c r="R42" s="44">
        <v>50</v>
      </c>
      <c r="S42" s="46">
        <v>100</v>
      </c>
      <c r="T42" s="4"/>
    </row>
    <row r="43" spans="1:20" x14ac:dyDescent="0.25">
      <c r="A43" s="7">
        <v>40</v>
      </c>
      <c r="D43" s="9" t="s">
        <v>190</v>
      </c>
      <c r="E43" s="10"/>
      <c r="F43" s="10" t="s">
        <v>14</v>
      </c>
      <c r="G43" s="11" t="s">
        <v>14</v>
      </c>
      <c r="H43" s="12">
        <v>70</v>
      </c>
      <c r="I43" s="7" t="s">
        <v>75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4">
        <f t="shared" si="0"/>
        <v>70</v>
      </c>
      <c r="Q43" s="1" t="s">
        <v>75</v>
      </c>
      <c r="R43" s="44">
        <v>50</v>
      </c>
      <c r="S43" s="47">
        <v>200</v>
      </c>
      <c r="T43" s="4"/>
    </row>
    <row r="44" spans="1:20" x14ac:dyDescent="0.25">
      <c r="A44" s="7">
        <v>41</v>
      </c>
      <c r="D44" s="16" t="s">
        <v>10</v>
      </c>
      <c r="E44" s="17"/>
      <c r="F44" s="17"/>
      <c r="G44" s="18"/>
      <c r="H44" s="12">
        <v>14</v>
      </c>
      <c r="I44" s="7" t="s">
        <v>2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4">
        <f t="shared" si="0"/>
        <v>14</v>
      </c>
      <c r="Q44" s="1" t="s">
        <v>132</v>
      </c>
      <c r="R44" s="44">
        <v>20</v>
      </c>
      <c r="S44" s="47">
        <v>50</v>
      </c>
      <c r="T44" s="4"/>
    </row>
    <row r="45" spans="1:20" x14ac:dyDescent="0.25">
      <c r="A45" s="7">
        <v>42</v>
      </c>
      <c r="D45" s="9" t="s">
        <v>45</v>
      </c>
      <c r="E45" s="10"/>
      <c r="F45" s="10"/>
      <c r="G45" s="11"/>
      <c r="H45" s="12">
        <v>24</v>
      </c>
      <c r="I45" s="7" t="s">
        <v>2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4">
        <f t="shared" si="0"/>
        <v>24</v>
      </c>
      <c r="Q45" s="1" t="s">
        <v>14</v>
      </c>
      <c r="R45" s="44">
        <v>20</v>
      </c>
      <c r="S45" s="47">
        <v>50</v>
      </c>
      <c r="T45" s="4"/>
    </row>
    <row r="46" spans="1:20" x14ac:dyDescent="0.25">
      <c r="A46" s="7">
        <v>43</v>
      </c>
      <c r="D46" s="16" t="s">
        <v>46</v>
      </c>
      <c r="E46" s="17"/>
      <c r="F46" s="17"/>
      <c r="G46" s="18"/>
      <c r="H46" s="12">
        <v>24</v>
      </c>
      <c r="I46" s="7" t="s">
        <v>2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4">
        <f t="shared" si="0"/>
        <v>24</v>
      </c>
      <c r="Q46" s="1" t="s">
        <v>14</v>
      </c>
      <c r="R46" s="44">
        <v>20</v>
      </c>
      <c r="S46" s="47">
        <v>50</v>
      </c>
      <c r="T46" s="4"/>
    </row>
    <row r="47" spans="1:20" x14ac:dyDescent="0.25">
      <c r="A47" s="7">
        <v>44</v>
      </c>
      <c r="D47" s="9" t="s">
        <v>47</v>
      </c>
      <c r="E47" s="10"/>
      <c r="F47" s="10"/>
      <c r="G47" s="11" t="s">
        <v>14</v>
      </c>
      <c r="H47" s="12">
        <v>24</v>
      </c>
      <c r="I47" s="7" t="s">
        <v>2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4">
        <f t="shared" si="0"/>
        <v>24</v>
      </c>
      <c r="Q47" s="1" t="s">
        <v>14</v>
      </c>
      <c r="R47" s="44">
        <v>20</v>
      </c>
      <c r="S47" s="47">
        <v>50</v>
      </c>
      <c r="T47" s="4"/>
    </row>
    <row r="48" spans="1:20" x14ac:dyDescent="0.25">
      <c r="A48" s="7">
        <v>45</v>
      </c>
      <c r="D48" s="16" t="s">
        <v>175</v>
      </c>
      <c r="E48" s="17"/>
      <c r="F48" s="17"/>
      <c r="G48" s="18"/>
      <c r="H48" s="12">
        <v>300</v>
      </c>
      <c r="I48" s="7" t="s">
        <v>2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4">
        <f t="shared" si="0"/>
        <v>300</v>
      </c>
      <c r="Q48" s="1" t="s">
        <v>14</v>
      </c>
      <c r="R48" s="44">
        <v>500</v>
      </c>
      <c r="S48" s="47">
        <v>2000</v>
      </c>
      <c r="T48" s="4"/>
    </row>
    <row r="49" spans="1:20" x14ac:dyDescent="0.25">
      <c r="A49" s="7">
        <v>46</v>
      </c>
      <c r="D49" s="9" t="s">
        <v>48</v>
      </c>
      <c r="E49" s="10"/>
      <c r="F49" s="10"/>
      <c r="G49" s="11"/>
      <c r="H49" s="12">
        <v>13</v>
      </c>
      <c r="I49" s="7" t="s">
        <v>2</v>
      </c>
      <c r="J49" s="3">
        <v>0</v>
      </c>
      <c r="K49" s="3">
        <v>1</v>
      </c>
      <c r="L49" s="3">
        <v>0</v>
      </c>
      <c r="M49" s="3">
        <v>0</v>
      </c>
      <c r="N49" s="3">
        <v>0</v>
      </c>
      <c r="O49" s="3">
        <v>0</v>
      </c>
      <c r="P49" s="4">
        <f t="shared" si="0"/>
        <v>12</v>
      </c>
      <c r="Q49" s="1" t="s">
        <v>14</v>
      </c>
      <c r="R49" s="44">
        <v>10</v>
      </c>
      <c r="S49" s="47">
        <v>20</v>
      </c>
      <c r="T49" s="4" t="s">
        <v>14</v>
      </c>
    </row>
    <row r="50" spans="1:20" x14ac:dyDescent="0.25">
      <c r="A50" s="7">
        <v>47</v>
      </c>
      <c r="D50" s="16" t="s">
        <v>49</v>
      </c>
      <c r="E50" s="17"/>
      <c r="F50" s="17"/>
      <c r="G50" s="18"/>
      <c r="H50" s="12">
        <v>80</v>
      </c>
      <c r="I50" s="7" t="s">
        <v>2</v>
      </c>
      <c r="J50" s="3">
        <v>0</v>
      </c>
      <c r="K50" s="3">
        <v>1</v>
      </c>
      <c r="L50" s="3">
        <v>0</v>
      </c>
      <c r="M50" s="3">
        <v>0</v>
      </c>
      <c r="N50" s="3">
        <v>0</v>
      </c>
      <c r="O50" s="3">
        <v>0</v>
      </c>
      <c r="P50" s="4">
        <f t="shared" si="0"/>
        <v>79</v>
      </c>
      <c r="Q50" s="1" t="s">
        <v>14</v>
      </c>
      <c r="R50" s="44">
        <v>10</v>
      </c>
      <c r="S50" s="47">
        <v>20</v>
      </c>
      <c r="T50" s="4"/>
    </row>
    <row r="51" spans="1:20" x14ac:dyDescent="0.25">
      <c r="A51" s="7">
        <v>48</v>
      </c>
      <c r="D51" s="9" t="s">
        <v>189</v>
      </c>
      <c r="E51" s="10"/>
      <c r="F51" s="10"/>
      <c r="G51" s="11"/>
      <c r="H51" s="12">
        <v>230</v>
      </c>
      <c r="I51" s="7" t="s">
        <v>1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4">
        <f t="shared" si="0"/>
        <v>230</v>
      </c>
      <c r="Q51" s="1" t="s">
        <v>75</v>
      </c>
      <c r="R51" s="44">
        <v>50</v>
      </c>
      <c r="S51" s="47">
        <v>100</v>
      </c>
      <c r="T51" s="4"/>
    </row>
    <row r="52" spans="1:20" x14ac:dyDescent="0.25">
      <c r="A52" s="7">
        <v>49</v>
      </c>
      <c r="D52" s="94" t="s">
        <v>185</v>
      </c>
      <c r="E52" s="91" t="s">
        <v>186</v>
      </c>
      <c r="F52" s="92" t="s">
        <v>187</v>
      </c>
      <c r="G52" s="93"/>
      <c r="H52" s="12">
        <v>40</v>
      </c>
      <c r="I52" s="7" t="s">
        <v>2</v>
      </c>
      <c r="J52" s="3">
        <v>0</v>
      </c>
      <c r="K52" s="3">
        <v>0</v>
      </c>
      <c r="L52" s="3">
        <v>4</v>
      </c>
      <c r="M52" s="3">
        <v>0</v>
      </c>
      <c r="N52" s="3">
        <v>0</v>
      </c>
      <c r="O52" s="3">
        <v>0</v>
      </c>
      <c r="P52" s="4">
        <f t="shared" si="0"/>
        <v>36</v>
      </c>
      <c r="Q52" s="1" t="s">
        <v>14</v>
      </c>
      <c r="R52" s="44">
        <v>20</v>
      </c>
      <c r="S52" s="47">
        <v>50</v>
      </c>
      <c r="T52" s="4"/>
    </row>
    <row r="53" spans="1:20" x14ac:dyDescent="0.25">
      <c r="A53" s="7">
        <v>50</v>
      </c>
      <c r="D53" s="9" t="s">
        <v>51</v>
      </c>
      <c r="E53" s="10"/>
      <c r="F53" s="10"/>
      <c r="G53" s="11"/>
      <c r="H53" s="12">
        <v>38</v>
      </c>
      <c r="I53" s="7" t="s">
        <v>2</v>
      </c>
      <c r="J53" s="3">
        <v>0</v>
      </c>
      <c r="K53" s="3">
        <v>0</v>
      </c>
      <c r="L53" s="3">
        <v>4</v>
      </c>
      <c r="M53" s="3">
        <v>0</v>
      </c>
      <c r="N53" s="3">
        <v>0</v>
      </c>
      <c r="O53" s="3">
        <v>0</v>
      </c>
      <c r="P53" s="4">
        <f t="shared" si="0"/>
        <v>34</v>
      </c>
      <c r="Q53" s="1" t="s">
        <v>14</v>
      </c>
      <c r="R53" s="44">
        <v>20</v>
      </c>
      <c r="S53" s="47">
        <v>50</v>
      </c>
      <c r="T53" s="4"/>
    </row>
    <row r="54" spans="1:20" x14ac:dyDescent="0.25">
      <c r="A54" s="7">
        <v>51</v>
      </c>
      <c r="D54" s="16" t="s">
        <v>52</v>
      </c>
      <c r="E54" s="17"/>
      <c r="F54" s="17"/>
      <c r="G54" s="18"/>
      <c r="H54" s="12">
        <v>44</v>
      </c>
      <c r="I54" s="7" t="s">
        <v>2</v>
      </c>
      <c r="J54" s="3">
        <v>0</v>
      </c>
      <c r="K54" s="3">
        <v>0</v>
      </c>
      <c r="L54" s="3">
        <v>4</v>
      </c>
      <c r="M54" s="3">
        <v>0</v>
      </c>
      <c r="N54" s="3">
        <v>0</v>
      </c>
      <c r="O54" s="3">
        <v>0</v>
      </c>
      <c r="P54" s="4">
        <f t="shared" si="0"/>
        <v>40</v>
      </c>
      <c r="Q54" s="1" t="s">
        <v>14</v>
      </c>
      <c r="R54" s="44">
        <v>20</v>
      </c>
      <c r="S54" s="47">
        <v>50</v>
      </c>
      <c r="T54" s="4" t="s">
        <v>14</v>
      </c>
    </row>
    <row r="55" spans="1:20" x14ac:dyDescent="0.25">
      <c r="A55" s="7">
        <v>52</v>
      </c>
      <c r="D55" s="9" t="s">
        <v>53</v>
      </c>
      <c r="E55" s="10"/>
      <c r="F55" s="10"/>
      <c r="G55" s="11"/>
      <c r="H55" s="12">
        <v>59</v>
      </c>
      <c r="I55" s="7" t="s">
        <v>2</v>
      </c>
      <c r="J55" s="3">
        <v>0</v>
      </c>
      <c r="K55" s="3">
        <v>0</v>
      </c>
      <c r="L55" s="3">
        <v>4</v>
      </c>
      <c r="M55" s="3">
        <v>0</v>
      </c>
      <c r="N55" s="3">
        <v>0</v>
      </c>
      <c r="O55" s="3">
        <v>0</v>
      </c>
      <c r="P55" s="4">
        <f t="shared" si="0"/>
        <v>55</v>
      </c>
      <c r="Q55" s="1" t="s">
        <v>14</v>
      </c>
      <c r="R55" s="44">
        <v>20</v>
      </c>
      <c r="S55" s="47">
        <v>50</v>
      </c>
      <c r="T55" s="4"/>
    </row>
    <row r="56" spans="1:20" x14ac:dyDescent="0.25">
      <c r="A56" s="7">
        <v>53</v>
      </c>
      <c r="D56" s="70" t="s">
        <v>191</v>
      </c>
      <c r="E56" s="71"/>
      <c r="F56" s="71"/>
      <c r="G56" s="72"/>
      <c r="H56" s="12">
        <v>555</v>
      </c>
      <c r="I56" s="7" t="s">
        <v>1</v>
      </c>
      <c r="J56" s="3">
        <v>675</v>
      </c>
      <c r="K56" s="3">
        <v>120</v>
      </c>
      <c r="L56" s="3">
        <v>150</v>
      </c>
      <c r="M56" s="3">
        <v>90</v>
      </c>
      <c r="N56" s="3">
        <v>135</v>
      </c>
      <c r="O56" s="3">
        <v>0</v>
      </c>
      <c r="P56" s="4">
        <f t="shared" si="0"/>
        <v>735</v>
      </c>
      <c r="Q56" s="1" t="s">
        <v>120</v>
      </c>
      <c r="R56" s="44">
        <v>300</v>
      </c>
      <c r="S56" s="47">
        <v>900</v>
      </c>
      <c r="T56" s="4"/>
    </row>
    <row r="57" spans="1:20" x14ac:dyDescent="0.25">
      <c r="A57" s="7">
        <v>54</v>
      </c>
      <c r="D57" s="16" t="s">
        <v>61</v>
      </c>
      <c r="E57" s="17"/>
      <c r="F57" s="17"/>
      <c r="G57" s="18"/>
      <c r="H57" s="12">
        <v>50</v>
      </c>
      <c r="I57" s="7" t="s">
        <v>171</v>
      </c>
      <c r="J57" s="3">
        <v>0</v>
      </c>
      <c r="K57" s="3">
        <v>0</v>
      </c>
      <c r="L57" s="3">
        <v>0</v>
      </c>
      <c r="M57" s="3">
        <v>0</v>
      </c>
      <c r="N57" s="3">
        <v>20</v>
      </c>
      <c r="O57" s="3">
        <v>0</v>
      </c>
      <c r="P57" s="4">
        <f t="shared" si="0"/>
        <v>30</v>
      </c>
      <c r="Q57" s="1" t="s">
        <v>14</v>
      </c>
      <c r="R57" s="44">
        <v>10</v>
      </c>
      <c r="S57" s="46">
        <v>200</v>
      </c>
      <c r="T57" s="4"/>
    </row>
    <row r="58" spans="1:20" x14ac:dyDescent="0.25">
      <c r="A58" s="7">
        <v>55</v>
      </c>
      <c r="D58" s="9" t="s">
        <v>62</v>
      </c>
      <c r="E58" s="10"/>
      <c r="F58" s="10"/>
      <c r="G58" s="11"/>
      <c r="H58" s="12">
        <v>98</v>
      </c>
      <c r="I58" s="7" t="s">
        <v>2</v>
      </c>
      <c r="J58" s="3">
        <v>1130</v>
      </c>
      <c r="K58" s="3">
        <v>51</v>
      </c>
      <c r="L58" s="3">
        <v>17</v>
      </c>
      <c r="M58" s="3">
        <v>0</v>
      </c>
      <c r="N58" s="3">
        <v>0</v>
      </c>
      <c r="O58" s="3">
        <v>0</v>
      </c>
      <c r="P58" s="4">
        <f t="shared" si="0"/>
        <v>1160</v>
      </c>
      <c r="Q58" s="1" t="s">
        <v>14</v>
      </c>
      <c r="R58" s="44">
        <v>500</v>
      </c>
      <c r="S58" s="47">
        <v>1000</v>
      </c>
      <c r="T58" s="4"/>
    </row>
    <row r="59" spans="1:20" x14ac:dyDescent="0.25">
      <c r="A59" s="7">
        <v>56</v>
      </c>
      <c r="D59" s="16" t="s">
        <v>13</v>
      </c>
      <c r="E59" s="17"/>
      <c r="F59" s="17"/>
      <c r="G59" s="18"/>
      <c r="H59" s="12">
        <v>161</v>
      </c>
      <c r="I59" s="7" t="s">
        <v>2</v>
      </c>
      <c r="J59" s="3">
        <v>0</v>
      </c>
      <c r="K59" s="3">
        <v>28</v>
      </c>
      <c r="L59" s="3">
        <v>15</v>
      </c>
      <c r="M59" s="3">
        <v>0</v>
      </c>
      <c r="N59" s="3">
        <v>36</v>
      </c>
      <c r="O59" s="3">
        <v>0</v>
      </c>
      <c r="P59" s="4">
        <f t="shared" si="0"/>
        <v>82</v>
      </c>
      <c r="Q59" s="1" t="s">
        <v>14</v>
      </c>
      <c r="R59" s="44">
        <v>100</v>
      </c>
      <c r="S59" s="47">
        <v>500</v>
      </c>
      <c r="T59" s="4"/>
    </row>
    <row r="60" spans="1:20" x14ac:dyDescent="0.25">
      <c r="A60" s="7">
        <v>57</v>
      </c>
      <c r="D60" s="9" t="s">
        <v>72</v>
      </c>
      <c r="E60" s="10"/>
      <c r="F60" s="10"/>
      <c r="G60" s="11"/>
      <c r="H60" s="12">
        <v>20</v>
      </c>
      <c r="I60" s="7" t="s">
        <v>2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4">
        <f t="shared" si="0"/>
        <v>20</v>
      </c>
      <c r="Q60" s="1" t="s">
        <v>14</v>
      </c>
      <c r="R60" s="44">
        <v>15</v>
      </c>
      <c r="S60" s="47">
        <v>300</v>
      </c>
      <c r="T60" s="4"/>
    </row>
    <row r="61" spans="1:20" x14ac:dyDescent="0.25">
      <c r="A61" s="7">
        <v>58</v>
      </c>
      <c r="D61" s="16" t="s">
        <v>182</v>
      </c>
      <c r="E61" s="17"/>
      <c r="F61" s="17"/>
      <c r="G61" s="18"/>
      <c r="H61" s="12">
        <v>199</v>
      </c>
      <c r="I61" s="7" t="s">
        <v>2</v>
      </c>
      <c r="J61" s="3">
        <v>0</v>
      </c>
      <c r="K61" s="3">
        <v>0</v>
      </c>
      <c r="L61" s="3">
        <v>5</v>
      </c>
      <c r="M61" s="3">
        <v>0</v>
      </c>
      <c r="N61" s="3">
        <v>0</v>
      </c>
      <c r="O61" s="3">
        <v>0</v>
      </c>
      <c r="P61" s="4">
        <f t="shared" si="0"/>
        <v>194</v>
      </c>
      <c r="Q61" s="1" t="s">
        <v>14</v>
      </c>
      <c r="R61" s="44">
        <v>150</v>
      </c>
      <c r="S61" s="47">
        <v>600</v>
      </c>
      <c r="T61" s="4"/>
    </row>
    <row r="62" spans="1:20" x14ac:dyDescent="0.25">
      <c r="A62" s="7">
        <v>59</v>
      </c>
      <c r="D62" s="9" t="s">
        <v>181</v>
      </c>
      <c r="E62" s="10"/>
      <c r="F62" s="10"/>
      <c r="G62" s="11"/>
      <c r="H62" s="12">
        <v>50</v>
      </c>
      <c r="I62" s="7" t="s">
        <v>2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4">
        <f t="shared" si="0"/>
        <v>50</v>
      </c>
      <c r="Q62" s="1" t="s">
        <v>14</v>
      </c>
      <c r="R62" s="44">
        <v>50</v>
      </c>
      <c r="S62" s="47">
        <v>200</v>
      </c>
      <c r="T62" s="4"/>
    </row>
    <row r="63" spans="1:20" x14ac:dyDescent="0.25">
      <c r="A63" s="7">
        <v>60</v>
      </c>
      <c r="D63" s="16" t="s">
        <v>130</v>
      </c>
      <c r="E63" s="17"/>
      <c r="F63" s="17"/>
      <c r="G63" s="18"/>
      <c r="H63" s="12">
        <v>95</v>
      </c>
      <c r="I63" s="7" t="s">
        <v>2</v>
      </c>
      <c r="J63" s="3">
        <v>0</v>
      </c>
      <c r="K63" s="3">
        <v>0</v>
      </c>
      <c r="L63" s="3">
        <v>0</v>
      </c>
      <c r="M63" s="3">
        <v>0</v>
      </c>
      <c r="N63" s="3">
        <v>12</v>
      </c>
      <c r="O63" s="3">
        <v>0</v>
      </c>
      <c r="P63" s="4">
        <f t="shared" si="0"/>
        <v>83</v>
      </c>
      <c r="Q63" s="1" t="s">
        <v>14</v>
      </c>
      <c r="R63" s="44">
        <v>20</v>
      </c>
      <c r="S63" s="46">
        <v>200</v>
      </c>
      <c r="T63" s="4"/>
    </row>
    <row r="64" spans="1:20" x14ac:dyDescent="0.25">
      <c r="A64" s="7">
        <v>61</v>
      </c>
      <c r="D64" s="26" t="s">
        <v>203</v>
      </c>
      <c r="E64" s="27"/>
      <c r="F64" s="27"/>
      <c r="G64" s="28"/>
      <c r="H64" s="12">
        <v>0</v>
      </c>
      <c r="I64" s="30" t="s">
        <v>2</v>
      </c>
      <c r="J64" s="3">
        <v>180</v>
      </c>
      <c r="K64" s="3">
        <v>0</v>
      </c>
      <c r="L64" s="3">
        <v>0</v>
      </c>
      <c r="M64" s="3">
        <v>1</v>
      </c>
      <c r="N64" s="3">
        <v>7</v>
      </c>
      <c r="O64" s="3">
        <v>0</v>
      </c>
      <c r="P64" s="4">
        <f t="shared" si="0"/>
        <v>172</v>
      </c>
      <c r="Q64" s="1" t="s">
        <v>14</v>
      </c>
      <c r="R64" s="44">
        <v>0</v>
      </c>
      <c r="S64" s="47">
        <v>0</v>
      </c>
      <c r="T64" s="4"/>
    </row>
    <row r="65" spans="1:20" x14ac:dyDescent="0.25">
      <c r="A65" s="7">
        <v>62</v>
      </c>
      <c r="D65" s="16" t="s">
        <v>65</v>
      </c>
      <c r="E65" s="17"/>
      <c r="F65" s="17"/>
      <c r="G65" s="18"/>
      <c r="H65" s="12">
        <v>10</v>
      </c>
      <c r="I65" s="7" t="s">
        <v>2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4">
        <f t="shared" si="0"/>
        <v>10</v>
      </c>
      <c r="Q65" s="1" t="s">
        <v>14</v>
      </c>
      <c r="R65" s="44">
        <v>10</v>
      </c>
      <c r="S65" s="46">
        <v>50</v>
      </c>
      <c r="T65" s="4"/>
    </row>
    <row r="66" spans="1:20" x14ac:dyDescent="0.25">
      <c r="A66" s="7">
        <v>63</v>
      </c>
      <c r="D66" s="9" t="s">
        <v>202</v>
      </c>
      <c r="E66" s="10"/>
      <c r="F66" s="10"/>
      <c r="G66" s="11"/>
      <c r="H66" s="12">
        <v>9</v>
      </c>
      <c r="I66" s="7" t="s">
        <v>2</v>
      </c>
      <c r="J66" s="3">
        <v>50</v>
      </c>
      <c r="K66" s="3">
        <v>0</v>
      </c>
      <c r="L66" s="3">
        <v>0</v>
      </c>
      <c r="M66" s="3">
        <v>1</v>
      </c>
      <c r="N66" s="3">
        <v>37</v>
      </c>
      <c r="O66" s="3">
        <v>0</v>
      </c>
      <c r="P66" s="4">
        <f t="shared" si="0"/>
        <v>21</v>
      </c>
      <c r="Q66" s="1" t="s">
        <v>14</v>
      </c>
      <c r="R66" s="44">
        <v>10</v>
      </c>
      <c r="S66" s="47">
        <v>50</v>
      </c>
      <c r="T66" s="4"/>
    </row>
    <row r="67" spans="1:20" x14ac:dyDescent="0.25">
      <c r="A67" s="7">
        <v>64</v>
      </c>
      <c r="D67" s="19" t="s">
        <v>165</v>
      </c>
      <c r="E67" s="20"/>
      <c r="F67" s="20"/>
      <c r="G67" s="21"/>
      <c r="H67" s="12">
        <v>5</v>
      </c>
      <c r="I67" s="7" t="s">
        <v>2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  <c r="P67" s="4">
        <f t="shared" si="0"/>
        <v>5</v>
      </c>
      <c r="Q67" s="1" t="s">
        <v>14</v>
      </c>
      <c r="R67" s="44">
        <v>50</v>
      </c>
      <c r="S67" s="47">
        <v>150</v>
      </c>
      <c r="T67" s="4"/>
    </row>
    <row r="68" spans="1:20" x14ac:dyDescent="0.25">
      <c r="A68" s="7">
        <v>65</v>
      </c>
      <c r="D68" s="22" t="s">
        <v>74</v>
      </c>
      <c r="E68" s="10"/>
      <c r="F68" s="10"/>
      <c r="G68" s="11"/>
      <c r="H68" s="12">
        <v>150</v>
      </c>
      <c r="I68" s="8" t="s">
        <v>75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4">
        <f t="shared" ref="P68:P89" si="1">+H68+J68-K68-L68-M68-N68-O68</f>
        <v>150</v>
      </c>
      <c r="Q68" s="1">
        <v>22</v>
      </c>
      <c r="R68" s="44">
        <v>65</v>
      </c>
      <c r="S68" s="47">
        <v>150</v>
      </c>
      <c r="T68" s="4"/>
    </row>
    <row r="69" spans="1:20" x14ac:dyDescent="0.25">
      <c r="A69" s="7">
        <v>66</v>
      </c>
      <c r="C69" s="1" t="s">
        <v>14</v>
      </c>
      <c r="D69" s="22" t="s">
        <v>76</v>
      </c>
      <c r="E69" s="10"/>
      <c r="F69" s="10"/>
      <c r="G69" s="11"/>
      <c r="H69" s="12">
        <v>114</v>
      </c>
      <c r="I69" s="8" t="s">
        <v>2</v>
      </c>
      <c r="J69" s="3">
        <v>0</v>
      </c>
      <c r="K69" s="3">
        <v>44</v>
      </c>
      <c r="L69" s="3">
        <v>5</v>
      </c>
      <c r="M69" s="3">
        <v>65</v>
      </c>
      <c r="N69" s="3">
        <v>0</v>
      </c>
      <c r="O69" s="3">
        <v>0</v>
      </c>
      <c r="P69" s="4">
        <f t="shared" si="1"/>
        <v>0</v>
      </c>
      <c r="Q69" s="1" t="s">
        <v>14</v>
      </c>
      <c r="R69" s="44">
        <v>50</v>
      </c>
      <c r="S69" s="47">
        <v>100</v>
      </c>
      <c r="T69" s="4"/>
    </row>
    <row r="70" spans="1:20" x14ac:dyDescent="0.25">
      <c r="A70" s="7">
        <v>67</v>
      </c>
      <c r="D70" s="25" t="s">
        <v>147</v>
      </c>
      <c r="H70" s="12">
        <v>39</v>
      </c>
      <c r="I70" s="30" t="s">
        <v>2</v>
      </c>
      <c r="J70" s="3">
        <v>100</v>
      </c>
      <c r="K70" s="3">
        <v>1</v>
      </c>
      <c r="L70" s="3">
        <v>2</v>
      </c>
      <c r="M70" s="3">
        <v>55</v>
      </c>
      <c r="N70" s="3">
        <v>12</v>
      </c>
      <c r="O70" s="3">
        <v>0</v>
      </c>
      <c r="P70" s="4">
        <f t="shared" si="1"/>
        <v>69</v>
      </c>
      <c r="Q70" s="1" t="s">
        <v>14</v>
      </c>
      <c r="R70" s="44">
        <v>50</v>
      </c>
      <c r="S70" s="47">
        <v>100</v>
      </c>
      <c r="T70" s="4"/>
    </row>
    <row r="71" spans="1:20" x14ac:dyDescent="0.25">
      <c r="A71" s="7">
        <v>68</v>
      </c>
      <c r="D71" s="26" t="s">
        <v>80</v>
      </c>
      <c r="E71" s="27"/>
      <c r="F71" s="27"/>
      <c r="G71" s="28"/>
      <c r="H71" s="12">
        <v>17</v>
      </c>
      <c r="I71" s="8" t="s">
        <v>171</v>
      </c>
      <c r="J71" s="3">
        <v>0</v>
      </c>
      <c r="K71" s="3">
        <v>0</v>
      </c>
      <c r="L71" s="3">
        <v>4</v>
      </c>
      <c r="M71" s="3">
        <v>0</v>
      </c>
      <c r="N71" s="3">
        <v>0</v>
      </c>
      <c r="O71" s="3">
        <v>0</v>
      </c>
      <c r="P71" s="4">
        <f t="shared" si="1"/>
        <v>13</v>
      </c>
      <c r="Q71" s="1" t="s">
        <v>14</v>
      </c>
      <c r="R71" s="44">
        <v>20</v>
      </c>
      <c r="S71" s="46">
        <v>200</v>
      </c>
      <c r="T71" s="4"/>
    </row>
    <row r="72" spans="1:20" x14ac:dyDescent="0.25">
      <c r="A72" s="7">
        <v>69</v>
      </c>
      <c r="D72" s="26" t="s">
        <v>194</v>
      </c>
      <c r="E72" s="27"/>
      <c r="F72" s="27"/>
      <c r="G72" s="28"/>
      <c r="H72" s="12">
        <v>239</v>
      </c>
      <c r="I72" s="8" t="s">
        <v>2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  <c r="P72" s="4">
        <f t="shared" si="1"/>
        <v>239</v>
      </c>
      <c r="Q72" s="1" t="s">
        <v>14</v>
      </c>
      <c r="R72" s="44" t="s">
        <v>14</v>
      </c>
      <c r="S72" s="47" t="s">
        <v>14</v>
      </c>
      <c r="T72" s="4"/>
    </row>
    <row r="73" spans="1:20" x14ac:dyDescent="0.25">
      <c r="A73" s="7">
        <v>70</v>
      </c>
      <c r="D73" s="26" t="s">
        <v>167</v>
      </c>
      <c r="E73" s="27"/>
      <c r="F73" s="27"/>
      <c r="G73" s="28"/>
      <c r="H73" s="12">
        <v>36</v>
      </c>
      <c r="I73" s="8" t="s">
        <v>2</v>
      </c>
      <c r="J73" s="3">
        <v>0</v>
      </c>
      <c r="K73" s="3">
        <v>0</v>
      </c>
      <c r="L73" s="3">
        <v>4</v>
      </c>
      <c r="M73" s="3">
        <v>0</v>
      </c>
      <c r="N73" s="3">
        <v>0</v>
      </c>
      <c r="O73" s="3">
        <v>0</v>
      </c>
      <c r="P73" s="4">
        <f t="shared" si="1"/>
        <v>32</v>
      </c>
      <c r="R73" s="44">
        <v>20</v>
      </c>
      <c r="S73" s="46">
        <v>200</v>
      </c>
      <c r="T73" s="4"/>
    </row>
    <row r="74" spans="1:20" x14ac:dyDescent="0.25">
      <c r="A74" s="7">
        <v>71</v>
      </c>
      <c r="D74" s="37" t="s">
        <v>176</v>
      </c>
      <c r="E74" s="17"/>
      <c r="F74" s="33"/>
      <c r="G74" s="33"/>
      <c r="H74" s="12">
        <v>1230</v>
      </c>
      <c r="I74" s="8" t="s">
        <v>2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4">
        <f t="shared" si="1"/>
        <v>1230</v>
      </c>
      <c r="Q74" s="1" t="s">
        <v>14</v>
      </c>
      <c r="R74" s="44">
        <v>100</v>
      </c>
      <c r="S74" s="47">
        <v>500</v>
      </c>
      <c r="T74" s="4"/>
    </row>
    <row r="75" spans="1:20" x14ac:dyDescent="0.25">
      <c r="A75" s="7">
        <v>72</v>
      </c>
      <c r="D75" s="22" t="s">
        <v>201</v>
      </c>
      <c r="E75" s="10"/>
      <c r="F75" s="10"/>
      <c r="G75" s="28"/>
      <c r="H75" s="12">
        <v>9</v>
      </c>
      <c r="I75" s="8" t="s">
        <v>2</v>
      </c>
      <c r="J75" s="3">
        <v>18</v>
      </c>
      <c r="K75" s="3">
        <v>0</v>
      </c>
      <c r="L75" s="3">
        <v>0</v>
      </c>
      <c r="M75" s="3">
        <v>1</v>
      </c>
      <c r="N75" s="3">
        <v>26</v>
      </c>
      <c r="O75" s="3">
        <v>0</v>
      </c>
      <c r="P75" s="4">
        <f t="shared" si="1"/>
        <v>0</v>
      </c>
      <c r="R75" s="44">
        <v>10</v>
      </c>
      <c r="S75" s="46">
        <v>50</v>
      </c>
      <c r="T75" s="4"/>
    </row>
    <row r="76" spans="1:20" x14ac:dyDescent="0.25">
      <c r="A76" s="7">
        <v>73</v>
      </c>
      <c r="D76" s="37" t="s">
        <v>113</v>
      </c>
      <c r="E76" s="17"/>
      <c r="F76" s="17"/>
      <c r="G76" s="33"/>
      <c r="H76" s="12">
        <v>207</v>
      </c>
      <c r="I76" s="8" t="s">
        <v>97</v>
      </c>
      <c r="J76" s="3">
        <v>862</v>
      </c>
      <c r="K76" s="3">
        <v>97</v>
      </c>
      <c r="L76" s="3">
        <v>105</v>
      </c>
      <c r="M76" s="3">
        <v>83</v>
      </c>
      <c r="N76" s="3">
        <v>97</v>
      </c>
      <c r="O76" s="3">
        <v>0</v>
      </c>
      <c r="P76" s="4">
        <f t="shared" si="1"/>
        <v>687</v>
      </c>
      <c r="Q76" s="65" t="s">
        <v>121</v>
      </c>
      <c r="R76" s="44">
        <v>300</v>
      </c>
      <c r="S76" s="47">
        <v>1000</v>
      </c>
      <c r="T76" s="4"/>
    </row>
    <row r="77" spans="1:20" x14ac:dyDescent="0.25">
      <c r="A77" s="7">
        <v>74</v>
      </c>
      <c r="D77" s="22" t="s">
        <v>103</v>
      </c>
      <c r="E77" s="10"/>
      <c r="F77" s="10"/>
      <c r="G77" s="28"/>
      <c r="H77" s="12">
        <v>387</v>
      </c>
      <c r="I77" s="8" t="s">
        <v>132</v>
      </c>
      <c r="J77" s="3">
        <v>0</v>
      </c>
      <c r="K77" s="3">
        <v>0</v>
      </c>
      <c r="L77" s="3">
        <v>20</v>
      </c>
      <c r="M77" s="3">
        <v>10</v>
      </c>
      <c r="N77" s="3">
        <v>0</v>
      </c>
      <c r="O77" s="3">
        <v>0</v>
      </c>
      <c r="P77" s="4">
        <f t="shared" si="1"/>
        <v>357</v>
      </c>
      <c r="R77" s="44">
        <v>60</v>
      </c>
      <c r="S77" s="47">
        <v>100</v>
      </c>
      <c r="T77" s="4"/>
    </row>
    <row r="78" spans="1:20" x14ac:dyDescent="0.25">
      <c r="A78" s="8">
        <v>75</v>
      </c>
      <c r="D78" s="49" t="s">
        <v>108</v>
      </c>
      <c r="E78" s="20"/>
      <c r="F78" s="20"/>
      <c r="G78" s="20"/>
      <c r="H78" s="12">
        <v>4500</v>
      </c>
      <c r="I78" s="8" t="s">
        <v>110</v>
      </c>
      <c r="J78" s="3">
        <v>20000</v>
      </c>
      <c r="K78" s="3">
        <v>2000</v>
      </c>
      <c r="L78" s="3">
        <v>1000</v>
      </c>
      <c r="M78" s="3">
        <v>1500</v>
      </c>
      <c r="N78" s="3">
        <v>1000</v>
      </c>
      <c r="O78" s="3">
        <v>0</v>
      </c>
      <c r="P78" s="99">
        <f t="shared" si="1"/>
        <v>19000</v>
      </c>
      <c r="R78" s="95">
        <v>10000</v>
      </c>
      <c r="S78" s="96">
        <v>30000</v>
      </c>
      <c r="T78" s="4"/>
    </row>
    <row r="79" spans="1:20" x14ac:dyDescent="0.25">
      <c r="A79" s="48">
        <v>76</v>
      </c>
      <c r="B79" s="41"/>
      <c r="C79" s="41"/>
      <c r="D79" s="22" t="s">
        <v>115</v>
      </c>
      <c r="E79" s="10"/>
      <c r="F79" s="10"/>
      <c r="G79" s="11"/>
      <c r="H79" s="12">
        <v>27</v>
      </c>
      <c r="I79" s="62" t="s">
        <v>2</v>
      </c>
      <c r="J79" s="3">
        <v>100</v>
      </c>
      <c r="K79" s="3">
        <v>1</v>
      </c>
      <c r="L79" s="3">
        <v>2</v>
      </c>
      <c r="M79" s="3">
        <v>55</v>
      </c>
      <c r="N79" s="3">
        <v>12</v>
      </c>
      <c r="O79" s="3">
        <v>0</v>
      </c>
      <c r="P79" s="64">
        <f t="shared" si="1"/>
        <v>57</v>
      </c>
      <c r="R79" s="64">
        <v>50</v>
      </c>
      <c r="S79" s="64">
        <v>100</v>
      </c>
      <c r="T79" s="4" t="s">
        <v>14</v>
      </c>
    </row>
    <row r="80" spans="1:20" x14ac:dyDescent="0.25">
      <c r="A80" s="73">
        <v>77</v>
      </c>
      <c r="B80" s="41"/>
      <c r="C80" s="41"/>
      <c r="D80" s="49" t="s">
        <v>134</v>
      </c>
      <c r="E80" s="35"/>
      <c r="F80" s="35"/>
      <c r="G80" s="60"/>
      <c r="H80" s="12">
        <v>100</v>
      </c>
      <c r="I80" s="8" t="s">
        <v>2</v>
      </c>
      <c r="J80" s="3">
        <v>0</v>
      </c>
      <c r="K80" s="3">
        <v>1</v>
      </c>
      <c r="L80" s="3">
        <v>0</v>
      </c>
      <c r="M80" s="3">
        <v>0</v>
      </c>
      <c r="N80" s="3">
        <v>0</v>
      </c>
      <c r="O80" s="3">
        <v>0</v>
      </c>
      <c r="P80" s="4">
        <f t="shared" si="1"/>
        <v>99</v>
      </c>
      <c r="Q80" s="4"/>
      <c r="R80" s="4">
        <v>20</v>
      </c>
      <c r="S80" s="4">
        <v>50</v>
      </c>
      <c r="T80" s="4"/>
    </row>
    <row r="81" spans="1:20" x14ac:dyDescent="0.25">
      <c r="A81" s="8">
        <v>78</v>
      </c>
      <c r="D81" s="22" t="s">
        <v>123</v>
      </c>
      <c r="E81" s="10"/>
      <c r="F81" s="10"/>
      <c r="G81" s="11"/>
      <c r="H81" s="12">
        <v>500</v>
      </c>
      <c r="I81" s="8" t="s">
        <v>2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  <c r="P81" s="4">
        <f t="shared" si="1"/>
        <v>500</v>
      </c>
      <c r="Q81" s="4"/>
      <c r="R81" s="4">
        <v>500</v>
      </c>
      <c r="S81" s="4">
        <v>2500</v>
      </c>
      <c r="T81" s="4"/>
    </row>
    <row r="82" spans="1:20" x14ac:dyDescent="0.25">
      <c r="A82" s="48">
        <v>79</v>
      </c>
      <c r="B82" s="41"/>
      <c r="C82" s="41"/>
      <c r="D82" s="22" t="s">
        <v>177</v>
      </c>
      <c r="E82" s="10"/>
      <c r="F82" s="10"/>
      <c r="G82" s="11"/>
      <c r="H82" s="4">
        <v>250</v>
      </c>
      <c r="I82" s="8" t="s">
        <v>110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  <c r="P82" s="4">
        <f t="shared" si="1"/>
        <v>250</v>
      </c>
      <c r="Q82" s="4" t="s">
        <v>110</v>
      </c>
      <c r="R82" s="4">
        <v>250</v>
      </c>
      <c r="S82" s="4">
        <v>2000</v>
      </c>
      <c r="T82" s="4"/>
    </row>
    <row r="83" spans="1:20" x14ac:dyDescent="0.25">
      <c r="A83" s="48">
        <v>80</v>
      </c>
      <c r="B83" s="41"/>
      <c r="C83" s="41"/>
      <c r="D83" s="37" t="s">
        <v>178</v>
      </c>
      <c r="E83" s="17"/>
      <c r="F83" s="17"/>
      <c r="G83" s="18"/>
      <c r="H83" s="64">
        <v>1500</v>
      </c>
      <c r="I83" s="62" t="s">
        <v>110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64">
        <f t="shared" si="1"/>
        <v>1500</v>
      </c>
      <c r="Q83" s="64" t="s">
        <v>110</v>
      </c>
      <c r="R83" s="64">
        <v>3000</v>
      </c>
      <c r="S83" s="64">
        <v>10000</v>
      </c>
      <c r="T83" s="4"/>
    </row>
    <row r="84" spans="1:20" x14ac:dyDescent="0.25">
      <c r="A84" s="48">
        <v>81</v>
      </c>
      <c r="B84" s="11"/>
      <c r="C84" s="23"/>
      <c r="D84" s="68" t="s">
        <v>192</v>
      </c>
      <c r="E84" s="27"/>
      <c r="F84" s="27"/>
      <c r="G84" s="28"/>
      <c r="H84" s="74">
        <v>200</v>
      </c>
      <c r="I84" s="75" t="s">
        <v>110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4">
        <f t="shared" si="1"/>
        <v>200</v>
      </c>
      <c r="Q84" s="4"/>
      <c r="R84" s="4">
        <v>10</v>
      </c>
      <c r="S84" s="4">
        <v>50</v>
      </c>
      <c r="T84" s="4"/>
    </row>
    <row r="85" spans="1:20" x14ac:dyDescent="0.25">
      <c r="A85" s="8">
        <v>82</v>
      </c>
      <c r="D85" s="68" t="s">
        <v>148</v>
      </c>
      <c r="E85" s="27"/>
      <c r="F85" s="27"/>
      <c r="G85" s="28"/>
      <c r="H85" s="4">
        <v>0</v>
      </c>
      <c r="I85" s="8" t="s">
        <v>2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4">
        <f t="shared" si="1"/>
        <v>0</v>
      </c>
      <c r="Q85" s="4"/>
      <c r="R85" s="4">
        <v>50</v>
      </c>
      <c r="S85" s="4">
        <v>200</v>
      </c>
      <c r="T85" s="4"/>
    </row>
    <row r="86" spans="1:20" ht="15.75" customHeight="1" x14ac:dyDescent="0.25">
      <c r="A86" s="8">
        <v>83</v>
      </c>
      <c r="D86" s="79" t="s">
        <v>150</v>
      </c>
      <c r="E86" s="80"/>
      <c r="F86" s="81"/>
      <c r="G86" s="82"/>
      <c r="H86" s="4">
        <v>50</v>
      </c>
      <c r="I86" s="8" t="s">
        <v>2</v>
      </c>
      <c r="J86" s="3">
        <v>100</v>
      </c>
      <c r="K86" s="3">
        <v>8</v>
      </c>
      <c r="L86" s="3">
        <v>0</v>
      </c>
      <c r="M86" s="3">
        <v>2</v>
      </c>
      <c r="N86" s="3">
        <v>4</v>
      </c>
      <c r="O86" s="3">
        <v>0</v>
      </c>
      <c r="P86" s="4">
        <f t="shared" si="1"/>
        <v>136</v>
      </c>
      <c r="Q86" s="4"/>
      <c r="R86" s="4">
        <v>75</v>
      </c>
      <c r="S86" s="4">
        <v>500</v>
      </c>
      <c r="T86" s="4"/>
    </row>
    <row r="87" spans="1:20" x14ac:dyDescent="0.25">
      <c r="A87" s="8">
        <v>84</v>
      </c>
      <c r="D87" s="22" t="s">
        <v>183</v>
      </c>
      <c r="E87" s="10"/>
      <c r="F87" s="10"/>
      <c r="G87" s="11"/>
      <c r="H87" s="23">
        <v>567</v>
      </c>
      <c r="I87" s="8" t="s">
        <v>2</v>
      </c>
      <c r="J87" s="3">
        <v>0</v>
      </c>
      <c r="K87" s="3">
        <v>0</v>
      </c>
      <c r="L87" s="3">
        <v>0</v>
      </c>
      <c r="M87" s="3">
        <v>0</v>
      </c>
      <c r="N87" s="3">
        <v>10</v>
      </c>
      <c r="O87" s="3">
        <v>0</v>
      </c>
      <c r="P87" s="4">
        <f t="shared" si="1"/>
        <v>557</v>
      </c>
      <c r="Q87" s="4"/>
      <c r="R87" s="4">
        <v>20</v>
      </c>
      <c r="S87" s="4">
        <v>300</v>
      </c>
      <c r="T87" s="4"/>
    </row>
    <row r="88" spans="1:20" x14ac:dyDescent="0.25">
      <c r="A88" s="8">
        <v>85</v>
      </c>
      <c r="D88" s="49" t="s">
        <v>199</v>
      </c>
      <c r="E88" s="20"/>
      <c r="F88" s="20"/>
      <c r="G88" s="21"/>
      <c r="H88" s="23">
        <v>254</v>
      </c>
      <c r="I88" s="8" t="s">
        <v>2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4">
        <f t="shared" si="1"/>
        <v>254</v>
      </c>
      <c r="Q88" s="4"/>
      <c r="R88" s="4">
        <v>10</v>
      </c>
      <c r="S88" s="4">
        <v>200</v>
      </c>
      <c r="T88" s="4"/>
    </row>
    <row r="89" spans="1:20" x14ac:dyDescent="0.25">
      <c r="A89" s="77">
        <v>86</v>
      </c>
      <c r="D89" s="68" t="s">
        <v>206</v>
      </c>
      <c r="E89" s="27"/>
      <c r="F89" s="27"/>
      <c r="G89" s="28"/>
      <c r="H89" s="74">
        <v>10</v>
      </c>
      <c r="I89" s="75" t="s">
        <v>171</v>
      </c>
      <c r="J89" s="3">
        <v>0</v>
      </c>
      <c r="K89" s="3">
        <v>0</v>
      </c>
      <c r="L89" s="3">
        <v>0</v>
      </c>
      <c r="M89" s="3">
        <v>0</v>
      </c>
      <c r="N89" s="3">
        <v>2</v>
      </c>
      <c r="O89" s="3">
        <v>0</v>
      </c>
      <c r="P89" s="4">
        <f t="shared" si="1"/>
        <v>8</v>
      </c>
      <c r="Q89" s="4"/>
      <c r="R89" s="4" t="s">
        <v>14</v>
      </c>
      <c r="S89" s="4" t="s">
        <v>14</v>
      </c>
      <c r="T89" s="4"/>
    </row>
  </sheetData>
  <pageMargins left="0.75" right="0.75" top="1" bottom="1" header="0.5" footer="0.5"/>
  <pageSetup paperSize="9" orientation="portrait"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50B6CE-3115-4CFE-9460-2EFBCC90EFA4}">
  <dimension ref="A1:T89"/>
  <sheetViews>
    <sheetView topLeftCell="A58" workbookViewId="0">
      <selection activeCell="O60" sqref="O60"/>
    </sheetView>
  </sheetViews>
  <sheetFormatPr defaultRowHeight="15" x14ac:dyDescent="0.25"/>
  <cols>
    <col min="1" max="1" width="5.5703125" customWidth="1"/>
    <col min="2" max="3" width="9.140625" hidden="1" customWidth="1"/>
    <col min="6" max="6" width="12.7109375" customWidth="1"/>
    <col min="8" max="8" width="10.140625" customWidth="1"/>
    <col min="9" max="9" width="10" customWidth="1"/>
    <col min="10" max="10" width="7.7109375" customWidth="1"/>
    <col min="11" max="11" width="10.7109375" customWidth="1"/>
    <col min="12" max="12" width="10.140625" customWidth="1"/>
    <col min="13" max="13" width="11.85546875" customWidth="1"/>
    <col min="14" max="15" width="11.7109375" customWidth="1"/>
    <col min="16" max="16" width="10.140625" customWidth="1"/>
    <col min="17" max="17" width="4.7109375" customWidth="1"/>
    <col min="18" max="18" width="10.140625" customWidth="1"/>
    <col min="19" max="19" width="11.5703125" customWidth="1"/>
    <col min="20" max="20" width="0.28515625" customWidth="1"/>
  </cols>
  <sheetData>
    <row r="1" spans="1:20" x14ac:dyDescent="0.25">
      <c r="G1" s="1"/>
      <c r="P1">
        <f>+H1+J1-K1-L1-M1-N1-O1</f>
        <v>0</v>
      </c>
    </row>
    <row r="2" spans="1:20" x14ac:dyDescent="0.25">
      <c r="A2" t="s">
        <v>14</v>
      </c>
      <c r="D2" s="78" t="s">
        <v>170</v>
      </c>
      <c r="O2" s="38" t="s">
        <v>14</v>
      </c>
      <c r="S2" s="50">
        <v>45656</v>
      </c>
    </row>
    <row r="3" spans="1:20" x14ac:dyDescent="0.25">
      <c r="A3" s="3" t="s">
        <v>15</v>
      </c>
      <c r="D3" s="9" t="s">
        <v>17</v>
      </c>
      <c r="E3" s="10"/>
      <c r="F3" s="10"/>
      <c r="G3" s="11"/>
      <c r="H3" s="12" t="s">
        <v>18</v>
      </c>
      <c r="I3" s="4" t="s">
        <v>19</v>
      </c>
      <c r="J3" s="3" t="s">
        <v>20</v>
      </c>
      <c r="K3" s="5">
        <v>45693</v>
      </c>
      <c r="L3" s="6">
        <v>46003</v>
      </c>
      <c r="M3" s="5">
        <v>46010</v>
      </c>
      <c r="N3" s="5">
        <v>46017</v>
      </c>
      <c r="O3" s="6">
        <v>46022</v>
      </c>
      <c r="P3" s="3" t="s">
        <v>21</v>
      </c>
      <c r="R3" s="42" t="s">
        <v>105</v>
      </c>
      <c r="S3" s="45" t="s">
        <v>104</v>
      </c>
      <c r="T3" s="4"/>
    </row>
    <row r="4" spans="1:20" x14ac:dyDescent="0.25">
      <c r="A4" s="7">
        <v>1</v>
      </c>
      <c r="D4" s="13" t="s">
        <v>16</v>
      </c>
      <c r="E4" s="14"/>
      <c r="F4" s="14"/>
      <c r="G4" s="15"/>
      <c r="H4" s="12">
        <v>290</v>
      </c>
      <c r="I4" s="7" t="s">
        <v>1</v>
      </c>
      <c r="J4" s="3">
        <v>0</v>
      </c>
      <c r="K4" s="3">
        <v>46</v>
      </c>
      <c r="L4" s="3">
        <v>0</v>
      </c>
      <c r="M4" s="3">
        <v>75</v>
      </c>
      <c r="N4" s="3">
        <v>23</v>
      </c>
      <c r="O4" s="3">
        <v>0</v>
      </c>
      <c r="P4" s="4">
        <f t="shared" ref="P4:P67" si="0">+H4+J4-K4-L4-M4-N4-O4</f>
        <v>146</v>
      </c>
      <c r="Q4" t="s">
        <v>173</v>
      </c>
      <c r="R4" s="43">
        <v>150</v>
      </c>
      <c r="S4" s="46">
        <v>500</v>
      </c>
      <c r="T4" s="4" t="s">
        <v>14</v>
      </c>
    </row>
    <row r="5" spans="1:20" x14ac:dyDescent="0.25">
      <c r="A5" s="7">
        <v>2</v>
      </c>
      <c r="D5" s="9" t="s">
        <v>205</v>
      </c>
      <c r="E5" s="10"/>
      <c r="F5" s="10"/>
      <c r="G5" s="11"/>
      <c r="H5" s="12">
        <v>81</v>
      </c>
      <c r="I5" s="7" t="s">
        <v>2</v>
      </c>
      <c r="J5" s="3">
        <v>0</v>
      </c>
      <c r="K5" s="3">
        <v>0</v>
      </c>
      <c r="L5" s="3">
        <v>3</v>
      </c>
      <c r="M5" s="3">
        <v>6</v>
      </c>
      <c r="N5" s="3">
        <v>0</v>
      </c>
      <c r="O5" s="3">
        <v>0</v>
      </c>
      <c r="P5" s="4">
        <f t="shared" si="0"/>
        <v>72</v>
      </c>
      <c r="Q5" s="1" t="s">
        <v>14</v>
      </c>
      <c r="R5" s="44">
        <v>0</v>
      </c>
      <c r="S5" s="47">
        <v>0</v>
      </c>
      <c r="T5" s="4"/>
    </row>
    <row r="6" spans="1:20" x14ac:dyDescent="0.25">
      <c r="A6" s="7">
        <v>3</v>
      </c>
      <c r="D6" s="16" t="s">
        <v>23</v>
      </c>
      <c r="E6" s="17"/>
      <c r="F6" s="17"/>
      <c r="G6" s="18"/>
      <c r="H6" s="12">
        <v>10</v>
      </c>
      <c r="I6" s="7" t="s">
        <v>2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4">
        <f t="shared" si="0"/>
        <v>10</v>
      </c>
      <c r="Q6" s="1" t="s">
        <v>14</v>
      </c>
      <c r="R6" s="44">
        <v>6</v>
      </c>
      <c r="S6" s="47">
        <v>10</v>
      </c>
      <c r="T6" s="4"/>
    </row>
    <row r="7" spans="1:20" x14ac:dyDescent="0.25">
      <c r="A7" s="7">
        <v>4</v>
      </c>
      <c r="D7" s="9" t="s">
        <v>3</v>
      </c>
      <c r="E7" s="10"/>
      <c r="F7" s="10"/>
      <c r="G7" s="11"/>
      <c r="H7" s="12">
        <v>20</v>
      </c>
      <c r="I7" s="7" t="s">
        <v>2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4">
        <f t="shared" si="0"/>
        <v>20</v>
      </c>
      <c r="Q7" s="1" t="s">
        <v>14</v>
      </c>
      <c r="R7" s="44">
        <v>6</v>
      </c>
      <c r="S7" s="47">
        <v>10</v>
      </c>
      <c r="T7" s="4"/>
    </row>
    <row r="8" spans="1:20" x14ac:dyDescent="0.25">
      <c r="A8" s="7">
        <v>5</v>
      </c>
      <c r="D8" s="16" t="s">
        <v>139</v>
      </c>
      <c r="E8" s="17"/>
      <c r="F8" s="17"/>
      <c r="G8" s="18"/>
      <c r="H8" s="12">
        <v>98</v>
      </c>
      <c r="I8" s="7" t="s">
        <v>2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4">
        <f t="shared" si="0"/>
        <v>98</v>
      </c>
      <c r="Q8" s="1" t="s">
        <v>14</v>
      </c>
      <c r="R8" s="44">
        <v>50</v>
      </c>
      <c r="S8" s="47">
        <v>400</v>
      </c>
      <c r="T8" s="4"/>
    </row>
    <row r="9" spans="1:20" x14ac:dyDescent="0.25">
      <c r="A9" s="7">
        <v>6</v>
      </c>
      <c r="D9" s="9" t="s">
        <v>24</v>
      </c>
      <c r="E9" s="10"/>
      <c r="F9" s="10"/>
      <c r="G9" s="11"/>
      <c r="H9" s="12">
        <v>150</v>
      </c>
      <c r="I9" s="7" t="s">
        <v>171</v>
      </c>
      <c r="J9" s="3">
        <v>0</v>
      </c>
      <c r="K9" s="3">
        <v>0</v>
      </c>
      <c r="L9" s="3">
        <v>0</v>
      </c>
      <c r="M9" s="3">
        <v>20</v>
      </c>
      <c r="N9" s="3">
        <v>0</v>
      </c>
      <c r="O9" s="3">
        <v>0</v>
      </c>
      <c r="P9" s="4">
        <f t="shared" si="0"/>
        <v>130</v>
      </c>
      <c r="Q9" s="1" t="s">
        <v>132</v>
      </c>
      <c r="R9" s="44">
        <v>100</v>
      </c>
      <c r="S9" s="47">
        <v>400</v>
      </c>
      <c r="T9" s="4"/>
    </row>
    <row r="10" spans="1:20" x14ac:dyDescent="0.25">
      <c r="A10" s="7">
        <v>7</v>
      </c>
      <c r="D10" s="16" t="s">
        <v>101</v>
      </c>
      <c r="E10" s="17"/>
      <c r="F10" s="17"/>
      <c r="G10" s="18"/>
      <c r="H10" s="12">
        <v>0</v>
      </c>
      <c r="I10" s="7" t="s">
        <v>171</v>
      </c>
      <c r="J10" s="3">
        <v>620</v>
      </c>
      <c r="K10" s="3">
        <v>90</v>
      </c>
      <c r="L10" s="3">
        <v>20</v>
      </c>
      <c r="M10" s="3">
        <v>62</v>
      </c>
      <c r="N10" s="3">
        <v>140</v>
      </c>
      <c r="O10" s="3">
        <v>10</v>
      </c>
      <c r="P10" s="4">
        <f t="shared" si="0"/>
        <v>298</v>
      </c>
      <c r="Q10" s="1" t="s">
        <v>171</v>
      </c>
      <c r="R10" s="44">
        <v>200</v>
      </c>
      <c r="S10" s="47">
        <v>500</v>
      </c>
      <c r="T10" s="4"/>
    </row>
    <row r="11" spans="1:20" x14ac:dyDescent="0.25">
      <c r="A11" s="7">
        <v>8</v>
      </c>
      <c r="D11" s="9" t="s">
        <v>25</v>
      </c>
      <c r="E11" s="10"/>
      <c r="F11" s="10"/>
      <c r="G11" s="11"/>
      <c r="H11" s="12">
        <v>252</v>
      </c>
      <c r="I11" s="7" t="s">
        <v>2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4">
        <f t="shared" si="0"/>
        <v>252</v>
      </c>
      <c r="Q11" s="1" t="s">
        <v>14</v>
      </c>
      <c r="R11" s="44">
        <v>50</v>
      </c>
      <c r="S11" s="47">
        <v>300</v>
      </c>
      <c r="T11" s="4"/>
    </row>
    <row r="12" spans="1:20" x14ac:dyDescent="0.25">
      <c r="A12" s="7">
        <v>9</v>
      </c>
      <c r="D12" s="16" t="s">
        <v>174</v>
      </c>
      <c r="E12" s="17"/>
      <c r="F12" s="17"/>
      <c r="G12" s="18"/>
      <c r="H12" s="12">
        <v>80</v>
      </c>
      <c r="I12" s="7" t="s">
        <v>2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4">
        <f t="shared" si="0"/>
        <v>80</v>
      </c>
      <c r="Q12" s="1" t="s">
        <v>14</v>
      </c>
      <c r="R12" s="44">
        <v>45</v>
      </c>
      <c r="S12" s="47">
        <v>200</v>
      </c>
      <c r="T12" s="4"/>
    </row>
    <row r="13" spans="1:20" x14ac:dyDescent="0.25">
      <c r="A13" s="7">
        <v>10</v>
      </c>
      <c r="D13" s="9" t="s">
        <v>6</v>
      </c>
      <c r="E13" s="10"/>
      <c r="F13" s="10"/>
      <c r="G13" s="11"/>
      <c r="H13" s="12">
        <v>10</v>
      </c>
      <c r="I13" s="7" t="s">
        <v>2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4">
        <f t="shared" si="0"/>
        <v>10</v>
      </c>
      <c r="Q13" s="1" t="s">
        <v>14</v>
      </c>
      <c r="R13" s="44">
        <v>10</v>
      </c>
      <c r="S13" s="46">
        <v>100</v>
      </c>
      <c r="T13" s="4"/>
    </row>
    <row r="14" spans="1:20" x14ac:dyDescent="0.25">
      <c r="A14" s="7">
        <v>11</v>
      </c>
      <c r="D14" s="16" t="s">
        <v>7</v>
      </c>
      <c r="E14" s="17"/>
      <c r="F14" s="17"/>
      <c r="G14" s="18"/>
      <c r="H14" s="12">
        <v>2</v>
      </c>
      <c r="I14" s="7" t="s">
        <v>171</v>
      </c>
      <c r="J14" s="3">
        <v>8</v>
      </c>
      <c r="K14" s="3">
        <v>0</v>
      </c>
      <c r="L14" s="3">
        <v>0</v>
      </c>
      <c r="M14" s="3">
        <v>0</v>
      </c>
      <c r="N14" s="3">
        <v>1</v>
      </c>
      <c r="O14" s="3">
        <v>0</v>
      </c>
      <c r="P14" s="4">
        <f t="shared" si="0"/>
        <v>9</v>
      </c>
      <c r="Q14" s="1" t="s">
        <v>14</v>
      </c>
      <c r="R14" s="44">
        <v>10</v>
      </c>
      <c r="S14" s="47">
        <v>50</v>
      </c>
      <c r="T14" s="4"/>
    </row>
    <row r="15" spans="1:20" x14ac:dyDescent="0.25">
      <c r="A15" s="7">
        <v>12</v>
      </c>
      <c r="D15" s="9" t="s">
        <v>198</v>
      </c>
      <c r="E15" s="10"/>
      <c r="F15" s="10"/>
      <c r="G15" s="11"/>
      <c r="H15" s="12">
        <v>5</v>
      </c>
      <c r="I15" s="7" t="s">
        <v>171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4">
        <f t="shared" si="0"/>
        <v>5</v>
      </c>
      <c r="Q15" s="1" t="s">
        <v>132</v>
      </c>
      <c r="R15" s="44">
        <v>5</v>
      </c>
      <c r="S15" s="47">
        <v>50</v>
      </c>
      <c r="T15" s="4"/>
    </row>
    <row r="16" spans="1:20" x14ac:dyDescent="0.25">
      <c r="A16" s="7">
        <v>13</v>
      </c>
      <c r="D16" s="100"/>
      <c r="E16" s="89"/>
      <c r="F16" s="90" t="s">
        <v>111</v>
      </c>
      <c r="G16" s="87"/>
      <c r="H16" s="12">
        <v>91</v>
      </c>
      <c r="I16" s="7" t="s">
        <v>2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4">
        <f t="shared" si="0"/>
        <v>91</v>
      </c>
      <c r="Q16" s="1" t="s">
        <v>14</v>
      </c>
      <c r="R16" s="44">
        <v>100</v>
      </c>
      <c r="S16" s="46">
        <v>500</v>
      </c>
      <c r="T16" s="4"/>
    </row>
    <row r="17" spans="1:20" x14ac:dyDescent="0.25">
      <c r="A17" s="7">
        <v>14</v>
      </c>
      <c r="D17" s="9" t="s">
        <v>73</v>
      </c>
      <c r="E17" s="10"/>
      <c r="F17" s="10"/>
      <c r="G17" s="11"/>
      <c r="H17" s="12">
        <v>590</v>
      </c>
      <c r="I17" s="7" t="s">
        <v>2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4">
        <f t="shared" si="0"/>
        <v>590</v>
      </c>
      <c r="Q17" s="1" t="s">
        <v>14</v>
      </c>
      <c r="R17" s="44">
        <v>0</v>
      </c>
      <c r="S17" s="46"/>
      <c r="T17" s="4"/>
    </row>
    <row r="18" spans="1:20" x14ac:dyDescent="0.25">
      <c r="A18" s="7">
        <v>15</v>
      </c>
      <c r="D18" s="16" t="s">
        <v>28</v>
      </c>
      <c r="E18" s="17"/>
      <c r="F18" s="17"/>
      <c r="G18" s="18"/>
      <c r="H18" s="12">
        <v>60</v>
      </c>
      <c r="I18" s="7" t="s">
        <v>2</v>
      </c>
      <c r="J18" s="3">
        <v>60</v>
      </c>
      <c r="K18" s="3">
        <v>17</v>
      </c>
      <c r="L18" s="3">
        <v>0</v>
      </c>
      <c r="M18" s="3">
        <v>35</v>
      </c>
      <c r="N18" s="3">
        <v>0</v>
      </c>
      <c r="O18" s="3">
        <v>0</v>
      </c>
      <c r="P18" s="4">
        <f t="shared" si="0"/>
        <v>68</v>
      </c>
      <c r="Q18" s="1" t="s">
        <v>14</v>
      </c>
      <c r="R18" s="44">
        <v>50</v>
      </c>
      <c r="S18" s="47">
        <v>100</v>
      </c>
      <c r="T18" s="4"/>
    </row>
    <row r="19" spans="1:20" ht="15.75" thickBot="1" x14ac:dyDescent="0.3">
      <c r="A19" s="7">
        <v>16</v>
      </c>
      <c r="D19" s="13" t="s">
        <v>29</v>
      </c>
      <c r="E19" s="14"/>
      <c r="F19" s="14"/>
      <c r="G19" s="15"/>
      <c r="H19" s="12">
        <v>3</v>
      </c>
      <c r="I19" s="7" t="s">
        <v>2</v>
      </c>
      <c r="J19" s="3">
        <v>100</v>
      </c>
      <c r="K19" s="3">
        <v>0</v>
      </c>
      <c r="L19" s="3">
        <v>0</v>
      </c>
      <c r="M19" s="3">
        <v>35</v>
      </c>
      <c r="N19" s="3">
        <v>0</v>
      </c>
      <c r="O19" s="3">
        <v>0</v>
      </c>
      <c r="P19" s="4">
        <f t="shared" si="0"/>
        <v>68</v>
      </c>
      <c r="Q19" s="1" t="s">
        <v>14</v>
      </c>
      <c r="R19" s="44">
        <v>50</v>
      </c>
      <c r="S19" s="47">
        <v>100</v>
      </c>
      <c r="T19" s="4"/>
    </row>
    <row r="20" spans="1:20" ht="15.75" thickBot="1" x14ac:dyDescent="0.3">
      <c r="A20" s="7">
        <v>17</v>
      </c>
      <c r="D20" s="102" t="s">
        <v>200</v>
      </c>
      <c r="E20" s="103"/>
      <c r="F20" s="103"/>
      <c r="G20" s="104"/>
      <c r="H20" s="101">
        <v>57</v>
      </c>
      <c r="I20" s="7" t="s">
        <v>2</v>
      </c>
      <c r="J20" s="3">
        <v>0</v>
      </c>
      <c r="K20" s="3">
        <v>0</v>
      </c>
      <c r="L20" s="3">
        <v>1</v>
      </c>
      <c r="M20" s="3">
        <v>0</v>
      </c>
      <c r="N20" s="3">
        <v>4</v>
      </c>
      <c r="O20" s="3">
        <v>0</v>
      </c>
      <c r="P20" s="4">
        <f t="shared" si="0"/>
        <v>52</v>
      </c>
      <c r="Q20" s="1"/>
      <c r="R20" s="44">
        <v>10</v>
      </c>
      <c r="S20" s="47">
        <v>50</v>
      </c>
      <c r="T20" s="4"/>
    </row>
    <row r="21" spans="1:20" x14ac:dyDescent="0.25">
      <c r="A21" s="7">
        <v>18</v>
      </c>
      <c r="D21" s="19" t="s">
        <v>129</v>
      </c>
      <c r="E21" s="20"/>
      <c r="F21" s="20"/>
      <c r="G21" s="21"/>
      <c r="H21" s="12">
        <v>6</v>
      </c>
      <c r="I21" s="7" t="s">
        <v>2</v>
      </c>
      <c r="J21" s="3">
        <v>0</v>
      </c>
      <c r="K21" s="3">
        <v>0</v>
      </c>
      <c r="L21" s="3">
        <v>1</v>
      </c>
      <c r="M21" s="3">
        <v>0</v>
      </c>
      <c r="N21" s="3">
        <v>0</v>
      </c>
      <c r="O21" s="3">
        <v>0</v>
      </c>
      <c r="P21" s="4">
        <f t="shared" si="0"/>
        <v>5</v>
      </c>
      <c r="Q21" s="1" t="s">
        <v>14</v>
      </c>
      <c r="R21" s="44">
        <v>10</v>
      </c>
      <c r="S21" s="46">
        <v>50</v>
      </c>
      <c r="T21" s="4"/>
    </row>
    <row r="22" spans="1:20" x14ac:dyDescent="0.25">
      <c r="A22" s="7">
        <v>19</v>
      </c>
      <c r="D22" s="55" t="s">
        <v>184</v>
      </c>
      <c r="E22" s="56"/>
      <c r="F22" s="56"/>
      <c r="G22" s="57"/>
      <c r="H22" s="12">
        <v>400</v>
      </c>
      <c r="I22" s="59" t="s">
        <v>1</v>
      </c>
      <c r="J22" s="3">
        <v>750</v>
      </c>
      <c r="K22" s="3">
        <v>60</v>
      </c>
      <c r="L22" s="3">
        <v>105</v>
      </c>
      <c r="M22" s="3">
        <v>40</v>
      </c>
      <c r="N22" s="3">
        <v>20</v>
      </c>
      <c r="O22" s="3">
        <v>50</v>
      </c>
      <c r="P22" s="46">
        <f t="shared" si="0"/>
        <v>875</v>
      </c>
      <c r="Q22" s="1" t="s">
        <v>75</v>
      </c>
      <c r="R22" s="44">
        <v>150</v>
      </c>
      <c r="S22" s="47">
        <v>400</v>
      </c>
      <c r="T22" s="4"/>
    </row>
    <row r="23" spans="1:20" x14ac:dyDescent="0.25">
      <c r="A23" s="7">
        <v>20</v>
      </c>
      <c r="D23" s="9" t="s">
        <v>32</v>
      </c>
      <c r="E23" s="10"/>
      <c r="F23" s="10"/>
      <c r="G23" s="11"/>
      <c r="H23" s="12">
        <v>800</v>
      </c>
      <c r="I23" s="7" t="s">
        <v>2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4">
        <f t="shared" si="0"/>
        <v>800</v>
      </c>
      <c r="Q23" s="1" t="s">
        <v>14</v>
      </c>
      <c r="R23" s="44">
        <v>0</v>
      </c>
      <c r="S23" s="46">
        <v>0</v>
      </c>
      <c r="T23" s="4"/>
    </row>
    <row r="24" spans="1:20" x14ac:dyDescent="0.25">
      <c r="A24" s="7">
        <v>21</v>
      </c>
      <c r="D24" s="16" t="s">
        <v>188</v>
      </c>
      <c r="E24" s="17"/>
      <c r="F24" s="17"/>
      <c r="G24" s="18"/>
      <c r="H24" s="12">
        <v>35</v>
      </c>
      <c r="I24" s="7" t="s">
        <v>2</v>
      </c>
      <c r="J24" s="3">
        <v>60</v>
      </c>
      <c r="K24" s="3">
        <v>3</v>
      </c>
      <c r="L24" s="3">
        <v>3</v>
      </c>
      <c r="M24" s="3">
        <v>0</v>
      </c>
      <c r="N24" s="3">
        <v>0</v>
      </c>
      <c r="O24" s="3">
        <v>0</v>
      </c>
      <c r="P24" s="4">
        <f t="shared" si="0"/>
        <v>89</v>
      </c>
      <c r="Q24" s="1" t="s">
        <v>14</v>
      </c>
      <c r="R24" s="44">
        <v>10</v>
      </c>
      <c r="S24" s="46">
        <v>100</v>
      </c>
      <c r="T24" s="4"/>
    </row>
    <row r="25" spans="1:20" x14ac:dyDescent="0.25">
      <c r="A25" s="7">
        <v>22</v>
      </c>
      <c r="D25" s="9" t="s">
        <v>34</v>
      </c>
      <c r="E25" s="10"/>
      <c r="F25" s="10"/>
      <c r="G25" s="11"/>
      <c r="H25" s="12">
        <v>116</v>
      </c>
      <c r="I25" s="7" t="s">
        <v>2</v>
      </c>
      <c r="J25" s="3">
        <v>0</v>
      </c>
      <c r="K25" s="3">
        <v>0</v>
      </c>
      <c r="L25" s="3">
        <v>0</v>
      </c>
      <c r="M25" s="3">
        <v>6</v>
      </c>
      <c r="N25" s="3">
        <v>0</v>
      </c>
      <c r="O25" s="3">
        <v>0</v>
      </c>
      <c r="P25" s="4">
        <f t="shared" si="0"/>
        <v>110</v>
      </c>
      <c r="Q25" s="1" t="s">
        <v>14</v>
      </c>
      <c r="R25" s="44">
        <v>20</v>
      </c>
      <c r="S25" s="46">
        <v>50</v>
      </c>
      <c r="T25" s="4"/>
    </row>
    <row r="26" spans="1:20" x14ac:dyDescent="0.25">
      <c r="A26" s="7">
        <v>23</v>
      </c>
      <c r="D26" s="16" t="s">
        <v>142</v>
      </c>
      <c r="E26" s="17"/>
      <c r="F26" s="17"/>
      <c r="G26" s="18"/>
      <c r="H26" s="12">
        <v>48</v>
      </c>
      <c r="I26" s="7" t="s">
        <v>2</v>
      </c>
      <c r="J26" s="3">
        <v>100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4">
        <f t="shared" si="0"/>
        <v>148</v>
      </c>
      <c r="Q26" s="1" t="s">
        <v>14</v>
      </c>
      <c r="R26" s="44">
        <v>20</v>
      </c>
      <c r="S26" s="47">
        <v>50</v>
      </c>
      <c r="T26" s="4"/>
    </row>
    <row r="27" spans="1:20" x14ac:dyDescent="0.25">
      <c r="A27" s="7">
        <v>24</v>
      </c>
      <c r="D27" s="9" t="s">
        <v>141</v>
      </c>
      <c r="E27" s="10"/>
      <c r="F27" s="10"/>
      <c r="G27" s="11"/>
      <c r="H27" s="12">
        <v>48</v>
      </c>
      <c r="I27" s="7" t="s">
        <v>2</v>
      </c>
      <c r="J27" s="3">
        <v>70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  <c r="P27" s="4">
        <f t="shared" si="0"/>
        <v>118</v>
      </c>
      <c r="Q27" s="1"/>
      <c r="R27" s="44">
        <v>20</v>
      </c>
      <c r="S27" s="47">
        <v>50</v>
      </c>
      <c r="T27" s="4"/>
    </row>
    <row r="28" spans="1:20" x14ac:dyDescent="0.25">
      <c r="A28" s="7">
        <v>25</v>
      </c>
      <c r="D28" s="9" t="s">
        <v>137</v>
      </c>
      <c r="E28" s="10"/>
      <c r="F28" s="10"/>
      <c r="G28" s="11"/>
      <c r="H28" s="12">
        <v>54</v>
      </c>
      <c r="I28" s="7" t="s">
        <v>2</v>
      </c>
      <c r="J28" s="3">
        <v>0</v>
      </c>
      <c r="K28" s="3">
        <v>0</v>
      </c>
      <c r="L28" s="3">
        <v>0</v>
      </c>
      <c r="M28" s="3">
        <v>6</v>
      </c>
      <c r="N28" s="3">
        <v>0</v>
      </c>
      <c r="O28" s="3">
        <v>0</v>
      </c>
      <c r="P28" s="4">
        <f t="shared" si="0"/>
        <v>48</v>
      </c>
      <c r="Q28" s="1" t="s">
        <v>14</v>
      </c>
      <c r="R28" s="44">
        <v>20</v>
      </c>
      <c r="S28" s="47">
        <v>50</v>
      </c>
      <c r="T28" s="4"/>
    </row>
    <row r="29" spans="1:20" x14ac:dyDescent="0.25">
      <c r="A29" s="7">
        <v>26</v>
      </c>
      <c r="D29" s="9" t="s">
        <v>138</v>
      </c>
      <c r="E29" s="10"/>
      <c r="F29" s="10"/>
      <c r="G29" s="11"/>
      <c r="H29" s="12">
        <v>47</v>
      </c>
      <c r="I29" s="7" t="s">
        <v>2</v>
      </c>
      <c r="J29" s="3">
        <v>0</v>
      </c>
      <c r="K29" s="3">
        <v>0</v>
      </c>
      <c r="L29" s="3">
        <v>0</v>
      </c>
      <c r="M29" s="3">
        <v>6</v>
      </c>
      <c r="N29" s="3">
        <v>0</v>
      </c>
      <c r="O29" s="3">
        <v>0</v>
      </c>
      <c r="P29" s="4">
        <f t="shared" si="0"/>
        <v>41</v>
      </c>
      <c r="Q29" s="1"/>
      <c r="R29" s="44">
        <v>20</v>
      </c>
      <c r="S29" s="47">
        <v>50</v>
      </c>
      <c r="T29" s="4"/>
    </row>
    <row r="30" spans="1:20" x14ac:dyDescent="0.25">
      <c r="A30" s="7">
        <v>27</v>
      </c>
      <c r="D30" s="16" t="s">
        <v>35</v>
      </c>
      <c r="E30" s="17"/>
      <c r="F30" s="17"/>
      <c r="G30" s="18"/>
      <c r="H30" s="12">
        <v>150</v>
      </c>
      <c r="I30" s="7" t="s">
        <v>2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15</v>
      </c>
      <c r="P30" s="4">
        <f t="shared" si="0"/>
        <v>135</v>
      </c>
      <c r="Q30" s="1" t="s">
        <v>14</v>
      </c>
      <c r="R30" s="44">
        <v>50</v>
      </c>
      <c r="S30" s="47">
        <v>100</v>
      </c>
      <c r="T30" s="4"/>
    </row>
    <row r="31" spans="1:20" x14ac:dyDescent="0.25">
      <c r="A31" s="7">
        <v>28</v>
      </c>
      <c r="D31" s="9" t="s">
        <v>36</v>
      </c>
      <c r="E31" s="10"/>
      <c r="F31" s="10"/>
      <c r="G31" s="11"/>
      <c r="H31" s="12">
        <v>15</v>
      </c>
      <c r="I31" s="7" t="s">
        <v>2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4">
        <f t="shared" si="0"/>
        <v>15</v>
      </c>
      <c r="Q31" s="1" t="s">
        <v>14</v>
      </c>
      <c r="R31" s="44">
        <v>50</v>
      </c>
      <c r="S31" s="47">
        <v>100</v>
      </c>
      <c r="T31" s="4"/>
    </row>
    <row r="32" spans="1:20" x14ac:dyDescent="0.25">
      <c r="A32" s="7">
        <v>29</v>
      </c>
      <c r="D32" s="16" t="s">
        <v>37</v>
      </c>
      <c r="E32" s="17"/>
      <c r="F32" s="17"/>
      <c r="G32" s="18"/>
      <c r="H32" s="12">
        <v>189</v>
      </c>
      <c r="I32" s="7" t="s">
        <v>2</v>
      </c>
      <c r="J32" s="3">
        <v>50</v>
      </c>
      <c r="K32" s="3">
        <v>0</v>
      </c>
      <c r="L32" s="3">
        <v>91</v>
      </c>
      <c r="M32" s="3">
        <v>0</v>
      </c>
      <c r="N32" s="3">
        <v>0</v>
      </c>
      <c r="O32" s="3">
        <v>0</v>
      </c>
      <c r="P32" s="4">
        <f t="shared" si="0"/>
        <v>148</v>
      </c>
      <c r="Q32" s="1" t="s">
        <v>14</v>
      </c>
      <c r="R32" s="44">
        <v>20</v>
      </c>
      <c r="S32" s="47">
        <v>50</v>
      </c>
      <c r="T32" s="4"/>
    </row>
    <row r="33" spans="1:20" x14ac:dyDescent="0.25">
      <c r="A33" s="7">
        <v>30</v>
      </c>
      <c r="D33" s="9" t="s">
        <v>38</v>
      </c>
      <c r="E33" s="10"/>
      <c r="F33" s="10"/>
      <c r="G33" s="11"/>
      <c r="H33" s="12">
        <v>76</v>
      </c>
      <c r="I33" s="7" t="s">
        <v>2</v>
      </c>
      <c r="J33" s="3">
        <v>50</v>
      </c>
      <c r="K33" s="3">
        <v>10</v>
      </c>
      <c r="L33" s="3">
        <v>2</v>
      </c>
      <c r="M33" s="3">
        <v>85</v>
      </c>
      <c r="N33" s="3">
        <v>3</v>
      </c>
      <c r="O33" s="3">
        <v>0</v>
      </c>
      <c r="P33" s="4">
        <f t="shared" si="0"/>
        <v>26</v>
      </c>
      <c r="Q33" s="1" t="s">
        <v>14</v>
      </c>
      <c r="R33" s="44">
        <v>50</v>
      </c>
      <c r="S33" s="47">
        <v>100</v>
      </c>
      <c r="T33" s="4"/>
    </row>
    <row r="34" spans="1:20" x14ac:dyDescent="0.25">
      <c r="A34" s="7">
        <v>31</v>
      </c>
      <c r="D34" s="16" t="s">
        <v>39</v>
      </c>
      <c r="E34" s="17"/>
      <c r="F34" s="17"/>
      <c r="G34" s="18"/>
      <c r="H34" s="12">
        <v>48</v>
      </c>
      <c r="I34" s="7" t="s">
        <v>2</v>
      </c>
      <c r="J34" s="3">
        <v>220</v>
      </c>
      <c r="K34" s="3">
        <v>0</v>
      </c>
      <c r="L34" s="3">
        <v>128</v>
      </c>
      <c r="M34" s="3">
        <v>0</v>
      </c>
      <c r="N34" s="3">
        <v>0</v>
      </c>
      <c r="O34" s="3">
        <v>0</v>
      </c>
      <c r="P34" s="4">
        <f t="shared" si="0"/>
        <v>140</v>
      </c>
      <c r="Q34" s="1" t="s">
        <v>14</v>
      </c>
      <c r="R34" s="44">
        <v>20</v>
      </c>
      <c r="S34" s="47">
        <v>50</v>
      </c>
      <c r="T34" s="4"/>
    </row>
    <row r="35" spans="1:20" x14ac:dyDescent="0.25">
      <c r="A35" s="7">
        <v>32</v>
      </c>
      <c r="D35" s="9" t="s">
        <v>40</v>
      </c>
      <c r="E35" s="10"/>
      <c r="F35" s="10"/>
      <c r="G35" s="11"/>
      <c r="H35" s="12">
        <v>1050</v>
      </c>
      <c r="I35" s="7" t="s">
        <v>2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4">
        <f t="shared" si="0"/>
        <v>1050</v>
      </c>
      <c r="Q35" s="1" t="s">
        <v>14</v>
      </c>
      <c r="R35" s="44">
        <v>0</v>
      </c>
      <c r="S35" s="46">
        <v>0</v>
      </c>
      <c r="T35" s="4"/>
    </row>
    <row r="36" spans="1:20" x14ac:dyDescent="0.25">
      <c r="A36" s="7">
        <v>33</v>
      </c>
      <c r="D36" s="9" t="s">
        <v>9</v>
      </c>
      <c r="E36" s="10"/>
      <c r="F36" s="10"/>
      <c r="G36" s="11"/>
      <c r="H36" s="83">
        <v>73</v>
      </c>
      <c r="I36" s="7" t="s">
        <v>132</v>
      </c>
      <c r="J36" s="3">
        <v>50</v>
      </c>
      <c r="K36" s="3">
        <v>43</v>
      </c>
      <c r="L36" s="3">
        <v>0</v>
      </c>
      <c r="M36" s="3">
        <v>0</v>
      </c>
      <c r="N36" s="3">
        <v>15</v>
      </c>
      <c r="O36" s="3">
        <v>0</v>
      </c>
      <c r="P36" s="4">
        <f t="shared" si="0"/>
        <v>65</v>
      </c>
      <c r="Q36" s="1" t="s">
        <v>132</v>
      </c>
      <c r="R36" s="44">
        <v>50</v>
      </c>
      <c r="S36" s="47">
        <v>100</v>
      </c>
      <c r="T36" s="4"/>
    </row>
    <row r="37" spans="1:20" x14ac:dyDescent="0.25">
      <c r="A37" s="7">
        <v>34</v>
      </c>
      <c r="D37" s="19" t="s">
        <v>166</v>
      </c>
      <c r="E37" s="20"/>
      <c r="F37" s="20"/>
      <c r="G37" s="21"/>
      <c r="H37" s="69">
        <v>130</v>
      </c>
      <c r="I37" s="7" t="s">
        <v>2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4">
        <f t="shared" si="0"/>
        <v>130</v>
      </c>
      <c r="Q37" s="1" t="s">
        <v>14</v>
      </c>
      <c r="R37" s="44">
        <v>50</v>
      </c>
      <c r="S37" s="46">
        <v>100</v>
      </c>
      <c r="T37" s="4"/>
    </row>
    <row r="38" spans="1:20" x14ac:dyDescent="0.25">
      <c r="A38" s="7">
        <v>35</v>
      </c>
      <c r="D38" s="16" t="s">
        <v>143</v>
      </c>
      <c r="E38" s="17"/>
      <c r="F38" s="17"/>
      <c r="G38" s="18"/>
      <c r="H38" s="12">
        <v>81</v>
      </c>
      <c r="I38" s="7" t="s">
        <v>2</v>
      </c>
      <c r="J38" s="3">
        <v>50</v>
      </c>
      <c r="K38" s="3">
        <v>33</v>
      </c>
      <c r="L38" s="3">
        <v>0</v>
      </c>
      <c r="M38" s="3">
        <v>0</v>
      </c>
      <c r="N38" s="3">
        <v>33</v>
      </c>
      <c r="O38" s="3">
        <v>0</v>
      </c>
      <c r="P38" s="4">
        <f t="shared" si="0"/>
        <v>65</v>
      </c>
      <c r="Q38" s="1" t="s">
        <v>14</v>
      </c>
      <c r="R38" s="44">
        <v>50</v>
      </c>
      <c r="S38" s="46">
        <v>100</v>
      </c>
      <c r="T38" s="4"/>
    </row>
    <row r="39" spans="1:20" x14ac:dyDescent="0.25">
      <c r="A39" s="7">
        <v>36</v>
      </c>
      <c r="D39" s="9" t="s">
        <v>144</v>
      </c>
      <c r="E39" s="10"/>
      <c r="F39" s="10"/>
      <c r="G39" s="11"/>
      <c r="H39" s="12">
        <v>81</v>
      </c>
      <c r="I39" s="7" t="s">
        <v>2</v>
      </c>
      <c r="J39" s="3">
        <v>50</v>
      </c>
      <c r="K39" s="3">
        <v>33</v>
      </c>
      <c r="L39" s="3">
        <v>0</v>
      </c>
      <c r="M39" s="3">
        <v>0</v>
      </c>
      <c r="N39" s="3">
        <v>33</v>
      </c>
      <c r="O39" s="3">
        <v>0</v>
      </c>
      <c r="P39" s="4">
        <f t="shared" si="0"/>
        <v>65</v>
      </c>
      <c r="Q39" s="1" t="s">
        <v>14</v>
      </c>
      <c r="R39" s="44">
        <v>50</v>
      </c>
      <c r="S39" s="47">
        <v>100</v>
      </c>
      <c r="T39" s="4"/>
    </row>
    <row r="40" spans="1:20" x14ac:dyDescent="0.25">
      <c r="A40" s="7">
        <v>37</v>
      </c>
      <c r="D40" s="16" t="s">
        <v>42</v>
      </c>
      <c r="E40" s="17"/>
      <c r="F40" s="17"/>
      <c r="G40" s="18"/>
      <c r="H40" s="12">
        <v>75</v>
      </c>
      <c r="I40" s="7" t="s">
        <v>2</v>
      </c>
      <c r="J40" s="3">
        <v>50</v>
      </c>
      <c r="K40" s="3">
        <v>33</v>
      </c>
      <c r="L40" s="3">
        <v>0</v>
      </c>
      <c r="M40" s="3">
        <v>0</v>
      </c>
      <c r="N40" s="3">
        <v>26</v>
      </c>
      <c r="O40" s="3">
        <v>0</v>
      </c>
      <c r="P40" s="4">
        <f t="shared" si="0"/>
        <v>66</v>
      </c>
      <c r="Q40" s="1" t="s">
        <v>14</v>
      </c>
      <c r="R40" s="44">
        <v>50</v>
      </c>
      <c r="S40" s="47">
        <v>100</v>
      </c>
      <c r="T40" s="4"/>
    </row>
    <row r="41" spans="1:20" x14ac:dyDescent="0.25">
      <c r="A41" s="7">
        <v>38</v>
      </c>
      <c r="D41" s="9" t="s">
        <v>133</v>
      </c>
      <c r="E41" s="10"/>
      <c r="F41" s="10"/>
      <c r="G41" s="11"/>
      <c r="H41" s="12">
        <v>147</v>
      </c>
      <c r="I41" s="7" t="s">
        <v>2</v>
      </c>
      <c r="J41" s="3">
        <v>120</v>
      </c>
      <c r="K41" s="3">
        <v>0</v>
      </c>
      <c r="L41" s="3">
        <v>1</v>
      </c>
      <c r="M41" s="3">
        <v>0</v>
      </c>
      <c r="N41" s="3">
        <v>2</v>
      </c>
      <c r="O41" s="3">
        <v>0</v>
      </c>
      <c r="P41" s="4">
        <f t="shared" si="0"/>
        <v>264</v>
      </c>
      <c r="Q41" s="1" t="s">
        <v>14</v>
      </c>
      <c r="R41" s="44">
        <v>50</v>
      </c>
      <c r="S41" s="47">
        <v>100</v>
      </c>
      <c r="T41" s="4"/>
    </row>
    <row r="42" spans="1:20" x14ac:dyDescent="0.25">
      <c r="A42" s="7">
        <v>39</v>
      </c>
      <c r="D42" s="16" t="s">
        <v>145</v>
      </c>
      <c r="E42" s="17"/>
      <c r="F42" s="17"/>
      <c r="G42" s="18"/>
      <c r="H42" s="12">
        <v>318</v>
      </c>
      <c r="I42" s="7" t="s">
        <v>2</v>
      </c>
      <c r="J42" s="3">
        <v>50</v>
      </c>
      <c r="K42" s="3">
        <v>0</v>
      </c>
      <c r="L42" s="3">
        <v>1</v>
      </c>
      <c r="M42" s="3">
        <v>0</v>
      </c>
      <c r="N42" s="3">
        <v>2</v>
      </c>
      <c r="O42" s="3">
        <v>0</v>
      </c>
      <c r="P42" s="4">
        <f t="shared" si="0"/>
        <v>365</v>
      </c>
      <c r="Q42" s="1" t="s">
        <v>14</v>
      </c>
      <c r="R42" s="44">
        <v>50</v>
      </c>
      <c r="S42" s="46">
        <v>100</v>
      </c>
      <c r="T42" s="4"/>
    </row>
    <row r="43" spans="1:20" x14ac:dyDescent="0.25">
      <c r="A43" s="7">
        <v>40</v>
      </c>
      <c r="D43" s="9" t="s">
        <v>190</v>
      </c>
      <c r="E43" s="10"/>
      <c r="F43" s="10" t="s">
        <v>14</v>
      </c>
      <c r="G43" s="11" t="s">
        <v>14</v>
      </c>
      <c r="H43" s="12">
        <v>60</v>
      </c>
      <c r="I43" s="7" t="s">
        <v>75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4">
        <f t="shared" si="0"/>
        <v>60</v>
      </c>
      <c r="Q43" s="1" t="s">
        <v>75</v>
      </c>
      <c r="R43" s="44">
        <v>50</v>
      </c>
      <c r="S43" s="47">
        <v>200</v>
      </c>
      <c r="T43" s="4"/>
    </row>
    <row r="44" spans="1:20" x14ac:dyDescent="0.25">
      <c r="A44" s="7">
        <v>41</v>
      </c>
      <c r="D44" s="16" t="s">
        <v>10</v>
      </c>
      <c r="E44" s="17"/>
      <c r="F44" s="17"/>
      <c r="G44" s="18"/>
      <c r="H44" s="12">
        <v>14</v>
      </c>
      <c r="I44" s="7" t="s">
        <v>2</v>
      </c>
      <c r="J44" s="3">
        <v>0</v>
      </c>
      <c r="K44" s="3">
        <v>0</v>
      </c>
      <c r="L44" s="3">
        <v>0</v>
      </c>
      <c r="M44" s="3">
        <v>0</v>
      </c>
      <c r="N44" s="3">
        <v>3</v>
      </c>
      <c r="O44" s="3">
        <v>0</v>
      </c>
      <c r="P44" s="4">
        <f t="shared" si="0"/>
        <v>11</v>
      </c>
      <c r="Q44" s="1" t="s">
        <v>132</v>
      </c>
      <c r="R44" s="44">
        <v>20</v>
      </c>
      <c r="S44" s="47">
        <v>50</v>
      </c>
      <c r="T44" s="4"/>
    </row>
    <row r="45" spans="1:20" x14ac:dyDescent="0.25">
      <c r="A45" s="7">
        <v>42</v>
      </c>
      <c r="D45" s="9" t="s">
        <v>45</v>
      </c>
      <c r="E45" s="10"/>
      <c r="F45" s="10"/>
      <c r="G45" s="11"/>
      <c r="H45" s="12">
        <v>14</v>
      </c>
      <c r="I45" s="7" t="s">
        <v>2</v>
      </c>
      <c r="J45" s="3">
        <v>0</v>
      </c>
      <c r="K45" s="3">
        <v>0</v>
      </c>
      <c r="L45" s="3">
        <v>0</v>
      </c>
      <c r="M45" s="3">
        <v>0</v>
      </c>
      <c r="N45" s="3">
        <v>3</v>
      </c>
      <c r="O45" s="3">
        <v>0</v>
      </c>
      <c r="P45" s="4">
        <f t="shared" si="0"/>
        <v>11</v>
      </c>
      <c r="Q45" s="1" t="s">
        <v>14</v>
      </c>
      <c r="R45" s="44">
        <v>20</v>
      </c>
      <c r="S45" s="47">
        <v>50</v>
      </c>
      <c r="T45" s="4"/>
    </row>
    <row r="46" spans="1:20" x14ac:dyDescent="0.25">
      <c r="A46" s="7">
        <v>43</v>
      </c>
      <c r="D46" s="16" t="s">
        <v>46</v>
      </c>
      <c r="E46" s="17"/>
      <c r="F46" s="17"/>
      <c r="G46" s="18"/>
      <c r="H46" s="12">
        <v>14</v>
      </c>
      <c r="I46" s="7" t="s">
        <v>2</v>
      </c>
      <c r="J46" s="3">
        <v>0</v>
      </c>
      <c r="K46" s="3">
        <v>0</v>
      </c>
      <c r="L46" s="3">
        <v>0</v>
      </c>
      <c r="M46" s="3">
        <v>0</v>
      </c>
      <c r="N46" s="3">
        <v>3</v>
      </c>
      <c r="O46" s="3">
        <v>0</v>
      </c>
      <c r="P46" s="4">
        <f t="shared" si="0"/>
        <v>11</v>
      </c>
      <c r="Q46" s="1" t="s">
        <v>14</v>
      </c>
      <c r="R46" s="44">
        <v>20</v>
      </c>
      <c r="S46" s="47">
        <v>50</v>
      </c>
      <c r="T46" s="4"/>
    </row>
    <row r="47" spans="1:20" x14ac:dyDescent="0.25">
      <c r="A47" s="7">
        <v>44</v>
      </c>
      <c r="D47" s="9" t="s">
        <v>47</v>
      </c>
      <c r="E47" s="10"/>
      <c r="F47" s="10"/>
      <c r="G47" s="11" t="s">
        <v>14</v>
      </c>
      <c r="H47" s="12">
        <v>14</v>
      </c>
      <c r="I47" s="7" t="s">
        <v>2</v>
      </c>
      <c r="J47" s="3">
        <v>0</v>
      </c>
      <c r="K47" s="3">
        <v>0</v>
      </c>
      <c r="L47" s="3">
        <v>0</v>
      </c>
      <c r="M47" s="3">
        <v>0</v>
      </c>
      <c r="N47" s="3">
        <v>3</v>
      </c>
      <c r="O47" s="3">
        <v>0</v>
      </c>
      <c r="P47" s="4">
        <f t="shared" si="0"/>
        <v>11</v>
      </c>
      <c r="Q47" s="1" t="s">
        <v>14</v>
      </c>
      <c r="R47" s="44">
        <v>20</v>
      </c>
      <c r="S47" s="47">
        <v>50</v>
      </c>
      <c r="T47" s="4"/>
    </row>
    <row r="48" spans="1:20" x14ac:dyDescent="0.25">
      <c r="A48" s="7">
        <v>45</v>
      </c>
      <c r="D48" s="16" t="s">
        <v>175</v>
      </c>
      <c r="E48" s="17"/>
      <c r="F48" s="17"/>
      <c r="G48" s="18"/>
      <c r="H48" s="12">
        <v>300</v>
      </c>
      <c r="I48" s="7" t="s">
        <v>2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4">
        <f t="shared" si="0"/>
        <v>300</v>
      </c>
      <c r="Q48" s="1" t="s">
        <v>14</v>
      </c>
      <c r="R48" s="44">
        <v>500</v>
      </c>
      <c r="S48" s="47">
        <v>2000</v>
      </c>
      <c r="T48" s="4"/>
    </row>
    <row r="49" spans="1:20" x14ac:dyDescent="0.25">
      <c r="A49" s="7">
        <v>46</v>
      </c>
      <c r="D49" s="9" t="s">
        <v>48</v>
      </c>
      <c r="E49" s="10"/>
      <c r="F49" s="10"/>
      <c r="G49" s="11"/>
      <c r="H49" s="12">
        <v>12</v>
      </c>
      <c r="I49" s="7" t="s">
        <v>2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4">
        <f t="shared" si="0"/>
        <v>12</v>
      </c>
      <c r="Q49" s="1" t="s">
        <v>14</v>
      </c>
      <c r="R49" s="44">
        <v>10</v>
      </c>
      <c r="S49" s="47">
        <v>20</v>
      </c>
      <c r="T49" s="4" t="s">
        <v>14</v>
      </c>
    </row>
    <row r="50" spans="1:20" x14ac:dyDescent="0.25">
      <c r="A50" s="7">
        <v>47</v>
      </c>
      <c r="D50" s="16" t="s">
        <v>49</v>
      </c>
      <c r="E50" s="17"/>
      <c r="F50" s="17"/>
      <c r="G50" s="18"/>
      <c r="H50" s="12">
        <v>79</v>
      </c>
      <c r="I50" s="7" t="s">
        <v>2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4">
        <f t="shared" si="0"/>
        <v>79</v>
      </c>
      <c r="Q50" s="1" t="s">
        <v>14</v>
      </c>
      <c r="R50" s="44">
        <v>10</v>
      </c>
      <c r="S50" s="47">
        <v>20</v>
      </c>
      <c r="T50" s="4"/>
    </row>
    <row r="51" spans="1:20" x14ac:dyDescent="0.25">
      <c r="A51" s="7">
        <v>48</v>
      </c>
      <c r="D51" s="9" t="s">
        <v>189</v>
      </c>
      <c r="E51" s="10"/>
      <c r="F51" s="10"/>
      <c r="G51" s="11"/>
      <c r="H51" s="12">
        <v>230</v>
      </c>
      <c r="I51" s="7" t="s">
        <v>1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4">
        <f t="shared" si="0"/>
        <v>230</v>
      </c>
      <c r="Q51" s="1" t="s">
        <v>75</v>
      </c>
      <c r="R51" s="44">
        <v>50</v>
      </c>
      <c r="S51" s="47">
        <v>100</v>
      </c>
      <c r="T51" s="4"/>
    </row>
    <row r="52" spans="1:20" x14ac:dyDescent="0.25">
      <c r="A52" s="7">
        <v>49</v>
      </c>
      <c r="D52" s="94" t="s">
        <v>185</v>
      </c>
      <c r="E52" s="91" t="s">
        <v>186</v>
      </c>
      <c r="F52" s="92" t="s">
        <v>187</v>
      </c>
      <c r="G52" s="93"/>
      <c r="H52" s="12">
        <v>36</v>
      </c>
      <c r="I52" s="7" t="s">
        <v>2</v>
      </c>
      <c r="J52" s="3">
        <v>50</v>
      </c>
      <c r="K52" s="3">
        <v>0</v>
      </c>
      <c r="L52" s="3">
        <v>0</v>
      </c>
      <c r="M52" s="3">
        <v>6</v>
      </c>
      <c r="N52" s="3">
        <v>7</v>
      </c>
      <c r="O52" s="3">
        <v>6</v>
      </c>
      <c r="P52" s="4">
        <f t="shared" si="0"/>
        <v>67</v>
      </c>
      <c r="Q52" s="1" t="s">
        <v>14</v>
      </c>
      <c r="R52" s="44">
        <v>20</v>
      </c>
      <c r="S52" s="47">
        <v>50</v>
      </c>
      <c r="T52" s="4"/>
    </row>
    <row r="53" spans="1:20" x14ac:dyDescent="0.25">
      <c r="A53" s="7">
        <v>50</v>
      </c>
      <c r="D53" s="9" t="s">
        <v>51</v>
      </c>
      <c r="E53" s="10"/>
      <c r="F53" s="10"/>
      <c r="G53" s="11"/>
      <c r="H53" s="12">
        <v>34</v>
      </c>
      <c r="I53" s="7" t="s">
        <v>2</v>
      </c>
      <c r="J53" s="3">
        <v>50</v>
      </c>
      <c r="K53" s="3">
        <v>0</v>
      </c>
      <c r="L53" s="3">
        <v>0</v>
      </c>
      <c r="M53" s="3">
        <v>6</v>
      </c>
      <c r="N53" s="3">
        <v>7</v>
      </c>
      <c r="O53" s="3">
        <v>6</v>
      </c>
      <c r="P53" s="4">
        <f t="shared" si="0"/>
        <v>65</v>
      </c>
      <c r="Q53" s="1" t="s">
        <v>14</v>
      </c>
      <c r="R53" s="44">
        <v>20</v>
      </c>
      <c r="S53" s="47">
        <v>50</v>
      </c>
      <c r="T53" s="4"/>
    </row>
    <row r="54" spans="1:20" x14ac:dyDescent="0.25">
      <c r="A54" s="7">
        <v>51</v>
      </c>
      <c r="D54" s="16" t="s">
        <v>52</v>
      </c>
      <c r="E54" s="17"/>
      <c r="F54" s="17"/>
      <c r="G54" s="18"/>
      <c r="H54" s="12">
        <v>40</v>
      </c>
      <c r="I54" s="7" t="s">
        <v>2</v>
      </c>
      <c r="J54" s="3">
        <v>50</v>
      </c>
      <c r="K54" s="3">
        <v>0</v>
      </c>
      <c r="L54" s="3">
        <v>0</v>
      </c>
      <c r="M54" s="3">
        <v>6</v>
      </c>
      <c r="N54" s="3">
        <v>7</v>
      </c>
      <c r="O54" s="3">
        <v>6</v>
      </c>
      <c r="P54" s="4">
        <f t="shared" si="0"/>
        <v>71</v>
      </c>
      <c r="Q54" s="1" t="s">
        <v>14</v>
      </c>
      <c r="R54" s="44">
        <v>20</v>
      </c>
      <c r="S54" s="47">
        <v>50</v>
      </c>
      <c r="T54" s="4" t="s">
        <v>14</v>
      </c>
    </row>
    <row r="55" spans="1:20" x14ac:dyDescent="0.25">
      <c r="A55" s="7">
        <v>52</v>
      </c>
      <c r="D55" s="9" t="s">
        <v>53</v>
      </c>
      <c r="E55" s="10"/>
      <c r="F55" s="10"/>
      <c r="G55" s="11"/>
      <c r="H55" s="12">
        <v>55</v>
      </c>
      <c r="I55" s="7" t="s">
        <v>2</v>
      </c>
      <c r="J55" s="3">
        <v>50</v>
      </c>
      <c r="K55" s="3">
        <v>0</v>
      </c>
      <c r="L55" s="3">
        <v>0</v>
      </c>
      <c r="M55" s="3">
        <v>6</v>
      </c>
      <c r="N55" s="3">
        <v>7</v>
      </c>
      <c r="O55" s="3">
        <v>6</v>
      </c>
      <c r="P55" s="4">
        <f t="shared" si="0"/>
        <v>86</v>
      </c>
      <c r="Q55" s="1" t="s">
        <v>14</v>
      </c>
      <c r="R55" s="44">
        <v>20</v>
      </c>
      <c r="S55" s="47">
        <v>50</v>
      </c>
      <c r="T55" s="4"/>
    </row>
    <row r="56" spans="1:20" x14ac:dyDescent="0.25">
      <c r="A56" s="7">
        <v>53</v>
      </c>
      <c r="D56" s="70" t="s">
        <v>191</v>
      </c>
      <c r="E56" s="71"/>
      <c r="F56" s="71"/>
      <c r="G56" s="72"/>
      <c r="H56" s="12">
        <v>735</v>
      </c>
      <c r="I56" s="7" t="s">
        <v>1</v>
      </c>
      <c r="J56" s="3">
        <v>0</v>
      </c>
      <c r="K56" s="3">
        <v>160</v>
      </c>
      <c r="L56" s="3">
        <v>105</v>
      </c>
      <c r="M56" s="3">
        <v>75</v>
      </c>
      <c r="N56" s="3">
        <v>150</v>
      </c>
      <c r="O56" s="3">
        <v>45</v>
      </c>
      <c r="P56" s="4">
        <f t="shared" si="0"/>
        <v>200</v>
      </c>
      <c r="Q56" s="1" t="s">
        <v>120</v>
      </c>
      <c r="R56" s="44">
        <v>300</v>
      </c>
      <c r="S56" s="47">
        <v>900</v>
      </c>
      <c r="T56" s="4"/>
    </row>
    <row r="57" spans="1:20" x14ac:dyDescent="0.25">
      <c r="A57" s="7">
        <v>54</v>
      </c>
      <c r="D57" s="16" t="s">
        <v>61</v>
      </c>
      <c r="E57" s="17"/>
      <c r="F57" s="17"/>
      <c r="G57" s="18"/>
      <c r="H57" s="12">
        <v>30</v>
      </c>
      <c r="I57" s="7" t="s">
        <v>171</v>
      </c>
      <c r="J57" s="3">
        <v>50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  <c r="P57" s="4">
        <f t="shared" si="0"/>
        <v>80</v>
      </c>
      <c r="Q57" s="1" t="s">
        <v>14</v>
      </c>
      <c r="R57" s="44">
        <v>10</v>
      </c>
      <c r="S57" s="46">
        <v>200</v>
      </c>
      <c r="T57" s="4"/>
    </row>
    <row r="58" spans="1:20" x14ac:dyDescent="0.25">
      <c r="A58" s="7">
        <v>55</v>
      </c>
      <c r="D58" s="9" t="s">
        <v>62</v>
      </c>
      <c r="E58" s="10"/>
      <c r="F58" s="10"/>
      <c r="G58" s="11"/>
      <c r="H58" s="12">
        <v>1160</v>
      </c>
      <c r="I58" s="7" t="s">
        <v>2</v>
      </c>
      <c r="J58" s="3">
        <v>0</v>
      </c>
      <c r="K58" s="3">
        <v>12</v>
      </c>
      <c r="L58" s="3">
        <v>40</v>
      </c>
      <c r="M58" s="3">
        <v>36</v>
      </c>
      <c r="N58" s="3">
        <v>0</v>
      </c>
      <c r="O58" s="3">
        <v>0</v>
      </c>
      <c r="P58" s="4">
        <f t="shared" si="0"/>
        <v>1072</v>
      </c>
      <c r="Q58" s="1" t="s">
        <v>14</v>
      </c>
      <c r="R58" s="44">
        <v>500</v>
      </c>
      <c r="S58" s="47">
        <v>1000</v>
      </c>
      <c r="T58" s="4"/>
    </row>
    <row r="59" spans="1:20" x14ac:dyDescent="0.25">
      <c r="A59" s="7">
        <v>56</v>
      </c>
      <c r="D59" s="16" t="s">
        <v>13</v>
      </c>
      <c r="E59" s="17"/>
      <c r="F59" s="17"/>
      <c r="G59" s="18"/>
      <c r="H59" s="12">
        <v>55</v>
      </c>
      <c r="I59" s="7" t="s">
        <v>2</v>
      </c>
      <c r="J59" s="3">
        <v>300</v>
      </c>
      <c r="K59" s="3">
        <v>13</v>
      </c>
      <c r="L59" s="3">
        <v>20</v>
      </c>
      <c r="M59" s="3">
        <v>22</v>
      </c>
      <c r="N59" s="3">
        <v>19</v>
      </c>
      <c r="O59" s="3">
        <v>20</v>
      </c>
      <c r="P59" s="4">
        <f t="shared" si="0"/>
        <v>261</v>
      </c>
      <c r="Q59" s="1" t="s">
        <v>14</v>
      </c>
      <c r="R59" s="44">
        <v>100</v>
      </c>
      <c r="S59" s="47">
        <v>500</v>
      </c>
      <c r="T59" s="4"/>
    </row>
    <row r="60" spans="1:20" x14ac:dyDescent="0.25">
      <c r="A60" s="7">
        <v>57</v>
      </c>
      <c r="D60" s="9" t="s">
        <v>72</v>
      </c>
      <c r="E60" s="10"/>
      <c r="F60" s="10"/>
      <c r="G60" s="11"/>
      <c r="H60" s="12">
        <v>20</v>
      </c>
      <c r="I60" s="7" t="s">
        <v>2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4">
        <f t="shared" si="0"/>
        <v>20</v>
      </c>
      <c r="Q60" s="1" t="s">
        <v>14</v>
      </c>
      <c r="R60" s="44">
        <v>15</v>
      </c>
      <c r="S60" s="47">
        <v>300</v>
      </c>
      <c r="T60" s="4"/>
    </row>
    <row r="61" spans="1:20" x14ac:dyDescent="0.25">
      <c r="A61" s="7">
        <v>58</v>
      </c>
      <c r="D61" s="16" t="s">
        <v>182</v>
      </c>
      <c r="E61" s="17"/>
      <c r="F61" s="17"/>
      <c r="G61" s="18"/>
      <c r="H61" s="12">
        <v>194</v>
      </c>
      <c r="I61" s="7" t="s">
        <v>2</v>
      </c>
      <c r="J61" s="3">
        <v>0</v>
      </c>
      <c r="K61" s="3">
        <v>0</v>
      </c>
      <c r="L61" s="3">
        <v>17</v>
      </c>
      <c r="M61" s="3">
        <v>105</v>
      </c>
      <c r="N61" s="3">
        <v>0</v>
      </c>
      <c r="O61" s="3">
        <v>0</v>
      </c>
      <c r="P61" s="4">
        <f t="shared" si="0"/>
        <v>72</v>
      </c>
      <c r="Q61" s="1" t="s">
        <v>14</v>
      </c>
      <c r="R61" s="44">
        <v>150</v>
      </c>
      <c r="S61" s="47">
        <v>600</v>
      </c>
      <c r="T61" s="4"/>
    </row>
    <row r="62" spans="1:20" x14ac:dyDescent="0.25">
      <c r="A62" s="7">
        <v>59</v>
      </c>
      <c r="D62" s="9" t="s">
        <v>207</v>
      </c>
      <c r="E62" s="10"/>
      <c r="F62" s="10"/>
      <c r="G62" s="11"/>
      <c r="H62" s="12">
        <v>50</v>
      </c>
      <c r="I62" s="7" t="s">
        <v>2</v>
      </c>
      <c r="J62" s="3">
        <v>100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4">
        <f t="shared" si="0"/>
        <v>150</v>
      </c>
      <c r="Q62" s="1" t="s">
        <v>14</v>
      </c>
      <c r="R62" s="44">
        <v>50</v>
      </c>
      <c r="S62" s="47">
        <v>200</v>
      </c>
      <c r="T62" s="4"/>
    </row>
    <row r="63" spans="1:20" x14ac:dyDescent="0.25">
      <c r="A63" s="7">
        <v>60</v>
      </c>
      <c r="D63" s="16" t="s">
        <v>130</v>
      </c>
      <c r="E63" s="17"/>
      <c r="F63" s="17"/>
      <c r="G63" s="18"/>
      <c r="H63" s="12">
        <v>20</v>
      </c>
      <c r="I63" s="7" t="s">
        <v>2</v>
      </c>
      <c r="J63" s="3">
        <v>0</v>
      </c>
      <c r="K63" s="3">
        <v>3</v>
      </c>
      <c r="L63" s="3">
        <v>3</v>
      </c>
      <c r="M63" s="3">
        <v>0</v>
      </c>
      <c r="N63" s="3">
        <v>0</v>
      </c>
      <c r="O63" s="3">
        <v>0</v>
      </c>
      <c r="P63" s="4">
        <f t="shared" si="0"/>
        <v>14</v>
      </c>
      <c r="Q63" s="1" t="s">
        <v>14</v>
      </c>
      <c r="R63" s="44">
        <v>20</v>
      </c>
      <c r="S63" s="46">
        <v>200</v>
      </c>
      <c r="T63" s="4"/>
    </row>
    <row r="64" spans="1:20" x14ac:dyDescent="0.25">
      <c r="A64" s="7">
        <v>61</v>
      </c>
      <c r="D64" s="26" t="s">
        <v>203</v>
      </c>
      <c r="E64" s="27"/>
      <c r="F64" s="27"/>
      <c r="G64" s="28"/>
      <c r="H64" s="12">
        <v>172</v>
      </c>
      <c r="I64" s="30" t="s">
        <v>2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4">
        <f t="shared" si="0"/>
        <v>172</v>
      </c>
      <c r="Q64" s="1" t="s">
        <v>14</v>
      </c>
      <c r="R64" s="44">
        <v>0</v>
      </c>
      <c r="S64" s="47">
        <v>0</v>
      </c>
      <c r="T64" s="4"/>
    </row>
    <row r="65" spans="1:20" x14ac:dyDescent="0.25">
      <c r="A65" s="7">
        <v>62</v>
      </c>
      <c r="D65" s="16" t="s">
        <v>65</v>
      </c>
      <c r="E65" s="17"/>
      <c r="F65" s="17"/>
      <c r="G65" s="18"/>
      <c r="H65" s="12">
        <v>10</v>
      </c>
      <c r="I65" s="7" t="s">
        <v>2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4">
        <f t="shared" si="0"/>
        <v>10</v>
      </c>
      <c r="Q65" s="1" t="s">
        <v>14</v>
      </c>
      <c r="R65" s="44">
        <v>10</v>
      </c>
      <c r="S65" s="46">
        <v>50</v>
      </c>
      <c r="T65" s="4"/>
    </row>
    <row r="66" spans="1:20" x14ac:dyDescent="0.25">
      <c r="A66" s="7">
        <v>63</v>
      </c>
      <c r="D66" s="9" t="s">
        <v>208</v>
      </c>
      <c r="E66" s="10"/>
      <c r="F66" s="10"/>
      <c r="G66" s="11"/>
      <c r="H66" s="12">
        <v>21</v>
      </c>
      <c r="I66" s="7" t="s">
        <v>2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  <c r="P66" s="4">
        <f t="shared" si="0"/>
        <v>21</v>
      </c>
      <c r="Q66" s="1" t="s">
        <v>14</v>
      </c>
      <c r="R66" s="44">
        <v>10</v>
      </c>
      <c r="S66" s="47">
        <v>50</v>
      </c>
      <c r="T66" s="4"/>
    </row>
    <row r="67" spans="1:20" x14ac:dyDescent="0.25">
      <c r="A67" s="7">
        <v>64</v>
      </c>
      <c r="D67" s="19" t="s">
        <v>165</v>
      </c>
      <c r="E67" s="20"/>
      <c r="F67" s="20"/>
      <c r="G67" s="21"/>
      <c r="H67" s="12">
        <v>5</v>
      </c>
      <c r="I67" s="7" t="s">
        <v>2</v>
      </c>
      <c r="J67" s="3">
        <v>0</v>
      </c>
      <c r="K67" s="3">
        <v>0</v>
      </c>
      <c r="L67" s="3">
        <v>3</v>
      </c>
      <c r="M67" s="3">
        <v>0</v>
      </c>
      <c r="N67" s="3">
        <v>0</v>
      </c>
      <c r="O67" s="3">
        <v>0</v>
      </c>
      <c r="P67" s="4">
        <f t="shared" si="0"/>
        <v>2</v>
      </c>
      <c r="Q67" s="1" t="s">
        <v>14</v>
      </c>
      <c r="R67" s="44">
        <v>50</v>
      </c>
      <c r="S67" s="47">
        <v>150</v>
      </c>
      <c r="T67" s="4"/>
    </row>
    <row r="68" spans="1:20" x14ac:dyDescent="0.25">
      <c r="A68" s="7">
        <v>65</v>
      </c>
      <c r="D68" s="22" t="s">
        <v>211</v>
      </c>
      <c r="E68" s="10"/>
      <c r="F68" s="10"/>
      <c r="G68" s="11"/>
      <c r="H68" s="12">
        <v>50</v>
      </c>
      <c r="I68" s="8" t="s">
        <v>110</v>
      </c>
      <c r="J68" s="3">
        <v>1000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4">
        <f t="shared" ref="P68:P89" si="1">+H68+J68-K68-L68-M68-N68-O68</f>
        <v>1050</v>
      </c>
      <c r="Q68" s="1">
        <v>25</v>
      </c>
      <c r="R68" s="44">
        <v>100</v>
      </c>
      <c r="S68" s="47">
        <v>1000</v>
      </c>
      <c r="T68" s="4"/>
    </row>
    <row r="69" spans="1:20" x14ac:dyDescent="0.25">
      <c r="A69" s="7">
        <v>66</v>
      </c>
      <c r="C69" s="1" t="s">
        <v>14</v>
      </c>
      <c r="D69" s="22" t="s">
        <v>76</v>
      </c>
      <c r="E69" s="10"/>
      <c r="F69" s="10"/>
      <c r="G69" s="11"/>
      <c r="H69" s="12">
        <v>0</v>
      </c>
      <c r="I69" s="8" t="s">
        <v>171</v>
      </c>
      <c r="J69" s="3">
        <v>250</v>
      </c>
      <c r="K69" s="3">
        <v>7</v>
      </c>
      <c r="L69" s="3">
        <v>0</v>
      </c>
      <c r="M69" s="3">
        <v>0</v>
      </c>
      <c r="N69" s="3">
        <v>17</v>
      </c>
      <c r="O69" s="3">
        <v>0</v>
      </c>
      <c r="P69" s="4">
        <f>+H69+J69-K69-L69-M69-N69-O69</f>
        <v>226</v>
      </c>
      <c r="Q69" s="1" t="s">
        <v>14</v>
      </c>
      <c r="R69" s="44">
        <v>50</v>
      </c>
      <c r="S69" s="47">
        <v>100</v>
      </c>
      <c r="T69" s="4"/>
    </row>
    <row r="70" spans="1:20" x14ac:dyDescent="0.25">
      <c r="A70" s="7">
        <v>67</v>
      </c>
      <c r="D70" s="25" t="s">
        <v>147</v>
      </c>
      <c r="H70" s="12">
        <v>33</v>
      </c>
      <c r="I70" s="30" t="s">
        <v>2</v>
      </c>
      <c r="J70" s="3">
        <v>200</v>
      </c>
      <c r="K70" s="3">
        <v>11</v>
      </c>
      <c r="L70" s="3">
        <v>2</v>
      </c>
      <c r="M70" s="3">
        <v>8</v>
      </c>
      <c r="N70" s="3">
        <v>28</v>
      </c>
      <c r="O70" s="3">
        <v>0</v>
      </c>
      <c r="P70" s="4">
        <f t="shared" si="1"/>
        <v>184</v>
      </c>
      <c r="Q70" s="1" t="s">
        <v>14</v>
      </c>
      <c r="R70" s="44">
        <v>50</v>
      </c>
      <c r="S70" s="47">
        <v>100</v>
      </c>
      <c r="T70" s="4"/>
    </row>
    <row r="71" spans="1:20" x14ac:dyDescent="0.25">
      <c r="A71" s="7">
        <v>68</v>
      </c>
      <c r="D71" s="26" t="s">
        <v>80</v>
      </c>
      <c r="E71" s="27"/>
      <c r="F71" s="27"/>
      <c r="G71" s="28"/>
      <c r="H71" s="12">
        <v>18</v>
      </c>
      <c r="I71" s="8" t="s">
        <v>171</v>
      </c>
      <c r="J71" s="3">
        <v>70</v>
      </c>
      <c r="K71" s="3">
        <v>7</v>
      </c>
      <c r="L71" s="3">
        <v>11</v>
      </c>
      <c r="M71" s="3">
        <v>0</v>
      </c>
      <c r="N71" s="3">
        <v>0</v>
      </c>
      <c r="O71" s="3">
        <v>0</v>
      </c>
      <c r="P71" s="4">
        <f t="shared" si="1"/>
        <v>70</v>
      </c>
      <c r="Q71" s="1" t="s">
        <v>14</v>
      </c>
      <c r="R71" s="44">
        <v>20</v>
      </c>
      <c r="S71" s="46">
        <v>200</v>
      </c>
      <c r="T71" s="4"/>
    </row>
    <row r="72" spans="1:20" x14ac:dyDescent="0.25">
      <c r="A72" s="7">
        <v>69</v>
      </c>
      <c r="D72" s="26" t="s">
        <v>194</v>
      </c>
      <c r="E72" s="27"/>
      <c r="F72" s="27"/>
      <c r="G72" s="28"/>
      <c r="H72" s="12">
        <v>239</v>
      </c>
      <c r="I72" s="8" t="s">
        <v>2</v>
      </c>
      <c r="J72" s="3">
        <v>0</v>
      </c>
      <c r="K72" s="3">
        <v>0</v>
      </c>
      <c r="L72" s="3">
        <v>0</v>
      </c>
      <c r="M72" s="3">
        <v>0</v>
      </c>
      <c r="N72" s="3">
        <v>4</v>
      </c>
      <c r="O72" s="3">
        <v>0</v>
      </c>
      <c r="P72" s="4">
        <f t="shared" si="1"/>
        <v>235</v>
      </c>
      <c r="Q72" s="1" t="s">
        <v>14</v>
      </c>
      <c r="R72" s="44" t="s">
        <v>14</v>
      </c>
      <c r="S72" s="47" t="s">
        <v>14</v>
      </c>
      <c r="T72" s="4"/>
    </row>
    <row r="73" spans="1:20" x14ac:dyDescent="0.25">
      <c r="A73" s="7">
        <v>70</v>
      </c>
      <c r="D73" s="26" t="s">
        <v>167</v>
      </c>
      <c r="E73" s="27"/>
      <c r="F73" s="27"/>
      <c r="G73" s="28"/>
      <c r="H73" s="12">
        <v>32</v>
      </c>
      <c r="I73" s="8" t="s">
        <v>2</v>
      </c>
      <c r="J73" s="3">
        <v>40</v>
      </c>
      <c r="K73" s="3">
        <v>7</v>
      </c>
      <c r="L73" s="3">
        <v>11</v>
      </c>
      <c r="M73" s="3">
        <v>0</v>
      </c>
      <c r="N73" s="3">
        <v>4</v>
      </c>
      <c r="O73" s="3">
        <v>0</v>
      </c>
      <c r="P73" s="4">
        <f t="shared" si="1"/>
        <v>50</v>
      </c>
      <c r="R73" s="44">
        <v>20</v>
      </c>
      <c r="S73" s="46">
        <v>200</v>
      </c>
      <c r="T73" s="4"/>
    </row>
    <row r="74" spans="1:20" x14ac:dyDescent="0.25">
      <c r="A74" s="7">
        <v>71</v>
      </c>
      <c r="D74" s="37" t="s">
        <v>176</v>
      </c>
      <c r="E74" s="17"/>
      <c r="F74" s="33"/>
      <c r="G74" s="33"/>
      <c r="H74" s="12">
        <v>1230</v>
      </c>
      <c r="I74" s="8" t="s">
        <v>2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4">
        <f t="shared" si="1"/>
        <v>1230</v>
      </c>
      <c r="Q74" s="1" t="s">
        <v>14</v>
      </c>
      <c r="R74" s="44">
        <v>100</v>
      </c>
      <c r="S74" s="47">
        <v>500</v>
      </c>
      <c r="T74" s="4"/>
    </row>
    <row r="75" spans="1:20" x14ac:dyDescent="0.25">
      <c r="A75" s="7">
        <v>72</v>
      </c>
      <c r="D75" s="22" t="s">
        <v>209</v>
      </c>
      <c r="E75" s="10"/>
      <c r="F75" s="10"/>
      <c r="G75" s="28"/>
      <c r="H75" s="12">
        <v>0</v>
      </c>
      <c r="I75" s="8" t="s">
        <v>2</v>
      </c>
      <c r="J75" s="3">
        <v>32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4">
        <f t="shared" si="1"/>
        <v>32</v>
      </c>
      <c r="R75" s="44">
        <v>10</v>
      </c>
      <c r="S75" s="46">
        <v>50</v>
      </c>
      <c r="T75" s="4"/>
    </row>
    <row r="76" spans="1:20" x14ac:dyDescent="0.25">
      <c r="A76" s="7">
        <v>73</v>
      </c>
      <c r="D76" s="37" t="s">
        <v>113</v>
      </c>
      <c r="E76" s="17"/>
      <c r="F76" s="17"/>
      <c r="G76" s="33"/>
      <c r="H76" s="12">
        <v>687</v>
      </c>
      <c r="I76" s="8" t="s">
        <v>97</v>
      </c>
      <c r="J76" s="3">
        <v>0</v>
      </c>
      <c r="K76" s="3">
        <v>60</v>
      </c>
      <c r="L76" s="3">
        <v>115</v>
      </c>
      <c r="M76" s="3">
        <v>140</v>
      </c>
      <c r="N76" s="3">
        <v>83</v>
      </c>
      <c r="O76" s="3">
        <v>41</v>
      </c>
      <c r="P76" s="4">
        <f t="shared" si="1"/>
        <v>248</v>
      </c>
      <c r="Q76" s="65" t="s">
        <v>121</v>
      </c>
      <c r="R76" s="44">
        <v>300</v>
      </c>
      <c r="S76" s="47">
        <v>1000</v>
      </c>
      <c r="T76" s="4"/>
    </row>
    <row r="77" spans="1:20" x14ac:dyDescent="0.25">
      <c r="A77" s="7">
        <v>74</v>
      </c>
      <c r="D77" s="22" t="s">
        <v>103</v>
      </c>
      <c r="E77" s="10"/>
      <c r="F77" s="10"/>
      <c r="G77" s="28"/>
      <c r="H77" s="12">
        <v>245</v>
      </c>
      <c r="I77" s="8" t="s">
        <v>132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4">
        <f t="shared" si="1"/>
        <v>245</v>
      </c>
      <c r="R77" s="44">
        <v>60</v>
      </c>
      <c r="S77" s="47">
        <v>100</v>
      </c>
      <c r="T77" s="4"/>
    </row>
    <row r="78" spans="1:20" x14ac:dyDescent="0.25">
      <c r="A78" s="8">
        <v>75</v>
      </c>
      <c r="D78" s="49" t="s">
        <v>108</v>
      </c>
      <c r="E78" s="20"/>
      <c r="F78" s="20"/>
      <c r="G78" s="20"/>
      <c r="H78" s="12">
        <v>19000</v>
      </c>
      <c r="I78" s="8" t="s">
        <v>110</v>
      </c>
      <c r="J78" s="3">
        <v>0</v>
      </c>
      <c r="K78" s="3">
        <v>1500</v>
      </c>
      <c r="L78" s="3">
        <v>2000</v>
      </c>
      <c r="M78" s="3">
        <v>1500</v>
      </c>
      <c r="N78" s="3">
        <v>1500</v>
      </c>
      <c r="O78" s="3">
        <v>0</v>
      </c>
      <c r="P78" s="99">
        <f t="shared" si="1"/>
        <v>12500</v>
      </c>
      <c r="R78" s="95">
        <v>10000</v>
      </c>
      <c r="S78" s="96">
        <v>30000</v>
      </c>
      <c r="T78" s="4"/>
    </row>
    <row r="79" spans="1:20" x14ac:dyDescent="0.25">
      <c r="A79" s="48">
        <v>76</v>
      </c>
      <c r="B79" s="41"/>
      <c r="C79" s="41"/>
      <c r="D79" s="22" t="s">
        <v>115</v>
      </c>
      <c r="E79" s="10"/>
      <c r="F79" s="10"/>
      <c r="G79" s="11"/>
      <c r="H79" s="12">
        <v>49</v>
      </c>
      <c r="I79" s="62" t="s">
        <v>2</v>
      </c>
      <c r="J79" s="3">
        <v>200</v>
      </c>
      <c r="K79" s="3">
        <v>10</v>
      </c>
      <c r="L79" s="3">
        <v>2</v>
      </c>
      <c r="M79" s="3">
        <v>0</v>
      </c>
      <c r="N79" s="3">
        <v>28</v>
      </c>
      <c r="O79" s="3">
        <v>0</v>
      </c>
      <c r="P79" s="64">
        <f t="shared" si="1"/>
        <v>209</v>
      </c>
      <c r="R79" s="64">
        <v>50</v>
      </c>
      <c r="S79" s="64">
        <v>100</v>
      </c>
      <c r="T79" s="4" t="s">
        <v>14</v>
      </c>
    </row>
    <row r="80" spans="1:20" x14ac:dyDescent="0.25">
      <c r="A80" s="73">
        <v>77</v>
      </c>
      <c r="B80" s="41"/>
      <c r="C80" s="41"/>
      <c r="D80" s="49" t="s">
        <v>134</v>
      </c>
      <c r="E80" s="35"/>
      <c r="F80" s="35"/>
      <c r="G80" s="60"/>
      <c r="H80" s="12">
        <v>99</v>
      </c>
      <c r="I80" s="8" t="s">
        <v>2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  <c r="P80" s="4">
        <f t="shared" si="1"/>
        <v>99</v>
      </c>
      <c r="Q80" s="4"/>
      <c r="R80" s="4">
        <v>20</v>
      </c>
      <c r="S80" s="4">
        <v>50</v>
      </c>
      <c r="T80" s="4"/>
    </row>
    <row r="81" spans="1:20" x14ac:dyDescent="0.25">
      <c r="A81" s="8">
        <v>78</v>
      </c>
      <c r="D81" s="22" t="s">
        <v>123</v>
      </c>
      <c r="E81" s="10"/>
      <c r="F81" s="10"/>
      <c r="G81" s="11"/>
      <c r="H81" s="12">
        <v>400</v>
      </c>
      <c r="I81" s="8" t="s">
        <v>2</v>
      </c>
      <c r="J81" s="3">
        <v>5000</v>
      </c>
      <c r="K81" s="3">
        <v>2000</v>
      </c>
      <c r="L81" s="3">
        <v>0</v>
      </c>
      <c r="M81" s="3">
        <v>0</v>
      </c>
      <c r="N81" s="3">
        <v>0</v>
      </c>
      <c r="O81" s="3">
        <v>0</v>
      </c>
      <c r="P81" s="4">
        <f t="shared" si="1"/>
        <v>3400</v>
      </c>
      <c r="Q81" s="4"/>
      <c r="R81" s="4">
        <v>500</v>
      </c>
      <c r="S81" s="4">
        <v>2500</v>
      </c>
      <c r="T81" s="4"/>
    </row>
    <row r="82" spans="1:20" x14ac:dyDescent="0.25">
      <c r="A82" s="48">
        <v>79</v>
      </c>
      <c r="B82" s="41"/>
      <c r="C82" s="41"/>
      <c r="D82" s="22" t="s">
        <v>177</v>
      </c>
      <c r="E82" s="10"/>
      <c r="F82" s="10"/>
      <c r="G82" s="11"/>
      <c r="H82" s="4">
        <v>2100</v>
      </c>
      <c r="I82" s="8" t="s">
        <v>110</v>
      </c>
      <c r="J82" s="3">
        <v>0</v>
      </c>
      <c r="K82" s="3">
        <v>0</v>
      </c>
      <c r="L82" s="3">
        <v>0</v>
      </c>
      <c r="M82" s="3">
        <v>0</v>
      </c>
      <c r="N82" s="3">
        <v>100</v>
      </c>
      <c r="O82" s="3">
        <v>0</v>
      </c>
      <c r="P82" s="4">
        <f t="shared" si="1"/>
        <v>2000</v>
      </c>
      <c r="Q82" s="4" t="s">
        <v>110</v>
      </c>
      <c r="R82" s="4">
        <v>250</v>
      </c>
      <c r="S82" s="4">
        <v>2000</v>
      </c>
      <c r="T82" s="4"/>
    </row>
    <row r="83" spans="1:20" x14ac:dyDescent="0.25">
      <c r="A83" s="48">
        <v>80</v>
      </c>
      <c r="B83" s="41"/>
      <c r="C83" s="41"/>
      <c r="D83" s="37" t="s">
        <v>178</v>
      </c>
      <c r="E83" s="17"/>
      <c r="F83" s="17"/>
      <c r="G83" s="18"/>
      <c r="H83" s="64">
        <v>11000</v>
      </c>
      <c r="I83" s="62" t="s">
        <v>110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64">
        <f t="shared" si="1"/>
        <v>11000</v>
      </c>
      <c r="Q83" s="64" t="s">
        <v>110</v>
      </c>
      <c r="R83" s="64">
        <v>3000</v>
      </c>
      <c r="S83" s="64">
        <v>10000</v>
      </c>
      <c r="T83" s="4"/>
    </row>
    <row r="84" spans="1:20" x14ac:dyDescent="0.25">
      <c r="A84" s="48">
        <v>81</v>
      </c>
      <c r="B84" s="11"/>
      <c r="C84" s="23"/>
      <c r="D84" s="68" t="s">
        <v>192</v>
      </c>
      <c r="E84" s="27"/>
      <c r="F84" s="27"/>
      <c r="G84" s="28"/>
      <c r="H84" s="74">
        <v>900</v>
      </c>
      <c r="I84" s="75" t="s">
        <v>110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4">
        <f t="shared" si="1"/>
        <v>900</v>
      </c>
      <c r="Q84" s="4"/>
      <c r="R84" s="4">
        <v>10</v>
      </c>
      <c r="S84" s="4">
        <v>50</v>
      </c>
      <c r="T84" s="4"/>
    </row>
    <row r="85" spans="1:20" x14ac:dyDescent="0.25">
      <c r="A85" s="8">
        <v>82</v>
      </c>
      <c r="D85" s="68" t="s">
        <v>210</v>
      </c>
      <c r="E85" s="27"/>
      <c r="F85" s="27"/>
      <c r="G85" s="28"/>
      <c r="H85" s="4">
        <v>100</v>
      </c>
      <c r="I85" s="8" t="s">
        <v>171</v>
      </c>
      <c r="J85" s="3">
        <v>0</v>
      </c>
      <c r="K85" s="3">
        <v>0</v>
      </c>
      <c r="L85" s="3">
        <v>0</v>
      </c>
      <c r="M85" s="3">
        <v>98</v>
      </c>
      <c r="N85" s="3">
        <v>0</v>
      </c>
      <c r="O85" s="3">
        <v>0</v>
      </c>
      <c r="P85" s="4">
        <f t="shared" si="1"/>
        <v>2</v>
      </c>
      <c r="Q85" s="4"/>
      <c r="R85" s="4">
        <v>50</v>
      </c>
      <c r="S85" s="4">
        <v>200</v>
      </c>
      <c r="T85" s="4"/>
    </row>
    <row r="86" spans="1:20" ht="15.75" customHeight="1" x14ac:dyDescent="0.25">
      <c r="A86" s="8">
        <v>83</v>
      </c>
      <c r="D86" s="79" t="s">
        <v>150</v>
      </c>
      <c r="E86" s="80"/>
      <c r="F86" s="81"/>
      <c r="G86" s="82"/>
      <c r="H86" s="4">
        <v>136</v>
      </c>
      <c r="I86" s="8" t="s">
        <v>2</v>
      </c>
      <c r="J86" s="3">
        <v>0</v>
      </c>
      <c r="K86" s="3">
        <v>10</v>
      </c>
      <c r="L86" s="3">
        <v>23</v>
      </c>
      <c r="M86" s="3">
        <v>21</v>
      </c>
      <c r="N86" s="3">
        <v>16</v>
      </c>
      <c r="O86" s="3">
        <v>0</v>
      </c>
      <c r="P86" s="4">
        <f t="shared" si="1"/>
        <v>66</v>
      </c>
      <c r="Q86" s="4"/>
      <c r="R86" s="4">
        <v>75</v>
      </c>
      <c r="S86" s="4">
        <v>500</v>
      </c>
      <c r="T86" s="4"/>
    </row>
    <row r="87" spans="1:20" x14ac:dyDescent="0.25">
      <c r="A87" s="8">
        <v>84</v>
      </c>
      <c r="D87" s="22" t="s">
        <v>183</v>
      </c>
      <c r="E87" s="10"/>
      <c r="F87" s="10"/>
      <c r="G87" s="11"/>
      <c r="H87" s="23">
        <v>557</v>
      </c>
      <c r="I87" s="8" t="s">
        <v>2</v>
      </c>
      <c r="J87" s="3">
        <v>0</v>
      </c>
      <c r="K87" s="3">
        <v>1</v>
      </c>
      <c r="L87" s="3">
        <v>1</v>
      </c>
      <c r="M87" s="3">
        <v>0</v>
      </c>
      <c r="N87" s="3">
        <v>1</v>
      </c>
      <c r="O87" s="3">
        <v>0</v>
      </c>
      <c r="P87" s="4">
        <f t="shared" si="1"/>
        <v>554</v>
      </c>
      <c r="Q87" s="4"/>
      <c r="R87" s="4">
        <v>20</v>
      </c>
      <c r="S87" s="4">
        <v>300</v>
      </c>
      <c r="T87" s="4"/>
    </row>
    <row r="88" spans="1:20" x14ac:dyDescent="0.25">
      <c r="A88" s="8">
        <v>85</v>
      </c>
      <c r="D88" s="49" t="s">
        <v>199</v>
      </c>
      <c r="E88" s="20"/>
      <c r="F88" s="20"/>
      <c r="G88" s="21"/>
      <c r="H88" s="23">
        <v>119</v>
      </c>
      <c r="I88" s="8" t="s">
        <v>2</v>
      </c>
      <c r="J88" s="3">
        <v>0</v>
      </c>
      <c r="K88" s="3">
        <v>0</v>
      </c>
      <c r="L88" s="3">
        <v>0</v>
      </c>
      <c r="M88" s="3">
        <v>0</v>
      </c>
      <c r="N88" s="3">
        <v>1</v>
      </c>
      <c r="O88" s="3">
        <v>0</v>
      </c>
      <c r="P88" s="4">
        <f t="shared" si="1"/>
        <v>118</v>
      </c>
      <c r="Q88" s="4"/>
      <c r="R88" s="4">
        <v>10</v>
      </c>
      <c r="S88" s="4">
        <v>200</v>
      </c>
      <c r="T88" s="4"/>
    </row>
    <row r="89" spans="1:20" x14ac:dyDescent="0.25">
      <c r="A89" s="77">
        <v>86</v>
      </c>
      <c r="D89" s="68" t="s">
        <v>206</v>
      </c>
      <c r="E89" s="27"/>
      <c r="F89" s="27"/>
      <c r="G89" s="28"/>
      <c r="H89" s="74">
        <v>8</v>
      </c>
      <c r="I89" s="75" t="s">
        <v>171</v>
      </c>
      <c r="J89" s="3">
        <v>0</v>
      </c>
      <c r="K89" s="3">
        <v>0</v>
      </c>
      <c r="L89" s="3">
        <v>0</v>
      </c>
      <c r="M89" s="3">
        <v>0</v>
      </c>
      <c r="N89" s="3">
        <v>2</v>
      </c>
      <c r="O89" s="3">
        <v>0</v>
      </c>
      <c r="P89" s="4">
        <f t="shared" si="1"/>
        <v>6</v>
      </c>
      <c r="Q89" s="4"/>
      <c r="R89" s="4" t="s">
        <v>14</v>
      </c>
      <c r="S89" s="4" t="s">
        <v>14</v>
      </c>
      <c r="T89" s="4"/>
    </row>
  </sheetData>
  <pageMargins left="0.75" right="0.75" top="1" bottom="1" header="0.5" footer="0.5"/>
  <pageSetup paperSize="9" orientation="portrait" r:id="rId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CC158D-7873-4C2C-86DA-7D77369C383C}">
  <dimension ref="A1:T89"/>
  <sheetViews>
    <sheetView topLeftCell="A67" workbookViewId="0">
      <selection activeCell="F61" sqref="F61"/>
    </sheetView>
  </sheetViews>
  <sheetFormatPr defaultRowHeight="15" x14ac:dyDescent="0.25"/>
  <cols>
    <col min="1" max="1" width="5.5703125" customWidth="1"/>
    <col min="2" max="3" width="9.140625" hidden="1" customWidth="1"/>
    <col min="6" max="6" width="12.7109375" customWidth="1"/>
    <col min="8" max="8" width="10.140625" customWidth="1"/>
    <col min="9" max="9" width="10" customWidth="1"/>
    <col min="10" max="10" width="7.7109375" customWidth="1"/>
    <col min="11" max="11" width="10.7109375" customWidth="1"/>
    <col min="12" max="12" width="10.140625" customWidth="1"/>
    <col min="13" max="13" width="11.85546875" customWidth="1"/>
    <col min="14" max="15" width="11.7109375" customWidth="1"/>
    <col min="16" max="16" width="10.140625" customWidth="1"/>
    <col min="17" max="17" width="4.7109375" customWidth="1"/>
    <col min="18" max="18" width="10.140625" customWidth="1"/>
    <col min="19" max="19" width="11.5703125" customWidth="1"/>
    <col min="20" max="20" width="0.28515625" customWidth="1"/>
  </cols>
  <sheetData>
    <row r="1" spans="1:20" x14ac:dyDescent="0.25">
      <c r="G1" s="1"/>
      <c r="P1">
        <f>+H1+J1-K1-L1-M1-N1-O1</f>
        <v>0</v>
      </c>
    </row>
    <row r="2" spans="1:20" x14ac:dyDescent="0.25">
      <c r="A2" t="s">
        <v>14</v>
      </c>
      <c r="D2" s="78" t="s">
        <v>212</v>
      </c>
      <c r="O2" s="38" t="s">
        <v>14</v>
      </c>
      <c r="S2" s="50">
        <v>45656</v>
      </c>
    </row>
    <row r="3" spans="1:20" x14ac:dyDescent="0.25">
      <c r="A3" s="3" t="s">
        <v>15</v>
      </c>
      <c r="D3" s="9" t="s">
        <v>17</v>
      </c>
      <c r="E3" s="10"/>
      <c r="F3" s="10"/>
      <c r="G3" s="11"/>
      <c r="H3" s="12" t="s">
        <v>18</v>
      </c>
      <c r="I3" s="4" t="s">
        <v>19</v>
      </c>
      <c r="J3" s="3" t="s">
        <v>20</v>
      </c>
      <c r="K3" s="5">
        <v>46031</v>
      </c>
      <c r="L3" s="6">
        <v>46038</v>
      </c>
      <c r="M3" s="5">
        <v>46045</v>
      </c>
      <c r="N3" s="5">
        <v>46052</v>
      </c>
      <c r="O3" s="6">
        <v>0</v>
      </c>
      <c r="P3" s="3" t="s">
        <v>21</v>
      </c>
      <c r="R3" s="42" t="s">
        <v>105</v>
      </c>
      <c r="S3" s="45" t="s">
        <v>104</v>
      </c>
      <c r="T3" s="4"/>
    </row>
    <row r="4" spans="1:20" x14ac:dyDescent="0.25">
      <c r="A4" s="7">
        <v>1</v>
      </c>
      <c r="D4" s="13" t="s">
        <v>16</v>
      </c>
      <c r="E4" s="14"/>
      <c r="F4" s="14"/>
      <c r="G4" s="15"/>
      <c r="H4" s="12">
        <v>146</v>
      </c>
      <c r="I4" s="7" t="s">
        <v>1</v>
      </c>
      <c r="J4" s="3">
        <v>512</v>
      </c>
      <c r="K4" s="3">
        <v>23</v>
      </c>
      <c r="L4" s="3">
        <v>23</v>
      </c>
      <c r="M4" s="3">
        <v>23</v>
      </c>
      <c r="N4" s="3">
        <v>23</v>
      </c>
      <c r="O4" s="3">
        <v>0</v>
      </c>
      <c r="P4" s="4">
        <f t="shared" ref="P4:P67" si="0">+H4+J4-K4-L4-M4-N4-O4</f>
        <v>566</v>
      </c>
      <c r="Q4" t="s">
        <v>173</v>
      </c>
      <c r="R4" s="43">
        <v>150</v>
      </c>
      <c r="S4" s="46">
        <v>500</v>
      </c>
      <c r="T4" s="4" t="s">
        <v>14</v>
      </c>
    </row>
    <row r="5" spans="1:20" x14ac:dyDescent="0.25">
      <c r="A5" s="7">
        <v>2</v>
      </c>
      <c r="D5" s="9" t="s">
        <v>205</v>
      </c>
      <c r="E5" s="10"/>
      <c r="F5" s="10"/>
      <c r="G5" s="11"/>
      <c r="H5" s="12">
        <v>72</v>
      </c>
      <c r="I5" s="7" t="s">
        <v>2</v>
      </c>
      <c r="J5" s="3">
        <v>0</v>
      </c>
      <c r="K5" s="3">
        <v>0</v>
      </c>
      <c r="L5" s="3">
        <v>4</v>
      </c>
      <c r="M5" s="3">
        <v>0</v>
      </c>
      <c r="N5" s="3">
        <v>14</v>
      </c>
      <c r="O5" s="3">
        <v>0</v>
      </c>
      <c r="P5" s="4">
        <f t="shared" si="0"/>
        <v>54</v>
      </c>
      <c r="Q5" s="1" t="s">
        <v>14</v>
      </c>
      <c r="R5" s="44">
        <v>0</v>
      </c>
      <c r="S5" s="47">
        <v>0</v>
      </c>
      <c r="T5" s="4"/>
    </row>
    <row r="6" spans="1:20" x14ac:dyDescent="0.25">
      <c r="A6" s="7">
        <v>3</v>
      </c>
      <c r="D6" s="16" t="s">
        <v>23</v>
      </c>
      <c r="E6" s="17"/>
      <c r="F6" s="17"/>
      <c r="G6" s="18"/>
      <c r="H6" s="12">
        <v>10</v>
      </c>
      <c r="I6" s="7" t="s">
        <v>2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4">
        <f t="shared" si="0"/>
        <v>10</v>
      </c>
      <c r="Q6" s="1" t="s">
        <v>14</v>
      </c>
      <c r="R6" s="44">
        <v>6</v>
      </c>
      <c r="S6" s="47">
        <v>10</v>
      </c>
      <c r="T6" s="4"/>
    </row>
    <row r="7" spans="1:20" x14ac:dyDescent="0.25">
      <c r="A7" s="7">
        <v>4</v>
      </c>
      <c r="D7" s="9" t="s">
        <v>3</v>
      </c>
      <c r="E7" s="10"/>
      <c r="F7" s="10"/>
      <c r="G7" s="11"/>
      <c r="H7" s="12">
        <v>20</v>
      </c>
      <c r="I7" s="7" t="s">
        <v>2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4">
        <f t="shared" si="0"/>
        <v>20</v>
      </c>
      <c r="Q7" s="1" t="s">
        <v>14</v>
      </c>
      <c r="R7" s="44">
        <v>6</v>
      </c>
      <c r="S7" s="47">
        <v>10</v>
      </c>
      <c r="T7" s="4"/>
    </row>
    <row r="8" spans="1:20" x14ac:dyDescent="0.25">
      <c r="A8" s="7">
        <v>5</v>
      </c>
      <c r="D8" s="16" t="s">
        <v>139</v>
      </c>
      <c r="E8" s="17"/>
      <c r="F8" s="17"/>
      <c r="G8" s="18"/>
      <c r="H8" s="12">
        <v>98</v>
      </c>
      <c r="I8" s="7" t="s">
        <v>2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4">
        <f t="shared" si="0"/>
        <v>98</v>
      </c>
      <c r="Q8" s="1" t="s">
        <v>14</v>
      </c>
      <c r="R8" s="44">
        <v>50</v>
      </c>
      <c r="S8" s="47">
        <v>400</v>
      </c>
      <c r="T8" s="4"/>
    </row>
    <row r="9" spans="1:20" x14ac:dyDescent="0.25">
      <c r="A9" s="7">
        <v>6</v>
      </c>
      <c r="D9" s="9" t="s">
        <v>24</v>
      </c>
      <c r="E9" s="10"/>
      <c r="F9" s="10"/>
      <c r="G9" s="11"/>
      <c r="H9" s="12">
        <v>130</v>
      </c>
      <c r="I9" s="7" t="s">
        <v>171</v>
      </c>
      <c r="J9" s="3">
        <v>0</v>
      </c>
      <c r="K9" s="3">
        <v>20</v>
      </c>
      <c r="L9" s="3">
        <v>0</v>
      </c>
      <c r="M9" s="3">
        <v>0</v>
      </c>
      <c r="N9" s="3">
        <v>10</v>
      </c>
      <c r="O9" s="3">
        <v>0</v>
      </c>
      <c r="P9" s="4">
        <f t="shared" si="0"/>
        <v>100</v>
      </c>
      <c r="Q9" s="1" t="s">
        <v>132</v>
      </c>
      <c r="R9" s="44">
        <v>100</v>
      </c>
      <c r="S9" s="47">
        <v>400</v>
      </c>
      <c r="T9" s="4"/>
    </row>
    <row r="10" spans="1:20" x14ac:dyDescent="0.25">
      <c r="A10" s="7">
        <v>7</v>
      </c>
      <c r="D10" s="16" t="s">
        <v>101</v>
      </c>
      <c r="E10" s="17"/>
      <c r="F10" s="17"/>
      <c r="G10" s="18"/>
      <c r="H10" s="12">
        <v>860</v>
      </c>
      <c r="I10" s="7" t="s">
        <v>171</v>
      </c>
      <c r="J10" s="3">
        <v>0</v>
      </c>
      <c r="K10" s="3">
        <v>0</v>
      </c>
      <c r="L10" s="3">
        <v>100</v>
      </c>
      <c r="M10" s="3">
        <v>6</v>
      </c>
      <c r="N10" s="3">
        <v>37</v>
      </c>
      <c r="O10" s="3">
        <v>0</v>
      </c>
      <c r="P10" s="4">
        <f t="shared" si="0"/>
        <v>717</v>
      </c>
      <c r="Q10" s="1" t="s">
        <v>171</v>
      </c>
      <c r="R10" s="44">
        <v>200</v>
      </c>
      <c r="S10" s="47">
        <v>500</v>
      </c>
      <c r="T10" s="4"/>
    </row>
    <row r="11" spans="1:20" x14ac:dyDescent="0.25">
      <c r="A11" s="7">
        <v>8</v>
      </c>
      <c r="D11" s="9" t="s">
        <v>25</v>
      </c>
      <c r="E11" s="10"/>
      <c r="F11" s="10"/>
      <c r="G11" s="11"/>
      <c r="H11" s="12">
        <v>252</v>
      </c>
      <c r="I11" s="7" t="s">
        <v>2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4">
        <f t="shared" si="0"/>
        <v>252</v>
      </c>
      <c r="Q11" s="1" t="s">
        <v>14</v>
      </c>
      <c r="R11" s="44">
        <v>50</v>
      </c>
      <c r="S11" s="47">
        <v>300</v>
      </c>
      <c r="T11" s="4"/>
    </row>
    <row r="12" spans="1:20" x14ac:dyDescent="0.25">
      <c r="A12" s="7">
        <v>9</v>
      </c>
      <c r="D12" s="16" t="s">
        <v>174</v>
      </c>
      <c r="E12" s="17"/>
      <c r="F12" s="17"/>
      <c r="G12" s="18"/>
      <c r="H12" s="12">
        <v>80</v>
      </c>
      <c r="I12" s="7" t="s">
        <v>2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4">
        <f t="shared" si="0"/>
        <v>80</v>
      </c>
      <c r="Q12" s="1" t="s">
        <v>14</v>
      </c>
      <c r="R12" s="44">
        <v>45</v>
      </c>
      <c r="S12" s="47">
        <v>200</v>
      </c>
      <c r="T12" s="4"/>
    </row>
    <row r="13" spans="1:20" x14ac:dyDescent="0.25">
      <c r="A13" s="7">
        <v>10</v>
      </c>
      <c r="D13" s="9" t="s">
        <v>6</v>
      </c>
      <c r="E13" s="10"/>
      <c r="F13" s="10"/>
      <c r="G13" s="11"/>
      <c r="H13" s="12">
        <v>10</v>
      </c>
      <c r="I13" s="7" t="s">
        <v>2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4">
        <f t="shared" si="0"/>
        <v>10</v>
      </c>
      <c r="Q13" s="1" t="s">
        <v>14</v>
      </c>
      <c r="R13" s="44">
        <v>10</v>
      </c>
      <c r="S13" s="46">
        <v>100</v>
      </c>
      <c r="T13" s="4"/>
    </row>
    <row r="14" spans="1:20" x14ac:dyDescent="0.25">
      <c r="A14" s="7">
        <v>11</v>
      </c>
      <c r="D14" s="16" t="s">
        <v>7</v>
      </c>
      <c r="E14" s="17"/>
      <c r="F14" s="17"/>
      <c r="G14" s="18"/>
      <c r="H14" s="12">
        <v>9</v>
      </c>
      <c r="I14" s="7" t="s">
        <v>171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4">
        <f t="shared" si="0"/>
        <v>9</v>
      </c>
      <c r="Q14" s="1" t="s">
        <v>14</v>
      </c>
      <c r="R14" s="44">
        <v>10</v>
      </c>
      <c r="S14" s="47">
        <v>50</v>
      </c>
      <c r="T14" s="4"/>
    </row>
    <row r="15" spans="1:20" x14ac:dyDescent="0.25">
      <c r="A15" s="7">
        <v>12</v>
      </c>
      <c r="D15" s="9" t="s">
        <v>198</v>
      </c>
      <c r="E15" s="10"/>
      <c r="F15" s="10"/>
      <c r="G15" s="11"/>
      <c r="H15" s="12">
        <v>5</v>
      </c>
      <c r="I15" s="7" t="s">
        <v>171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4">
        <f t="shared" si="0"/>
        <v>5</v>
      </c>
      <c r="Q15" s="1" t="s">
        <v>132</v>
      </c>
      <c r="R15" s="44">
        <v>5</v>
      </c>
      <c r="S15" s="47">
        <v>50</v>
      </c>
      <c r="T15" s="4"/>
    </row>
    <row r="16" spans="1:20" x14ac:dyDescent="0.25">
      <c r="A16" s="7">
        <v>13</v>
      </c>
      <c r="D16" s="100"/>
      <c r="E16" s="89"/>
      <c r="F16" s="90" t="s">
        <v>111</v>
      </c>
      <c r="G16" s="87"/>
      <c r="H16" s="12">
        <v>91</v>
      </c>
      <c r="I16" s="7" t="s">
        <v>2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4">
        <f t="shared" si="0"/>
        <v>91</v>
      </c>
      <c r="Q16" s="1" t="s">
        <v>14</v>
      </c>
      <c r="R16" s="44">
        <v>100</v>
      </c>
      <c r="S16" s="46">
        <v>500</v>
      </c>
      <c r="T16" s="4"/>
    </row>
    <row r="17" spans="1:20" x14ac:dyDescent="0.25">
      <c r="A17" s="7">
        <v>14</v>
      </c>
      <c r="D17" s="9" t="s">
        <v>73</v>
      </c>
      <c r="E17" s="10"/>
      <c r="F17" s="10"/>
      <c r="G17" s="11"/>
      <c r="H17" s="12">
        <v>590</v>
      </c>
      <c r="I17" s="7" t="s">
        <v>2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4">
        <f t="shared" si="0"/>
        <v>590</v>
      </c>
      <c r="Q17" s="1" t="s">
        <v>14</v>
      </c>
      <c r="R17" s="44">
        <v>0</v>
      </c>
      <c r="S17" s="46"/>
      <c r="T17" s="4"/>
    </row>
    <row r="18" spans="1:20" x14ac:dyDescent="0.25">
      <c r="A18" s="7">
        <v>15</v>
      </c>
      <c r="D18" s="16" t="s">
        <v>28</v>
      </c>
      <c r="E18" s="17"/>
      <c r="F18" s="17"/>
      <c r="G18" s="18"/>
      <c r="H18" s="12">
        <v>68</v>
      </c>
      <c r="I18" s="7" t="s">
        <v>2</v>
      </c>
      <c r="J18" s="3">
        <v>0</v>
      </c>
      <c r="K18" s="3">
        <v>4</v>
      </c>
      <c r="L18" s="3">
        <v>0</v>
      </c>
      <c r="M18" s="3">
        <v>2</v>
      </c>
      <c r="N18" s="3">
        <v>0</v>
      </c>
      <c r="O18" s="3">
        <v>0</v>
      </c>
      <c r="P18" s="4">
        <f t="shared" si="0"/>
        <v>62</v>
      </c>
      <c r="Q18" s="1" t="s">
        <v>14</v>
      </c>
      <c r="R18" s="44">
        <v>50</v>
      </c>
      <c r="S18" s="47">
        <v>100</v>
      </c>
      <c r="T18" s="4"/>
    </row>
    <row r="19" spans="1:20" ht="15.75" thickBot="1" x14ac:dyDescent="0.3">
      <c r="A19" s="7">
        <v>16</v>
      </c>
      <c r="D19" s="13" t="s">
        <v>29</v>
      </c>
      <c r="E19" s="14"/>
      <c r="F19" s="14"/>
      <c r="G19" s="15"/>
      <c r="H19" s="12">
        <v>68</v>
      </c>
      <c r="I19" s="7" t="s">
        <v>2</v>
      </c>
      <c r="J19" s="3">
        <v>0</v>
      </c>
      <c r="K19" s="3">
        <v>4</v>
      </c>
      <c r="L19" s="3">
        <v>0</v>
      </c>
      <c r="M19" s="3">
        <v>2</v>
      </c>
      <c r="N19" s="3">
        <v>0</v>
      </c>
      <c r="O19" s="3">
        <v>0</v>
      </c>
      <c r="P19" s="4">
        <f t="shared" si="0"/>
        <v>62</v>
      </c>
      <c r="Q19" s="1" t="s">
        <v>14</v>
      </c>
      <c r="R19" s="44">
        <v>50</v>
      </c>
      <c r="S19" s="47">
        <v>100</v>
      </c>
      <c r="T19" s="4"/>
    </row>
    <row r="20" spans="1:20" ht="15.75" thickBot="1" x14ac:dyDescent="0.3">
      <c r="A20" s="7">
        <v>17</v>
      </c>
      <c r="D20" s="102" t="s">
        <v>200</v>
      </c>
      <c r="E20" s="103"/>
      <c r="F20" s="103"/>
      <c r="G20" s="104"/>
      <c r="H20" s="101">
        <v>52</v>
      </c>
      <c r="I20" s="7" t="s">
        <v>2</v>
      </c>
      <c r="J20" s="3">
        <v>0</v>
      </c>
      <c r="K20" s="3">
        <v>0</v>
      </c>
      <c r="L20" s="3">
        <v>0</v>
      </c>
      <c r="M20" s="3">
        <v>13</v>
      </c>
      <c r="N20" s="3">
        <v>6</v>
      </c>
      <c r="O20" s="3">
        <v>0</v>
      </c>
      <c r="P20" s="4">
        <f t="shared" si="0"/>
        <v>33</v>
      </c>
      <c r="Q20" s="1"/>
      <c r="R20" s="44">
        <v>10</v>
      </c>
      <c r="S20" s="47">
        <v>50</v>
      </c>
      <c r="T20" s="4"/>
    </row>
    <row r="21" spans="1:20" x14ac:dyDescent="0.25">
      <c r="A21" s="7">
        <v>18</v>
      </c>
      <c r="D21" s="19" t="s">
        <v>129</v>
      </c>
      <c r="E21" s="20"/>
      <c r="F21" s="20"/>
      <c r="G21" s="21"/>
      <c r="H21" s="12">
        <v>5</v>
      </c>
      <c r="I21" s="7" t="s">
        <v>2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4">
        <f t="shared" si="0"/>
        <v>5</v>
      </c>
      <c r="Q21" s="1" t="s">
        <v>14</v>
      </c>
      <c r="R21" s="44">
        <v>10</v>
      </c>
      <c r="S21" s="46">
        <v>50</v>
      </c>
      <c r="T21" s="4"/>
    </row>
    <row r="22" spans="1:20" x14ac:dyDescent="0.25">
      <c r="A22" s="7">
        <v>19</v>
      </c>
      <c r="D22" s="55" t="s">
        <v>184</v>
      </c>
      <c r="E22" s="56"/>
      <c r="F22" s="56"/>
      <c r="G22" s="57"/>
      <c r="H22" s="12">
        <v>875</v>
      </c>
      <c r="I22" s="59" t="s">
        <v>1</v>
      </c>
      <c r="J22" s="3">
        <v>0</v>
      </c>
      <c r="K22" s="3">
        <v>80</v>
      </c>
      <c r="L22" s="3">
        <v>40</v>
      </c>
      <c r="M22" s="3">
        <v>50</v>
      </c>
      <c r="N22" s="3">
        <v>60</v>
      </c>
      <c r="O22" s="3">
        <v>0</v>
      </c>
      <c r="P22" s="46">
        <f t="shared" si="0"/>
        <v>645</v>
      </c>
      <c r="Q22" s="1" t="s">
        <v>75</v>
      </c>
      <c r="R22" s="44">
        <v>150</v>
      </c>
      <c r="S22" s="47">
        <v>400</v>
      </c>
      <c r="T22" s="4"/>
    </row>
    <row r="23" spans="1:20" x14ac:dyDescent="0.25">
      <c r="A23" s="7">
        <v>20</v>
      </c>
      <c r="D23" s="9" t="s">
        <v>32</v>
      </c>
      <c r="E23" s="10"/>
      <c r="F23" s="10"/>
      <c r="G23" s="11"/>
      <c r="H23" s="12">
        <v>750</v>
      </c>
      <c r="I23" s="7" t="s">
        <v>2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4">
        <f t="shared" si="0"/>
        <v>750</v>
      </c>
      <c r="Q23" s="1" t="s">
        <v>14</v>
      </c>
      <c r="R23" s="44">
        <v>0</v>
      </c>
      <c r="S23" s="46">
        <v>0</v>
      </c>
      <c r="T23" s="4"/>
    </row>
    <row r="24" spans="1:20" x14ac:dyDescent="0.25">
      <c r="A24" s="7">
        <v>21</v>
      </c>
      <c r="D24" s="16" t="s">
        <v>188</v>
      </c>
      <c r="E24" s="17"/>
      <c r="F24" s="17"/>
      <c r="G24" s="18"/>
      <c r="H24" s="12">
        <v>89</v>
      </c>
      <c r="I24" s="7" t="s">
        <v>2</v>
      </c>
      <c r="J24" s="3">
        <v>0</v>
      </c>
      <c r="K24" s="3">
        <v>1</v>
      </c>
      <c r="L24" s="3">
        <v>0</v>
      </c>
      <c r="M24" s="3">
        <v>0</v>
      </c>
      <c r="N24" s="3">
        <v>10</v>
      </c>
      <c r="O24" s="3">
        <v>0</v>
      </c>
      <c r="P24" s="4">
        <f t="shared" si="0"/>
        <v>78</v>
      </c>
      <c r="Q24" s="1" t="s">
        <v>14</v>
      </c>
      <c r="R24" s="44">
        <v>10</v>
      </c>
      <c r="S24" s="46">
        <v>100</v>
      </c>
      <c r="T24" s="4"/>
    </row>
    <row r="25" spans="1:20" x14ac:dyDescent="0.25">
      <c r="A25" s="7">
        <v>22</v>
      </c>
      <c r="D25" s="9" t="s">
        <v>34</v>
      </c>
      <c r="E25" s="10"/>
      <c r="F25" s="10"/>
      <c r="G25" s="11"/>
      <c r="H25" s="12">
        <v>110</v>
      </c>
      <c r="I25" s="7" t="s">
        <v>2</v>
      </c>
      <c r="J25" s="3">
        <v>0</v>
      </c>
      <c r="K25" s="3">
        <v>0</v>
      </c>
      <c r="L25" s="3">
        <v>4</v>
      </c>
      <c r="M25" s="3">
        <v>0</v>
      </c>
      <c r="N25" s="3">
        <v>14</v>
      </c>
      <c r="O25" s="3">
        <v>0</v>
      </c>
      <c r="P25" s="4">
        <f t="shared" si="0"/>
        <v>92</v>
      </c>
      <c r="Q25" s="1" t="s">
        <v>14</v>
      </c>
      <c r="R25" s="44">
        <v>20</v>
      </c>
      <c r="S25" s="46">
        <v>50</v>
      </c>
      <c r="T25" s="4"/>
    </row>
    <row r="26" spans="1:20" x14ac:dyDescent="0.25">
      <c r="A26" s="7">
        <v>23</v>
      </c>
      <c r="D26" s="16" t="s">
        <v>142</v>
      </c>
      <c r="E26" s="17"/>
      <c r="F26" s="17"/>
      <c r="G26" s="18"/>
      <c r="H26" s="12">
        <v>148</v>
      </c>
      <c r="I26" s="7" t="s">
        <v>2</v>
      </c>
      <c r="J26" s="3">
        <v>35</v>
      </c>
      <c r="K26" s="3">
        <v>0</v>
      </c>
      <c r="L26" s="3">
        <v>80</v>
      </c>
      <c r="M26" s="3">
        <v>0</v>
      </c>
      <c r="N26" s="3">
        <v>36</v>
      </c>
      <c r="O26" s="3">
        <v>0</v>
      </c>
      <c r="P26" s="4">
        <f t="shared" si="0"/>
        <v>67</v>
      </c>
      <c r="Q26" s="1" t="s">
        <v>14</v>
      </c>
      <c r="R26" s="44">
        <v>20</v>
      </c>
      <c r="S26" s="47">
        <v>50</v>
      </c>
      <c r="T26" s="4"/>
    </row>
    <row r="27" spans="1:20" x14ac:dyDescent="0.25">
      <c r="A27" s="7">
        <v>24</v>
      </c>
      <c r="D27" s="9" t="s">
        <v>141</v>
      </c>
      <c r="E27" s="10"/>
      <c r="F27" s="10"/>
      <c r="G27" s="11"/>
      <c r="H27" s="12">
        <v>118</v>
      </c>
      <c r="I27" s="7" t="s">
        <v>2</v>
      </c>
      <c r="J27" s="3">
        <v>35</v>
      </c>
      <c r="K27" s="3">
        <v>0</v>
      </c>
      <c r="L27" s="3">
        <v>80</v>
      </c>
      <c r="M27" s="3">
        <v>0</v>
      </c>
      <c r="N27" s="3">
        <v>36</v>
      </c>
      <c r="O27" s="3">
        <v>0</v>
      </c>
      <c r="P27" s="4">
        <f t="shared" si="0"/>
        <v>37</v>
      </c>
      <c r="Q27" s="1"/>
      <c r="R27" s="44">
        <v>20</v>
      </c>
      <c r="S27" s="47">
        <v>50</v>
      </c>
      <c r="T27" s="4"/>
    </row>
    <row r="28" spans="1:20" x14ac:dyDescent="0.25">
      <c r="A28" s="7">
        <v>25</v>
      </c>
      <c r="D28" s="9" t="s">
        <v>137</v>
      </c>
      <c r="E28" s="10"/>
      <c r="F28" s="10"/>
      <c r="G28" s="11"/>
      <c r="H28" s="12">
        <v>48</v>
      </c>
      <c r="I28" s="7" t="s">
        <v>2</v>
      </c>
      <c r="J28" s="3">
        <v>0</v>
      </c>
      <c r="K28" s="3">
        <v>0</v>
      </c>
      <c r="L28" s="3">
        <v>4</v>
      </c>
      <c r="M28" s="3">
        <v>0</v>
      </c>
      <c r="N28" s="3">
        <v>14</v>
      </c>
      <c r="O28" s="3">
        <v>0</v>
      </c>
      <c r="P28" s="4">
        <f t="shared" si="0"/>
        <v>30</v>
      </c>
      <c r="Q28" s="1" t="s">
        <v>14</v>
      </c>
      <c r="R28" s="44">
        <v>20</v>
      </c>
      <c r="S28" s="47">
        <v>50</v>
      </c>
      <c r="T28" s="4"/>
    </row>
    <row r="29" spans="1:20" x14ac:dyDescent="0.25">
      <c r="A29" s="7">
        <v>26</v>
      </c>
      <c r="D29" s="9" t="s">
        <v>138</v>
      </c>
      <c r="E29" s="10"/>
      <c r="F29" s="10"/>
      <c r="G29" s="11"/>
      <c r="H29" s="12">
        <v>41</v>
      </c>
      <c r="I29" s="7" t="s">
        <v>2</v>
      </c>
      <c r="J29" s="3">
        <v>0</v>
      </c>
      <c r="K29" s="3">
        <v>0</v>
      </c>
      <c r="L29" s="3">
        <v>4</v>
      </c>
      <c r="M29" s="3">
        <v>0</v>
      </c>
      <c r="N29" s="3">
        <v>14</v>
      </c>
      <c r="O29" s="3">
        <v>0</v>
      </c>
      <c r="P29" s="4">
        <f t="shared" si="0"/>
        <v>23</v>
      </c>
      <c r="Q29" s="1"/>
      <c r="R29" s="44">
        <v>20</v>
      </c>
      <c r="S29" s="47">
        <v>50</v>
      </c>
      <c r="T29" s="4"/>
    </row>
    <row r="30" spans="1:20" x14ac:dyDescent="0.25">
      <c r="A30" s="7">
        <v>27</v>
      </c>
      <c r="D30" s="16" t="s">
        <v>35</v>
      </c>
      <c r="E30" s="17"/>
      <c r="F30" s="17"/>
      <c r="G30" s="18"/>
      <c r="H30" s="12">
        <v>135</v>
      </c>
      <c r="I30" s="7" t="s">
        <v>2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4">
        <f t="shared" si="0"/>
        <v>135</v>
      </c>
      <c r="Q30" s="1" t="s">
        <v>14</v>
      </c>
      <c r="R30" s="44">
        <v>50</v>
      </c>
      <c r="S30" s="47">
        <v>100</v>
      </c>
      <c r="T30" s="4"/>
    </row>
    <row r="31" spans="1:20" x14ac:dyDescent="0.25">
      <c r="A31" s="7">
        <v>28</v>
      </c>
      <c r="D31" s="9" t="s">
        <v>36</v>
      </c>
      <c r="E31" s="10"/>
      <c r="F31" s="10"/>
      <c r="G31" s="11"/>
      <c r="H31" s="12">
        <v>15</v>
      </c>
      <c r="I31" s="7" t="s">
        <v>2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4">
        <f t="shared" si="0"/>
        <v>15</v>
      </c>
      <c r="Q31" s="1" t="s">
        <v>14</v>
      </c>
      <c r="R31" s="44">
        <v>50</v>
      </c>
      <c r="S31" s="47">
        <v>100</v>
      </c>
      <c r="T31" s="4"/>
    </row>
    <row r="32" spans="1:20" x14ac:dyDescent="0.25">
      <c r="A32" s="7">
        <v>29</v>
      </c>
      <c r="D32" s="16" t="s">
        <v>37</v>
      </c>
      <c r="E32" s="17"/>
      <c r="F32" s="17"/>
      <c r="G32" s="18"/>
      <c r="H32" s="12">
        <v>148</v>
      </c>
      <c r="I32" s="7" t="s">
        <v>2</v>
      </c>
      <c r="J32" s="3">
        <v>6</v>
      </c>
      <c r="K32" s="3">
        <v>0</v>
      </c>
      <c r="L32" s="3">
        <v>80</v>
      </c>
      <c r="M32" s="3">
        <v>0</v>
      </c>
      <c r="N32" s="3">
        <v>10</v>
      </c>
      <c r="O32" s="3">
        <v>0</v>
      </c>
      <c r="P32" s="4">
        <f t="shared" si="0"/>
        <v>64</v>
      </c>
      <c r="Q32" s="1" t="s">
        <v>14</v>
      </c>
      <c r="R32" s="44">
        <v>20</v>
      </c>
      <c r="S32" s="47">
        <v>50</v>
      </c>
      <c r="T32" s="4"/>
    </row>
    <row r="33" spans="1:20" x14ac:dyDescent="0.25">
      <c r="A33" s="7">
        <v>30</v>
      </c>
      <c r="D33" s="9" t="s">
        <v>38</v>
      </c>
      <c r="E33" s="10"/>
      <c r="F33" s="10"/>
      <c r="G33" s="11"/>
      <c r="H33" s="12">
        <v>26</v>
      </c>
      <c r="I33" s="7" t="s">
        <v>2</v>
      </c>
      <c r="J33" s="3">
        <v>150</v>
      </c>
      <c r="K33" s="3">
        <v>26</v>
      </c>
      <c r="L33" s="3">
        <v>6</v>
      </c>
      <c r="M33" s="3">
        <v>2</v>
      </c>
      <c r="N33" s="3">
        <v>4</v>
      </c>
      <c r="O33" s="3">
        <v>0</v>
      </c>
      <c r="P33" s="4">
        <f t="shared" si="0"/>
        <v>138</v>
      </c>
      <c r="Q33" s="1" t="s">
        <v>14</v>
      </c>
      <c r="R33" s="44">
        <v>50</v>
      </c>
      <c r="S33" s="47">
        <v>100</v>
      </c>
      <c r="T33" s="4"/>
    </row>
    <row r="34" spans="1:20" x14ac:dyDescent="0.25">
      <c r="A34" s="7">
        <v>31</v>
      </c>
      <c r="D34" s="16" t="s">
        <v>39</v>
      </c>
      <c r="E34" s="17"/>
      <c r="F34" s="17"/>
      <c r="G34" s="18"/>
      <c r="H34" s="12">
        <v>140</v>
      </c>
      <c r="I34" s="7" t="s">
        <v>2</v>
      </c>
      <c r="J34" s="3">
        <v>35</v>
      </c>
      <c r="K34" s="3">
        <v>0</v>
      </c>
      <c r="L34" s="3">
        <v>80</v>
      </c>
      <c r="M34" s="3">
        <v>0</v>
      </c>
      <c r="N34" s="3">
        <v>36</v>
      </c>
      <c r="O34" s="3">
        <v>0</v>
      </c>
      <c r="P34" s="4">
        <f t="shared" si="0"/>
        <v>59</v>
      </c>
      <c r="Q34" s="1" t="s">
        <v>14</v>
      </c>
      <c r="R34" s="44">
        <v>20</v>
      </c>
      <c r="S34" s="47">
        <v>50</v>
      </c>
      <c r="T34" s="4"/>
    </row>
    <row r="35" spans="1:20" x14ac:dyDescent="0.25">
      <c r="A35" s="7">
        <v>32</v>
      </c>
      <c r="D35" s="9" t="s">
        <v>40</v>
      </c>
      <c r="E35" s="10"/>
      <c r="F35" s="10"/>
      <c r="G35" s="11"/>
      <c r="H35" s="12">
        <v>1050</v>
      </c>
      <c r="I35" s="7" t="s">
        <v>2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4">
        <f t="shared" si="0"/>
        <v>1050</v>
      </c>
      <c r="Q35" s="1" t="s">
        <v>14</v>
      </c>
      <c r="R35" s="44">
        <v>0</v>
      </c>
      <c r="S35" s="46">
        <v>0</v>
      </c>
      <c r="T35" s="4"/>
    </row>
    <row r="36" spans="1:20" x14ac:dyDescent="0.25">
      <c r="A36" s="7">
        <v>33</v>
      </c>
      <c r="D36" s="9" t="s">
        <v>9</v>
      </c>
      <c r="E36" s="10"/>
      <c r="F36" s="10"/>
      <c r="G36" s="11"/>
      <c r="H36" s="83">
        <v>65</v>
      </c>
      <c r="I36" s="7" t="s">
        <v>132</v>
      </c>
      <c r="J36" s="3">
        <v>70</v>
      </c>
      <c r="K36" s="3">
        <v>40</v>
      </c>
      <c r="L36" s="3">
        <v>10</v>
      </c>
      <c r="M36" s="3">
        <v>1</v>
      </c>
      <c r="N36" s="3">
        <v>0</v>
      </c>
      <c r="O36" s="3">
        <v>0</v>
      </c>
      <c r="P36" s="4">
        <f t="shared" si="0"/>
        <v>84</v>
      </c>
      <c r="Q36" s="1" t="s">
        <v>132</v>
      </c>
      <c r="R36" s="44">
        <v>50</v>
      </c>
      <c r="S36" s="47">
        <v>100</v>
      </c>
      <c r="T36" s="4"/>
    </row>
    <row r="37" spans="1:20" x14ac:dyDescent="0.25">
      <c r="A37" s="7">
        <v>34</v>
      </c>
      <c r="D37" s="19" t="s">
        <v>166</v>
      </c>
      <c r="E37" s="20"/>
      <c r="F37" s="20"/>
      <c r="G37" s="21"/>
      <c r="H37" s="69">
        <v>130</v>
      </c>
      <c r="I37" s="7" t="s">
        <v>2</v>
      </c>
      <c r="J37" s="3">
        <v>0</v>
      </c>
      <c r="K37" s="3">
        <v>40</v>
      </c>
      <c r="L37" s="3">
        <v>10</v>
      </c>
      <c r="M37" s="3">
        <v>1</v>
      </c>
      <c r="N37" s="3">
        <v>0</v>
      </c>
      <c r="O37" s="3">
        <v>0</v>
      </c>
      <c r="P37" s="4">
        <f t="shared" si="0"/>
        <v>79</v>
      </c>
      <c r="Q37" s="1" t="s">
        <v>14</v>
      </c>
      <c r="R37" s="44">
        <v>50</v>
      </c>
      <c r="S37" s="46">
        <v>100</v>
      </c>
      <c r="T37" s="4"/>
    </row>
    <row r="38" spans="1:20" x14ac:dyDescent="0.25">
      <c r="A38" s="7">
        <v>35</v>
      </c>
      <c r="D38" s="16" t="s">
        <v>143</v>
      </c>
      <c r="E38" s="17"/>
      <c r="F38" s="17"/>
      <c r="G38" s="18"/>
      <c r="H38" s="12">
        <v>65</v>
      </c>
      <c r="I38" s="7" t="s">
        <v>2</v>
      </c>
      <c r="J38" s="3">
        <v>70</v>
      </c>
      <c r="K38" s="3">
        <v>40</v>
      </c>
      <c r="L38" s="3">
        <v>10</v>
      </c>
      <c r="M38" s="3">
        <v>1</v>
      </c>
      <c r="N38" s="3">
        <v>0</v>
      </c>
      <c r="O38" s="3">
        <v>0</v>
      </c>
      <c r="P38" s="4">
        <f t="shared" si="0"/>
        <v>84</v>
      </c>
      <c r="Q38" s="1" t="s">
        <v>14</v>
      </c>
      <c r="R38" s="44">
        <v>50</v>
      </c>
      <c r="S38" s="46">
        <v>100</v>
      </c>
      <c r="T38" s="4"/>
    </row>
    <row r="39" spans="1:20" x14ac:dyDescent="0.25">
      <c r="A39" s="7">
        <v>36</v>
      </c>
      <c r="D39" s="9" t="s">
        <v>144</v>
      </c>
      <c r="E39" s="10"/>
      <c r="F39" s="10"/>
      <c r="G39" s="11"/>
      <c r="H39" s="12">
        <v>65</v>
      </c>
      <c r="I39" s="7" t="s">
        <v>2</v>
      </c>
      <c r="J39" s="3">
        <v>70</v>
      </c>
      <c r="K39" s="3">
        <v>40</v>
      </c>
      <c r="L39" s="3">
        <v>10</v>
      </c>
      <c r="M39" s="3">
        <v>1</v>
      </c>
      <c r="N39" s="3">
        <v>0</v>
      </c>
      <c r="O39" s="3">
        <v>0</v>
      </c>
      <c r="P39" s="4">
        <f t="shared" si="0"/>
        <v>84</v>
      </c>
      <c r="Q39" s="1" t="s">
        <v>14</v>
      </c>
      <c r="R39" s="44">
        <v>50</v>
      </c>
      <c r="S39" s="47">
        <v>100</v>
      </c>
      <c r="T39" s="4"/>
    </row>
    <row r="40" spans="1:20" x14ac:dyDescent="0.25">
      <c r="A40" s="7">
        <v>37</v>
      </c>
      <c r="D40" s="16" t="s">
        <v>42</v>
      </c>
      <c r="E40" s="17"/>
      <c r="F40" s="17"/>
      <c r="G40" s="18"/>
      <c r="H40" s="12">
        <v>66</v>
      </c>
      <c r="I40" s="7" t="s">
        <v>2</v>
      </c>
      <c r="J40" s="3">
        <v>70</v>
      </c>
      <c r="K40" s="3">
        <v>40</v>
      </c>
      <c r="L40" s="3">
        <v>10</v>
      </c>
      <c r="M40" s="3">
        <v>1</v>
      </c>
      <c r="N40" s="3">
        <v>0</v>
      </c>
      <c r="O40" s="3">
        <v>0</v>
      </c>
      <c r="P40" s="4">
        <f t="shared" si="0"/>
        <v>85</v>
      </c>
      <c r="Q40" s="1" t="s">
        <v>14</v>
      </c>
      <c r="R40" s="44">
        <v>50</v>
      </c>
      <c r="S40" s="47">
        <v>100</v>
      </c>
      <c r="T40" s="4"/>
    </row>
    <row r="41" spans="1:20" x14ac:dyDescent="0.25">
      <c r="A41" s="7">
        <v>38</v>
      </c>
      <c r="D41" s="9" t="s">
        <v>133</v>
      </c>
      <c r="E41" s="10"/>
      <c r="F41" s="10"/>
      <c r="G41" s="11"/>
      <c r="H41" s="12">
        <v>264</v>
      </c>
      <c r="I41" s="7" t="s">
        <v>2</v>
      </c>
      <c r="J41" s="3">
        <v>0</v>
      </c>
      <c r="K41" s="3">
        <v>0</v>
      </c>
      <c r="L41" s="3">
        <v>0</v>
      </c>
      <c r="M41" s="3">
        <v>13</v>
      </c>
      <c r="N41" s="3">
        <v>10</v>
      </c>
      <c r="O41" s="3">
        <v>0</v>
      </c>
      <c r="P41" s="4">
        <f t="shared" si="0"/>
        <v>241</v>
      </c>
      <c r="Q41" s="1" t="s">
        <v>14</v>
      </c>
      <c r="R41" s="44">
        <v>50</v>
      </c>
      <c r="S41" s="47">
        <v>100</v>
      </c>
      <c r="T41" s="4"/>
    </row>
    <row r="42" spans="1:20" x14ac:dyDescent="0.25">
      <c r="A42" s="7">
        <v>39</v>
      </c>
      <c r="D42" s="16" t="s">
        <v>145</v>
      </c>
      <c r="E42" s="17"/>
      <c r="F42" s="17"/>
      <c r="G42" s="18"/>
      <c r="H42" s="12">
        <v>365</v>
      </c>
      <c r="I42" s="7" t="s">
        <v>2</v>
      </c>
      <c r="J42" s="3">
        <v>0</v>
      </c>
      <c r="K42" s="3">
        <v>0</v>
      </c>
      <c r="L42" s="3">
        <v>0</v>
      </c>
      <c r="M42" s="3">
        <v>13</v>
      </c>
      <c r="N42" s="3">
        <v>10</v>
      </c>
      <c r="O42" s="3">
        <v>0</v>
      </c>
      <c r="P42" s="4">
        <f t="shared" si="0"/>
        <v>342</v>
      </c>
      <c r="Q42" s="1" t="s">
        <v>14</v>
      </c>
      <c r="R42" s="44">
        <v>50</v>
      </c>
      <c r="S42" s="46">
        <v>100</v>
      </c>
      <c r="T42" s="4"/>
    </row>
    <row r="43" spans="1:20" x14ac:dyDescent="0.25">
      <c r="A43" s="7">
        <v>40</v>
      </c>
      <c r="D43" s="9" t="s">
        <v>190</v>
      </c>
      <c r="E43" s="10"/>
      <c r="F43" s="10" t="s">
        <v>14</v>
      </c>
      <c r="G43" s="11" t="s">
        <v>14</v>
      </c>
      <c r="H43" s="12">
        <v>60</v>
      </c>
      <c r="I43" s="7" t="s">
        <v>75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4">
        <f t="shared" si="0"/>
        <v>60</v>
      </c>
      <c r="Q43" s="1" t="s">
        <v>75</v>
      </c>
      <c r="R43" s="44">
        <v>50</v>
      </c>
      <c r="S43" s="47">
        <v>200</v>
      </c>
      <c r="T43" s="4"/>
    </row>
    <row r="44" spans="1:20" x14ac:dyDescent="0.25">
      <c r="A44" s="7">
        <v>41</v>
      </c>
      <c r="D44" s="16" t="s">
        <v>10</v>
      </c>
      <c r="E44" s="17"/>
      <c r="F44" s="17"/>
      <c r="G44" s="18"/>
      <c r="H44" s="12">
        <v>11</v>
      </c>
      <c r="I44" s="7" t="s">
        <v>2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4">
        <f t="shared" si="0"/>
        <v>11</v>
      </c>
      <c r="Q44" s="1" t="s">
        <v>132</v>
      </c>
      <c r="R44" s="44">
        <v>20</v>
      </c>
      <c r="S44" s="47">
        <v>50</v>
      </c>
      <c r="T44" s="4"/>
    </row>
    <row r="45" spans="1:20" x14ac:dyDescent="0.25">
      <c r="A45" s="7">
        <v>42</v>
      </c>
      <c r="D45" s="9" t="s">
        <v>45</v>
      </c>
      <c r="E45" s="10"/>
      <c r="F45" s="10"/>
      <c r="G45" s="11"/>
      <c r="H45" s="12">
        <v>11</v>
      </c>
      <c r="I45" s="7" t="s">
        <v>2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4">
        <f t="shared" si="0"/>
        <v>11</v>
      </c>
      <c r="Q45" s="1" t="s">
        <v>14</v>
      </c>
      <c r="R45" s="44">
        <v>20</v>
      </c>
      <c r="S45" s="47">
        <v>50</v>
      </c>
      <c r="T45" s="4"/>
    </row>
    <row r="46" spans="1:20" x14ac:dyDescent="0.25">
      <c r="A46" s="7">
        <v>43</v>
      </c>
      <c r="D46" s="16" t="s">
        <v>46</v>
      </c>
      <c r="E46" s="17"/>
      <c r="F46" s="17"/>
      <c r="G46" s="18"/>
      <c r="H46" s="12">
        <v>11</v>
      </c>
      <c r="I46" s="7" t="s">
        <v>2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4">
        <f t="shared" si="0"/>
        <v>11</v>
      </c>
      <c r="Q46" s="1" t="s">
        <v>14</v>
      </c>
      <c r="R46" s="44">
        <v>20</v>
      </c>
      <c r="S46" s="47">
        <v>50</v>
      </c>
      <c r="T46" s="4"/>
    </row>
    <row r="47" spans="1:20" x14ac:dyDescent="0.25">
      <c r="A47" s="7">
        <v>44</v>
      </c>
      <c r="D47" s="9" t="s">
        <v>47</v>
      </c>
      <c r="E47" s="10"/>
      <c r="F47" s="10"/>
      <c r="G47" s="11" t="s">
        <v>14</v>
      </c>
      <c r="H47" s="12">
        <v>11</v>
      </c>
      <c r="I47" s="7" t="s">
        <v>2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4">
        <f t="shared" si="0"/>
        <v>11</v>
      </c>
      <c r="Q47" s="1" t="s">
        <v>14</v>
      </c>
      <c r="R47" s="44">
        <v>20</v>
      </c>
      <c r="S47" s="47">
        <v>50</v>
      </c>
      <c r="T47" s="4"/>
    </row>
    <row r="48" spans="1:20" x14ac:dyDescent="0.25">
      <c r="A48" s="7">
        <v>45</v>
      </c>
      <c r="D48" s="16" t="s">
        <v>175</v>
      </c>
      <c r="E48" s="17"/>
      <c r="F48" s="17"/>
      <c r="G48" s="18"/>
      <c r="H48" s="12">
        <v>300</v>
      </c>
      <c r="I48" s="7" t="s">
        <v>2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4">
        <f t="shared" si="0"/>
        <v>300</v>
      </c>
      <c r="Q48" s="1" t="s">
        <v>14</v>
      </c>
      <c r="R48" s="44">
        <v>500</v>
      </c>
      <c r="S48" s="47">
        <v>2000</v>
      </c>
      <c r="T48" s="4"/>
    </row>
    <row r="49" spans="1:20" x14ac:dyDescent="0.25">
      <c r="A49" s="7">
        <v>46</v>
      </c>
      <c r="D49" s="9" t="s">
        <v>48</v>
      </c>
      <c r="E49" s="10"/>
      <c r="F49" s="10"/>
      <c r="G49" s="11"/>
      <c r="H49" s="12">
        <v>12</v>
      </c>
      <c r="I49" s="7" t="s">
        <v>2</v>
      </c>
      <c r="J49" s="3">
        <v>0</v>
      </c>
      <c r="K49" s="3">
        <v>0</v>
      </c>
      <c r="L49" s="3">
        <v>0</v>
      </c>
      <c r="M49" s="3">
        <v>0</v>
      </c>
      <c r="N49" s="3">
        <v>4</v>
      </c>
      <c r="O49" s="3">
        <v>0</v>
      </c>
      <c r="P49" s="4">
        <f t="shared" si="0"/>
        <v>8</v>
      </c>
      <c r="Q49" s="1" t="s">
        <v>14</v>
      </c>
      <c r="R49" s="44">
        <v>10</v>
      </c>
      <c r="S49" s="47">
        <v>20</v>
      </c>
      <c r="T49" s="4" t="s">
        <v>14</v>
      </c>
    </row>
    <row r="50" spans="1:20" x14ac:dyDescent="0.25">
      <c r="A50" s="7">
        <v>47</v>
      </c>
      <c r="D50" s="16" t="s">
        <v>49</v>
      </c>
      <c r="E50" s="17"/>
      <c r="F50" s="17"/>
      <c r="G50" s="18"/>
      <c r="H50" s="12">
        <v>79</v>
      </c>
      <c r="I50" s="7" t="s">
        <v>2</v>
      </c>
      <c r="J50" s="3">
        <v>0</v>
      </c>
      <c r="K50" s="3">
        <v>0</v>
      </c>
      <c r="L50" s="3">
        <v>0</v>
      </c>
      <c r="M50" s="3">
        <v>0</v>
      </c>
      <c r="N50" s="3">
        <v>4</v>
      </c>
      <c r="O50" s="3">
        <v>0</v>
      </c>
      <c r="P50" s="4">
        <f t="shared" si="0"/>
        <v>75</v>
      </c>
      <c r="Q50" s="1" t="s">
        <v>14</v>
      </c>
      <c r="R50" s="44">
        <v>10</v>
      </c>
      <c r="S50" s="47">
        <v>20</v>
      </c>
      <c r="T50" s="4"/>
    </row>
    <row r="51" spans="1:20" x14ac:dyDescent="0.25">
      <c r="A51" s="7">
        <v>48</v>
      </c>
      <c r="D51" s="9" t="s">
        <v>189</v>
      </c>
      <c r="E51" s="10"/>
      <c r="F51" s="10"/>
      <c r="G51" s="11"/>
      <c r="H51" s="12">
        <v>230</v>
      </c>
      <c r="I51" s="7" t="s">
        <v>1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4">
        <f t="shared" si="0"/>
        <v>230</v>
      </c>
      <c r="Q51" s="1" t="s">
        <v>75</v>
      </c>
      <c r="R51" s="44">
        <v>50</v>
      </c>
      <c r="S51" s="47">
        <v>100</v>
      </c>
      <c r="T51" s="4"/>
    </row>
    <row r="52" spans="1:20" x14ac:dyDescent="0.25">
      <c r="A52" s="7">
        <v>49</v>
      </c>
      <c r="D52" s="94" t="s">
        <v>185</v>
      </c>
      <c r="E52" s="91" t="s">
        <v>186</v>
      </c>
      <c r="F52" s="92" t="s">
        <v>187</v>
      </c>
      <c r="G52" s="93"/>
      <c r="H52" s="12">
        <v>67</v>
      </c>
      <c r="I52" s="7" t="s">
        <v>2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4">
        <f t="shared" si="0"/>
        <v>67</v>
      </c>
      <c r="Q52" s="1" t="s">
        <v>14</v>
      </c>
      <c r="R52" s="44">
        <v>20</v>
      </c>
      <c r="S52" s="47">
        <v>50</v>
      </c>
      <c r="T52" s="4"/>
    </row>
    <row r="53" spans="1:20" x14ac:dyDescent="0.25">
      <c r="A53" s="7">
        <v>50</v>
      </c>
      <c r="D53" s="9" t="s">
        <v>51</v>
      </c>
      <c r="E53" s="10"/>
      <c r="F53" s="10"/>
      <c r="G53" s="11"/>
      <c r="H53" s="12">
        <v>65</v>
      </c>
      <c r="I53" s="7" t="s">
        <v>2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4">
        <f t="shared" si="0"/>
        <v>65</v>
      </c>
      <c r="Q53" s="1" t="s">
        <v>14</v>
      </c>
      <c r="R53" s="44">
        <v>20</v>
      </c>
      <c r="S53" s="47">
        <v>50</v>
      </c>
      <c r="T53" s="4"/>
    </row>
    <row r="54" spans="1:20" x14ac:dyDescent="0.25">
      <c r="A54" s="7">
        <v>51</v>
      </c>
      <c r="D54" s="16" t="s">
        <v>52</v>
      </c>
      <c r="E54" s="17"/>
      <c r="F54" s="17"/>
      <c r="G54" s="18"/>
      <c r="H54" s="12">
        <v>71</v>
      </c>
      <c r="I54" s="7" t="s">
        <v>2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  <c r="P54" s="4">
        <f t="shared" si="0"/>
        <v>71</v>
      </c>
      <c r="Q54" s="1" t="s">
        <v>14</v>
      </c>
      <c r="R54" s="44">
        <v>20</v>
      </c>
      <c r="S54" s="47">
        <v>50</v>
      </c>
      <c r="T54" s="4" t="s">
        <v>14</v>
      </c>
    </row>
    <row r="55" spans="1:20" x14ac:dyDescent="0.25">
      <c r="A55" s="7">
        <v>52</v>
      </c>
      <c r="D55" s="9" t="s">
        <v>53</v>
      </c>
      <c r="E55" s="10"/>
      <c r="F55" s="10"/>
      <c r="G55" s="11"/>
      <c r="H55" s="12">
        <v>86</v>
      </c>
      <c r="I55" s="7" t="s">
        <v>2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  <c r="P55" s="4">
        <f t="shared" si="0"/>
        <v>86</v>
      </c>
      <c r="Q55" s="1" t="s">
        <v>14</v>
      </c>
      <c r="R55" s="44">
        <v>20</v>
      </c>
      <c r="S55" s="47">
        <v>50</v>
      </c>
      <c r="T55" s="4"/>
    </row>
    <row r="56" spans="1:20" x14ac:dyDescent="0.25">
      <c r="A56" s="7">
        <v>53</v>
      </c>
      <c r="D56" s="70" t="s">
        <v>191</v>
      </c>
      <c r="E56" s="71"/>
      <c r="F56" s="71"/>
      <c r="G56" s="72"/>
      <c r="H56" s="12">
        <v>125</v>
      </c>
      <c r="I56" s="7" t="s">
        <v>1</v>
      </c>
      <c r="J56" s="3">
        <v>720</v>
      </c>
      <c r="K56" s="3">
        <v>200</v>
      </c>
      <c r="L56" s="3">
        <v>165</v>
      </c>
      <c r="M56" s="3">
        <v>105</v>
      </c>
      <c r="N56" s="3">
        <v>165</v>
      </c>
      <c r="O56" s="3">
        <v>0</v>
      </c>
      <c r="P56" s="4">
        <f t="shared" si="0"/>
        <v>210</v>
      </c>
      <c r="Q56" s="1" t="s">
        <v>120</v>
      </c>
      <c r="R56" s="44">
        <v>300</v>
      </c>
      <c r="S56" s="47">
        <v>900</v>
      </c>
      <c r="T56" s="4"/>
    </row>
    <row r="57" spans="1:20" x14ac:dyDescent="0.25">
      <c r="A57" s="7">
        <v>54</v>
      </c>
      <c r="D57" s="16" t="s">
        <v>61</v>
      </c>
      <c r="E57" s="17"/>
      <c r="F57" s="17"/>
      <c r="G57" s="18"/>
      <c r="H57" s="12">
        <v>80</v>
      </c>
      <c r="I57" s="7" t="s">
        <v>171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  <c r="P57" s="4">
        <f t="shared" si="0"/>
        <v>80</v>
      </c>
      <c r="Q57" s="1" t="s">
        <v>14</v>
      </c>
      <c r="R57" s="44">
        <v>10</v>
      </c>
      <c r="S57" s="46">
        <v>200</v>
      </c>
      <c r="T57" s="4"/>
    </row>
    <row r="58" spans="1:20" x14ac:dyDescent="0.25">
      <c r="A58" s="7">
        <v>55</v>
      </c>
      <c r="D58" s="9" t="s">
        <v>62</v>
      </c>
      <c r="E58" s="10"/>
      <c r="F58" s="10"/>
      <c r="G58" s="11"/>
      <c r="H58" s="12">
        <v>1072</v>
      </c>
      <c r="I58" s="7" t="s">
        <v>2</v>
      </c>
      <c r="J58" s="3">
        <v>0</v>
      </c>
      <c r="K58" s="3">
        <v>13</v>
      </c>
      <c r="L58" s="3">
        <v>36</v>
      </c>
      <c r="M58" s="3">
        <v>0</v>
      </c>
      <c r="N58" s="3">
        <v>49</v>
      </c>
      <c r="O58" s="3">
        <v>0</v>
      </c>
      <c r="P58" s="4">
        <f t="shared" si="0"/>
        <v>974</v>
      </c>
      <c r="Q58" s="1" t="s">
        <v>14</v>
      </c>
      <c r="R58" s="44">
        <v>500</v>
      </c>
      <c r="S58" s="47">
        <v>1000</v>
      </c>
      <c r="T58" s="4"/>
    </row>
    <row r="59" spans="1:20" x14ac:dyDescent="0.25">
      <c r="A59" s="7">
        <v>56</v>
      </c>
      <c r="D59" s="16" t="s">
        <v>13</v>
      </c>
      <c r="E59" s="17"/>
      <c r="F59" s="17"/>
      <c r="G59" s="18"/>
      <c r="H59" s="12">
        <v>261</v>
      </c>
      <c r="I59" s="7" t="s">
        <v>2</v>
      </c>
      <c r="J59" s="3">
        <v>189</v>
      </c>
      <c r="K59" s="3">
        <v>124</v>
      </c>
      <c r="L59" s="3">
        <v>0</v>
      </c>
      <c r="M59" s="3">
        <v>0</v>
      </c>
      <c r="N59" s="3">
        <v>0</v>
      </c>
      <c r="O59" s="3">
        <v>0</v>
      </c>
      <c r="P59" s="4">
        <f t="shared" si="0"/>
        <v>326</v>
      </c>
      <c r="Q59" s="1" t="s">
        <v>14</v>
      </c>
      <c r="R59" s="44">
        <v>100</v>
      </c>
      <c r="S59" s="47">
        <v>500</v>
      </c>
      <c r="T59" s="4"/>
    </row>
    <row r="60" spans="1:20" x14ac:dyDescent="0.25">
      <c r="A60" s="7">
        <v>57</v>
      </c>
      <c r="D60" s="9" t="s">
        <v>72</v>
      </c>
      <c r="E60" s="10"/>
      <c r="F60" s="10"/>
      <c r="G60" s="11"/>
      <c r="H60" s="12">
        <v>130</v>
      </c>
      <c r="I60" s="7" t="s">
        <v>2</v>
      </c>
      <c r="J60" s="3">
        <v>0</v>
      </c>
      <c r="K60" s="3">
        <v>0</v>
      </c>
      <c r="L60" s="3">
        <v>106</v>
      </c>
      <c r="M60" s="3">
        <v>0</v>
      </c>
      <c r="N60" s="3">
        <v>0</v>
      </c>
      <c r="O60" s="3">
        <v>0</v>
      </c>
      <c r="P60" s="4">
        <f t="shared" si="0"/>
        <v>24</v>
      </c>
      <c r="Q60" s="1" t="s">
        <v>14</v>
      </c>
      <c r="R60" s="44">
        <v>15</v>
      </c>
      <c r="S60" s="47">
        <v>300</v>
      </c>
      <c r="T60" s="4"/>
    </row>
    <row r="61" spans="1:20" x14ac:dyDescent="0.25">
      <c r="A61" s="7">
        <v>58</v>
      </c>
      <c r="D61" s="16" t="s">
        <v>182</v>
      </c>
      <c r="E61" s="17"/>
      <c r="F61" s="17"/>
      <c r="G61" s="18"/>
      <c r="H61" s="12">
        <v>72</v>
      </c>
      <c r="I61" s="7" t="s">
        <v>2</v>
      </c>
      <c r="J61" s="3">
        <v>0</v>
      </c>
      <c r="K61" s="3">
        <v>0</v>
      </c>
      <c r="L61" s="3">
        <v>0</v>
      </c>
      <c r="M61" s="3">
        <v>0</v>
      </c>
      <c r="N61" s="3">
        <v>16</v>
      </c>
      <c r="O61" s="3">
        <v>0</v>
      </c>
      <c r="P61" s="4">
        <f t="shared" si="0"/>
        <v>56</v>
      </c>
      <c r="Q61" s="1" t="s">
        <v>14</v>
      </c>
      <c r="R61" s="44">
        <v>150</v>
      </c>
      <c r="S61" s="47">
        <v>600</v>
      </c>
      <c r="T61" s="4"/>
    </row>
    <row r="62" spans="1:20" x14ac:dyDescent="0.25">
      <c r="A62" s="7">
        <v>59</v>
      </c>
      <c r="D62" s="9" t="s">
        <v>207</v>
      </c>
      <c r="E62" s="10"/>
      <c r="F62" s="10"/>
      <c r="G62" s="11"/>
      <c r="H62" s="12">
        <v>150</v>
      </c>
      <c r="I62" s="7" t="s">
        <v>2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4">
        <f t="shared" si="0"/>
        <v>150</v>
      </c>
      <c r="Q62" s="1" t="s">
        <v>14</v>
      </c>
      <c r="R62" s="44">
        <v>50</v>
      </c>
      <c r="S62" s="47">
        <v>200</v>
      </c>
      <c r="T62" s="4"/>
    </row>
    <row r="63" spans="1:20" x14ac:dyDescent="0.25">
      <c r="A63" s="7">
        <v>60</v>
      </c>
      <c r="D63" s="16" t="s">
        <v>130</v>
      </c>
      <c r="E63" s="17"/>
      <c r="F63" s="17"/>
      <c r="G63" s="18"/>
      <c r="H63" s="12">
        <v>14</v>
      </c>
      <c r="I63" s="7" t="s">
        <v>2</v>
      </c>
      <c r="J63" s="3">
        <v>0</v>
      </c>
      <c r="K63" s="3">
        <v>1</v>
      </c>
      <c r="L63" s="3">
        <v>0</v>
      </c>
      <c r="M63" s="3">
        <v>0</v>
      </c>
      <c r="N63" s="3">
        <v>4</v>
      </c>
      <c r="O63" s="3">
        <v>0</v>
      </c>
      <c r="P63" s="4">
        <f t="shared" si="0"/>
        <v>9</v>
      </c>
      <c r="Q63" s="1" t="s">
        <v>14</v>
      </c>
      <c r="R63" s="44">
        <v>20</v>
      </c>
      <c r="S63" s="46">
        <v>200</v>
      </c>
      <c r="T63" s="4"/>
    </row>
    <row r="64" spans="1:20" x14ac:dyDescent="0.25">
      <c r="A64" s="7">
        <v>61</v>
      </c>
      <c r="D64" s="26" t="s">
        <v>203</v>
      </c>
      <c r="E64" s="27"/>
      <c r="F64" s="27"/>
      <c r="G64" s="28"/>
      <c r="H64" s="12">
        <v>172</v>
      </c>
      <c r="I64" s="30" t="s">
        <v>2</v>
      </c>
      <c r="J64" s="3">
        <v>0</v>
      </c>
      <c r="K64" s="3">
        <v>0</v>
      </c>
      <c r="L64" s="3">
        <v>0</v>
      </c>
      <c r="M64" s="3">
        <v>0</v>
      </c>
      <c r="N64" s="3">
        <v>9</v>
      </c>
      <c r="O64" s="3">
        <v>0</v>
      </c>
      <c r="P64" s="4">
        <f t="shared" si="0"/>
        <v>163</v>
      </c>
      <c r="Q64" s="1" t="s">
        <v>14</v>
      </c>
      <c r="R64" s="44">
        <v>0</v>
      </c>
      <c r="S64" s="47">
        <v>0</v>
      </c>
      <c r="T64" s="4"/>
    </row>
    <row r="65" spans="1:20" x14ac:dyDescent="0.25">
      <c r="A65" s="7">
        <v>62</v>
      </c>
      <c r="D65" s="16" t="s">
        <v>65</v>
      </c>
      <c r="E65" s="17"/>
      <c r="F65" s="17"/>
      <c r="G65" s="18"/>
      <c r="H65" s="12">
        <v>10</v>
      </c>
      <c r="I65" s="7" t="s">
        <v>2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4">
        <f t="shared" si="0"/>
        <v>10</v>
      </c>
      <c r="Q65" s="1" t="s">
        <v>14</v>
      </c>
      <c r="R65" s="44">
        <v>10</v>
      </c>
      <c r="S65" s="46">
        <v>50</v>
      </c>
      <c r="T65" s="4"/>
    </row>
    <row r="66" spans="1:20" x14ac:dyDescent="0.25">
      <c r="A66" s="7">
        <v>63</v>
      </c>
      <c r="D66" s="9" t="s">
        <v>208</v>
      </c>
      <c r="E66" s="10"/>
      <c r="F66" s="10"/>
      <c r="G66" s="11"/>
      <c r="H66" s="12">
        <v>21</v>
      </c>
      <c r="I66" s="7" t="s">
        <v>2</v>
      </c>
      <c r="J66" s="3">
        <v>0</v>
      </c>
      <c r="K66" s="3">
        <v>0</v>
      </c>
      <c r="L66" s="3">
        <v>0</v>
      </c>
      <c r="M66" s="3">
        <v>0</v>
      </c>
      <c r="N66" s="3">
        <v>9</v>
      </c>
      <c r="O66" s="3">
        <v>0</v>
      </c>
      <c r="P66" s="4">
        <f t="shared" si="0"/>
        <v>12</v>
      </c>
      <c r="Q66" s="1" t="s">
        <v>14</v>
      </c>
      <c r="R66" s="44">
        <v>10</v>
      </c>
      <c r="S66" s="47">
        <v>50</v>
      </c>
      <c r="T66" s="4"/>
    </row>
    <row r="67" spans="1:20" x14ac:dyDescent="0.25">
      <c r="A67" s="7">
        <v>64</v>
      </c>
      <c r="D67" s="19" t="s">
        <v>165</v>
      </c>
      <c r="E67" s="20"/>
      <c r="F67" s="20"/>
      <c r="G67" s="21"/>
      <c r="H67" s="12">
        <v>2</v>
      </c>
      <c r="I67" s="7" t="s">
        <v>2</v>
      </c>
      <c r="J67" s="3">
        <v>0</v>
      </c>
      <c r="K67" s="3">
        <v>1</v>
      </c>
      <c r="L67" s="3">
        <v>0</v>
      </c>
      <c r="M67" s="3">
        <v>0</v>
      </c>
      <c r="N67" s="3">
        <v>0</v>
      </c>
      <c r="O67" s="3">
        <v>0</v>
      </c>
      <c r="P67" s="4">
        <f t="shared" si="0"/>
        <v>1</v>
      </c>
      <c r="Q67" s="1" t="s">
        <v>14</v>
      </c>
      <c r="R67" s="44">
        <v>50</v>
      </c>
      <c r="S67" s="47">
        <v>150</v>
      </c>
      <c r="T67" s="4"/>
    </row>
    <row r="68" spans="1:20" x14ac:dyDescent="0.25">
      <c r="A68" s="7">
        <v>65</v>
      </c>
      <c r="D68" s="22" t="s">
        <v>211</v>
      </c>
      <c r="E68" s="10"/>
      <c r="F68" s="10"/>
      <c r="G68" s="11"/>
      <c r="H68" s="12">
        <v>1050</v>
      </c>
      <c r="I68" s="8" t="s">
        <v>110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4">
        <f t="shared" ref="P68:P89" si="1">+H68+J68-K68-L68-M68-N68-O68</f>
        <v>1050</v>
      </c>
      <c r="Q68" s="1">
        <v>25</v>
      </c>
      <c r="R68" s="44">
        <v>100</v>
      </c>
      <c r="S68" s="47">
        <v>1000</v>
      </c>
      <c r="T68" s="4"/>
    </row>
    <row r="69" spans="1:20" x14ac:dyDescent="0.25">
      <c r="A69" s="7">
        <v>66</v>
      </c>
      <c r="C69" s="1" t="s">
        <v>14</v>
      </c>
      <c r="D69" s="22" t="s">
        <v>76</v>
      </c>
      <c r="E69" s="10"/>
      <c r="F69" s="10"/>
      <c r="G69" s="11"/>
      <c r="H69" s="12">
        <v>226</v>
      </c>
      <c r="I69" s="8" t="s">
        <v>171</v>
      </c>
      <c r="J69" s="3">
        <v>0</v>
      </c>
      <c r="K69" s="3">
        <v>0</v>
      </c>
      <c r="L69" s="3">
        <v>0</v>
      </c>
      <c r="M69" s="3">
        <v>0</v>
      </c>
      <c r="N69" s="3">
        <v>110</v>
      </c>
      <c r="O69" s="3">
        <v>0</v>
      </c>
      <c r="P69" s="4">
        <f>+H69+J69-K69-L69-M69-N69-O69</f>
        <v>116</v>
      </c>
      <c r="Q69" s="1" t="s">
        <v>14</v>
      </c>
      <c r="R69" s="44">
        <v>50</v>
      </c>
      <c r="S69" s="47">
        <v>100</v>
      </c>
      <c r="T69" s="4"/>
    </row>
    <row r="70" spans="1:20" x14ac:dyDescent="0.25">
      <c r="A70" s="7">
        <v>67</v>
      </c>
      <c r="D70" s="25" t="s">
        <v>147</v>
      </c>
      <c r="H70" s="12">
        <v>184</v>
      </c>
      <c r="I70" s="30" t="s">
        <v>2</v>
      </c>
      <c r="J70" s="3">
        <v>0</v>
      </c>
      <c r="K70" s="3">
        <v>4</v>
      </c>
      <c r="L70" s="3">
        <v>4</v>
      </c>
      <c r="M70" s="3">
        <v>2</v>
      </c>
      <c r="N70" s="3">
        <v>4</v>
      </c>
      <c r="O70" s="3">
        <v>0</v>
      </c>
      <c r="P70" s="4">
        <f t="shared" si="1"/>
        <v>170</v>
      </c>
      <c r="Q70" s="1" t="s">
        <v>14</v>
      </c>
      <c r="R70" s="44">
        <v>50</v>
      </c>
      <c r="S70" s="47">
        <v>100</v>
      </c>
      <c r="T70" s="4"/>
    </row>
    <row r="71" spans="1:20" x14ac:dyDescent="0.25">
      <c r="A71" s="7">
        <v>68</v>
      </c>
      <c r="D71" s="26" t="s">
        <v>80</v>
      </c>
      <c r="E71" s="27"/>
      <c r="F71" s="27"/>
      <c r="G71" s="28"/>
      <c r="H71" s="12">
        <v>70</v>
      </c>
      <c r="I71" s="8" t="s">
        <v>171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4">
        <f t="shared" si="1"/>
        <v>70</v>
      </c>
      <c r="Q71" s="1" t="s">
        <v>14</v>
      </c>
      <c r="R71" s="44">
        <v>20</v>
      </c>
      <c r="S71" s="46">
        <v>200</v>
      </c>
      <c r="T71" s="4"/>
    </row>
    <row r="72" spans="1:20" x14ac:dyDescent="0.25">
      <c r="A72" s="7">
        <v>69</v>
      </c>
      <c r="D72" s="26" t="s">
        <v>194</v>
      </c>
      <c r="E72" s="27"/>
      <c r="F72" s="27"/>
      <c r="G72" s="28"/>
      <c r="H72" s="12">
        <v>235</v>
      </c>
      <c r="I72" s="8" t="s">
        <v>2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  <c r="P72" s="4">
        <f t="shared" si="1"/>
        <v>235</v>
      </c>
      <c r="Q72" s="1" t="s">
        <v>14</v>
      </c>
      <c r="R72" s="44" t="s">
        <v>14</v>
      </c>
      <c r="S72" s="47" t="s">
        <v>14</v>
      </c>
      <c r="T72" s="4"/>
    </row>
    <row r="73" spans="1:20" x14ac:dyDescent="0.25">
      <c r="A73" s="7">
        <v>70</v>
      </c>
      <c r="D73" s="26" t="s">
        <v>167</v>
      </c>
      <c r="E73" s="27"/>
      <c r="F73" s="27"/>
      <c r="G73" s="28"/>
      <c r="H73" s="12">
        <v>50</v>
      </c>
      <c r="I73" s="8" t="s">
        <v>2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4">
        <f t="shared" si="1"/>
        <v>50</v>
      </c>
      <c r="R73" s="44">
        <v>20</v>
      </c>
      <c r="S73" s="46">
        <v>200</v>
      </c>
      <c r="T73" s="4"/>
    </row>
    <row r="74" spans="1:20" x14ac:dyDescent="0.25">
      <c r="A74" s="7">
        <v>71</v>
      </c>
      <c r="D74" s="37" t="s">
        <v>176</v>
      </c>
      <c r="E74" s="17"/>
      <c r="F74" s="33"/>
      <c r="G74" s="33"/>
      <c r="H74" s="12">
        <v>1230</v>
      </c>
      <c r="I74" s="8" t="s">
        <v>2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4">
        <f t="shared" si="1"/>
        <v>1230</v>
      </c>
      <c r="Q74" s="1" t="s">
        <v>14</v>
      </c>
      <c r="R74" s="44">
        <v>100</v>
      </c>
      <c r="S74" s="47">
        <v>500</v>
      </c>
      <c r="T74" s="4"/>
    </row>
    <row r="75" spans="1:20" x14ac:dyDescent="0.25">
      <c r="A75" s="7">
        <v>72</v>
      </c>
      <c r="D75" s="22" t="s">
        <v>209</v>
      </c>
      <c r="E75" s="10"/>
      <c r="F75" s="10"/>
      <c r="G75" s="28"/>
      <c r="H75" s="12">
        <v>32</v>
      </c>
      <c r="I75" s="8" t="s">
        <v>2</v>
      </c>
      <c r="J75" s="3">
        <v>0</v>
      </c>
      <c r="K75" s="3">
        <v>0</v>
      </c>
      <c r="L75" s="3">
        <v>0</v>
      </c>
      <c r="M75" s="3">
        <v>0</v>
      </c>
      <c r="N75" s="3">
        <v>9</v>
      </c>
      <c r="O75" s="3">
        <v>0</v>
      </c>
      <c r="P75" s="4">
        <f t="shared" si="1"/>
        <v>23</v>
      </c>
      <c r="R75" s="44">
        <v>10</v>
      </c>
      <c r="S75" s="46">
        <v>50</v>
      </c>
      <c r="T75" s="4"/>
    </row>
    <row r="76" spans="1:20" x14ac:dyDescent="0.25">
      <c r="A76" s="7">
        <v>73</v>
      </c>
      <c r="D76" s="37" t="s">
        <v>113</v>
      </c>
      <c r="E76" s="17"/>
      <c r="F76" s="17"/>
      <c r="G76" s="33"/>
      <c r="H76" s="12">
        <v>248</v>
      </c>
      <c r="I76" s="8" t="s">
        <v>97</v>
      </c>
      <c r="J76" s="3">
        <v>1668</v>
      </c>
      <c r="K76" s="3">
        <v>98</v>
      </c>
      <c r="L76" s="3">
        <v>143</v>
      </c>
      <c r="M76" s="3">
        <v>108</v>
      </c>
      <c r="N76" s="3">
        <v>115</v>
      </c>
      <c r="O76" s="3">
        <v>0</v>
      </c>
      <c r="P76" s="4">
        <f t="shared" si="1"/>
        <v>1452</v>
      </c>
      <c r="Q76" s="65" t="s">
        <v>121</v>
      </c>
      <c r="R76" s="44">
        <v>300</v>
      </c>
      <c r="S76" s="47">
        <v>1000</v>
      </c>
      <c r="T76" s="4"/>
    </row>
    <row r="77" spans="1:20" x14ac:dyDescent="0.25">
      <c r="A77" s="7">
        <v>74</v>
      </c>
      <c r="D77" s="22" t="s">
        <v>103</v>
      </c>
      <c r="E77" s="10"/>
      <c r="F77" s="10"/>
      <c r="G77" s="28"/>
      <c r="H77" s="12">
        <v>245</v>
      </c>
      <c r="I77" s="8" t="s">
        <v>132</v>
      </c>
      <c r="J77" s="3">
        <v>0</v>
      </c>
      <c r="K77" s="3">
        <v>0</v>
      </c>
      <c r="L77" s="3">
        <v>0</v>
      </c>
      <c r="M77" s="3">
        <v>0</v>
      </c>
      <c r="N77" s="3">
        <v>11</v>
      </c>
      <c r="O77" s="3">
        <v>0</v>
      </c>
      <c r="P77" s="4">
        <f t="shared" si="1"/>
        <v>234</v>
      </c>
      <c r="R77" s="44">
        <v>60</v>
      </c>
      <c r="S77" s="47">
        <v>100</v>
      </c>
      <c r="T77" s="4"/>
    </row>
    <row r="78" spans="1:20" x14ac:dyDescent="0.25">
      <c r="A78" s="8">
        <v>75</v>
      </c>
      <c r="D78" s="49" t="s">
        <v>108</v>
      </c>
      <c r="E78" s="20"/>
      <c r="F78" s="20"/>
      <c r="G78" s="20"/>
      <c r="H78" s="12">
        <v>12500</v>
      </c>
      <c r="I78" s="8" t="s">
        <v>110</v>
      </c>
      <c r="J78" s="3">
        <v>0</v>
      </c>
      <c r="K78" s="3">
        <v>2000</v>
      </c>
      <c r="L78" s="3">
        <v>2000</v>
      </c>
      <c r="M78" s="3">
        <v>0</v>
      </c>
      <c r="N78" s="3">
        <v>2500</v>
      </c>
      <c r="O78" s="3">
        <v>0</v>
      </c>
      <c r="P78" s="99">
        <f t="shared" si="1"/>
        <v>6000</v>
      </c>
      <c r="R78" s="95">
        <v>10000</v>
      </c>
      <c r="S78" s="96">
        <v>30000</v>
      </c>
      <c r="T78" s="4"/>
    </row>
    <row r="79" spans="1:20" x14ac:dyDescent="0.25">
      <c r="A79" s="48">
        <v>76</v>
      </c>
      <c r="B79" s="41"/>
      <c r="C79" s="41"/>
      <c r="D79" s="22" t="s">
        <v>115</v>
      </c>
      <c r="E79" s="10"/>
      <c r="F79" s="10"/>
      <c r="G79" s="11"/>
      <c r="H79" s="12">
        <v>209</v>
      </c>
      <c r="I79" s="62" t="s">
        <v>2</v>
      </c>
      <c r="J79" s="3">
        <v>0</v>
      </c>
      <c r="K79" s="3">
        <v>4</v>
      </c>
      <c r="L79" s="3">
        <v>0</v>
      </c>
      <c r="M79" s="3">
        <v>2</v>
      </c>
      <c r="N79" s="3">
        <v>4</v>
      </c>
      <c r="O79" s="3">
        <v>0</v>
      </c>
      <c r="P79" s="64">
        <f t="shared" si="1"/>
        <v>199</v>
      </c>
      <c r="R79" s="64">
        <v>50</v>
      </c>
      <c r="S79" s="64">
        <v>100</v>
      </c>
      <c r="T79" s="4" t="s">
        <v>14</v>
      </c>
    </row>
    <row r="80" spans="1:20" x14ac:dyDescent="0.25">
      <c r="A80" s="73">
        <v>77</v>
      </c>
      <c r="B80" s="41"/>
      <c r="C80" s="41"/>
      <c r="D80" s="49" t="s">
        <v>134</v>
      </c>
      <c r="E80" s="35"/>
      <c r="F80" s="35"/>
      <c r="G80" s="60"/>
      <c r="H80" s="12">
        <v>99</v>
      </c>
      <c r="I80" s="8" t="s">
        <v>2</v>
      </c>
      <c r="J80" s="3">
        <v>0</v>
      </c>
      <c r="K80" s="3">
        <v>0</v>
      </c>
      <c r="L80" s="3">
        <v>0</v>
      </c>
      <c r="M80" s="3">
        <v>13</v>
      </c>
      <c r="N80" s="3">
        <v>10</v>
      </c>
      <c r="O80" s="3">
        <v>0</v>
      </c>
      <c r="P80" s="4">
        <f t="shared" si="1"/>
        <v>76</v>
      </c>
      <c r="Q80" s="4"/>
      <c r="R80" s="4">
        <v>20</v>
      </c>
      <c r="S80" s="4">
        <v>50</v>
      </c>
      <c r="T80" s="4"/>
    </row>
    <row r="81" spans="1:20" x14ac:dyDescent="0.25">
      <c r="A81" s="8">
        <v>78</v>
      </c>
      <c r="D81" s="22" t="s">
        <v>123</v>
      </c>
      <c r="E81" s="10"/>
      <c r="F81" s="10"/>
      <c r="G81" s="11"/>
      <c r="H81" s="12">
        <v>3400</v>
      </c>
      <c r="I81" s="8" t="s">
        <v>2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  <c r="P81" s="4">
        <f t="shared" si="1"/>
        <v>3400</v>
      </c>
      <c r="Q81" s="4"/>
      <c r="R81" s="4">
        <v>500</v>
      </c>
      <c r="S81" s="4">
        <v>2500</v>
      </c>
      <c r="T81" s="4"/>
    </row>
    <row r="82" spans="1:20" x14ac:dyDescent="0.25">
      <c r="A82" s="48">
        <v>79</v>
      </c>
      <c r="B82" s="41"/>
      <c r="C82" s="41"/>
      <c r="D82" s="22" t="s">
        <v>177</v>
      </c>
      <c r="E82" s="10"/>
      <c r="F82" s="10"/>
      <c r="G82" s="11"/>
      <c r="H82" s="4">
        <v>2000</v>
      </c>
      <c r="I82" s="8" t="s">
        <v>110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  <c r="P82" s="4">
        <f t="shared" si="1"/>
        <v>2000</v>
      </c>
      <c r="Q82" s="4" t="s">
        <v>110</v>
      </c>
      <c r="R82" s="4">
        <v>250</v>
      </c>
      <c r="S82" s="4">
        <v>2000</v>
      </c>
      <c r="T82" s="4"/>
    </row>
    <row r="83" spans="1:20" x14ac:dyDescent="0.25">
      <c r="A83" s="48">
        <v>80</v>
      </c>
      <c r="B83" s="41"/>
      <c r="C83" s="41"/>
      <c r="D83" s="37" t="s">
        <v>178</v>
      </c>
      <c r="E83" s="17"/>
      <c r="F83" s="17"/>
      <c r="G83" s="18"/>
      <c r="H83" s="64">
        <v>11000</v>
      </c>
      <c r="I83" s="62" t="s">
        <v>110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64">
        <f t="shared" si="1"/>
        <v>11000</v>
      </c>
      <c r="Q83" s="64" t="s">
        <v>110</v>
      </c>
      <c r="R83" s="64">
        <v>3000</v>
      </c>
      <c r="S83" s="64">
        <v>10000</v>
      </c>
      <c r="T83" s="4"/>
    </row>
    <row r="84" spans="1:20" x14ac:dyDescent="0.25">
      <c r="A84" s="48">
        <v>81</v>
      </c>
      <c r="B84" s="11"/>
      <c r="C84" s="23"/>
      <c r="D84" s="68" t="s">
        <v>192</v>
      </c>
      <c r="E84" s="27"/>
      <c r="F84" s="27"/>
      <c r="G84" s="28"/>
      <c r="H84" s="74">
        <v>900</v>
      </c>
      <c r="I84" s="75" t="s">
        <v>110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4">
        <f t="shared" si="1"/>
        <v>900</v>
      </c>
      <c r="Q84" s="4"/>
      <c r="R84" s="4">
        <v>10</v>
      </c>
      <c r="S84" s="4">
        <v>50</v>
      </c>
      <c r="T84" s="4"/>
    </row>
    <row r="85" spans="1:20" x14ac:dyDescent="0.25">
      <c r="A85" s="8">
        <v>82</v>
      </c>
      <c r="D85" s="68" t="s">
        <v>213</v>
      </c>
      <c r="E85" s="27"/>
      <c r="F85" s="27"/>
      <c r="G85" s="28"/>
      <c r="H85" s="4">
        <v>0</v>
      </c>
      <c r="I85" s="8">
        <v>0</v>
      </c>
      <c r="J85" s="3">
        <v>40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4">
        <f t="shared" si="1"/>
        <v>40</v>
      </c>
      <c r="Q85" s="4"/>
      <c r="R85" s="4">
        <v>20</v>
      </c>
      <c r="S85" s="4">
        <v>100</v>
      </c>
      <c r="T85" s="4"/>
    </row>
    <row r="86" spans="1:20" ht="15.75" customHeight="1" x14ac:dyDescent="0.25">
      <c r="A86" s="8">
        <v>83</v>
      </c>
      <c r="D86" s="79" t="s">
        <v>150</v>
      </c>
      <c r="E86" s="80"/>
      <c r="F86" s="81"/>
      <c r="G86" s="82"/>
      <c r="H86" s="4">
        <v>650</v>
      </c>
      <c r="I86" s="8" t="s">
        <v>2</v>
      </c>
      <c r="J86" s="3">
        <v>0</v>
      </c>
      <c r="K86" s="3">
        <v>32</v>
      </c>
      <c r="L86" s="3">
        <v>10</v>
      </c>
      <c r="M86" s="3">
        <v>0</v>
      </c>
      <c r="N86" s="3">
        <v>100</v>
      </c>
      <c r="O86" s="3">
        <v>0</v>
      </c>
      <c r="P86" s="4">
        <f t="shared" si="1"/>
        <v>508</v>
      </c>
      <c r="Q86" s="4"/>
      <c r="R86" s="4">
        <v>75</v>
      </c>
      <c r="S86" s="4">
        <v>500</v>
      </c>
      <c r="T86" s="4"/>
    </row>
    <row r="87" spans="1:20" x14ac:dyDescent="0.25">
      <c r="A87" s="8">
        <v>84</v>
      </c>
      <c r="D87" s="22" t="s">
        <v>183</v>
      </c>
      <c r="E87" s="10"/>
      <c r="F87" s="10"/>
      <c r="G87" s="11"/>
      <c r="H87" s="23">
        <v>554</v>
      </c>
      <c r="I87" s="8" t="s">
        <v>2</v>
      </c>
      <c r="J87" s="3">
        <v>0</v>
      </c>
      <c r="K87" s="3">
        <v>0</v>
      </c>
      <c r="L87" s="3">
        <v>0</v>
      </c>
      <c r="M87" s="3">
        <v>10</v>
      </c>
      <c r="N87" s="3">
        <v>0</v>
      </c>
      <c r="O87" s="3">
        <v>0</v>
      </c>
      <c r="P87" s="4">
        <f t="shared" si="1"/>
        <v>544</v>
      </c>
      <c r="Q87" s="4"/>
      <c r="R87" s="4">
        <v>20</v>
      </c>
      <c r="S87" s="4">
        <v>300</v>
      </c>
      <c r="T87" s="4"/>
    </row>
    <row r="88" spans="1:20" x14ac:dyDescent="0.25">
      <c r="A88" s="8">
        <v>85</v>
      </c>
      <c r="D88" s="49" t="s">
        <v>199</v>
      </c>
      <c r="E88" s="20"/>
      <c r="F88" s="20"/>
      <c r="G88" s="21"/>
      <c r="H88" s="23">
        <v>118</v>
      </c>
      <c r="I88" s="8" t="s">
        <v>2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4">
        <f t="shared" si="1"/>
        <v>118</v>
      </c>
      <c r="Q88" s="4"/>
      <c r="R88" s="4">
        <v>10</v>
      </c>
      <c r="S88" s="4">
        <v>200</v>
      </c>
      <c r="T88" s="4"/>
    </row>
    <row r="89" spans="1:20" x14ac:dyDescent="0.25">
      <c r="A89" s="77">
        <v>86</v>
      </c>
      <c r="D89" s="68" t="s">
        <v>206</v>
      </c>
      <c r="E89" s="27"/>
      <c r="F89" s="27"/>
      <c r="G89" s="28"/>
      <c r="H89" s="74">
        <v>6</v>
      </c>
      <c r="I89" s="75" t="s">
        <v>171</v>
      </c>
      <c r="J89" s="3">
        <v>0</v>
      </c>
      <c r="K89" s="3">
        <v>0</v>
      </c>
      <c r="L89" s="3">
        <v>0</v>
      </c>
      <c r="M89" s="3">
        <v>0</v>
      </c>
      <c r="N89" s="3">
        <v>0</v>
      </c>
      <c r="O89" s="3">
        <v>0</v>
      </c>
      <c r="P89" s="4">
        <f t="shared" si="1"/>
        <v>6</v>
      </c>
      <c r="Q89" s="4"/>
      <c r="R89" s="4" t="s">
        <v>14</v>
      </c>
      <c r="S89" s="4" t="s">
        <v>14</v>
      </c>
      <c r="T89" s="4"/>
    </row>
  </sheetData>
  <pageMargins left="0.75" right="0.75" top="1" bottom="1" header="0.5" footer="0.5"/>
  <pageSetup paperSize="9" orientation="portrait" r:id="rId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03C541-344D-45F4-87D0-BB39EC899EA4}">
  <dimension ref="A1:T96"/>
  <sheetViews>
    <sheetView tabSelected="1" zoomScaleNormal="100" workbookViewId="0">
      <selection activeCell="A96" sqref="A96"/>
    </sheetView>
  </sheetViews>
  <sheetFormatPr defaultRowHeight="15" x14ac:dyDescent="0.25"/>
  <cols>
    <col min="1" max="1" width="5.5703125" customWidth="1"/>
    <col min="2" max="3" width="9.140625" hidden="1" customWidth="1"/>
    <col min="6" max="6" width="12.7109375" customWidth="1"/>
    <col min="8" max="8" width="10.140625" customWidth="1"/>
    <col min="9" max="9" width="10" customWidth="1"/>
    <col min="10" max="10" width="7.7109375" customWidth="1"/>
    <col min="11" max="11" width="10.7109375" customWidth="1"/>
    <col min="12" max="12" width="10.140625" customWidth="1"/>
    <col min="13" max="13" width="11.85546875" customWidth="1"/>
    <col min="14" max="15" width="11.7109375" customWidth="1"/>
    <col min="16" max="16" width="10.140625" customWidth="1"/>
    <col min="17" max="17" width="4.7109375" customWidth="1"/>
    <col min="18" max="18" width="10.140625" customWidth="1"/>
    <col min="19" max="19" width="11.5703125" customWidth="1"/>
    <col min="20" max="20" width="6.28515625" customWidth="1"/>
  </cols>
  <sheetData>
    <row r="1" spans="1:20" x14ac:dyDescent="0.25">
      <c r="G1" s="1"/>
      <c r="P1">
        <f>+H1+J1-K1-L1-M1-N1-O1</f>
        <v>0</v>
      </c>
    </row>
    <row r="2" spans="1:20" x14ac:dyDescent="0.25">
      <c r="A2" t="s">
        <v>14</v>
      </c>
      <c r="D2" s="78" t="s">
        <v>214</v>
      </c>
      <c r="O2" s="38" t="s">
        <v>14</v>
      </c>
      <c r="S2" s="50">
        <v>45656</v>
      </c>
    </row>
    <row r="3" spans="1:20" x14ac:dyDescent="0.25">
      <c r="A3" s="3" t="s">
        <v>15</v>
      </c>
      <c r="D3" s="9" t="s">
        <v>17</v>
      </c>
      <c r="E3" s="10"/>
      <c r="F3" s="10"/>
      <c r="G3" s="11"/>
      <c r="H3" s="12" t="s">
        <v>18</v>
      </c>
      <c r="I3" s="4" t="s">
        <v>19</v>
      </c>
      <c r="J3" s="3" t="s">
        <v>20</v>
      </c>
      <c r="K3" s="5">
        <v>46059</v>
      </c>
      <c r="L3" s="6">
        <v>46066</v>
      </c>
      <c r="M3" s="5">
        <v>46073</v>
      </c>
      <c r="N3" s="5">
        <v>46080</v>
      </c>
      <c r="O3" s="6">
        <v>0</v>
      </c>
      <c r="P3" s="3" t="s">
        <v>21</v>
      </c>
      <c r="R3" s="42" t="s">
        <v>105</v>
      </c>
      <c r="S3" s="45" t="s">
        <v>104</v>
      </c>
      <c r="T3" s="4"/>
    </row>
    <row r="4" spans="1:20" x14ac:dyDescent="0.25">
      <c r="A4" s="7">
        <v>1</v>
      </c>
      <c r="D4" s="13" t="s">
        <v>16</v>
      </c>
      <c r="E4" s="14"/>
      <c r="F4" s="14"/>
      <c r="G4" s="15"/>
      <c r="H4" s="12">
        <v>566</v>
      </c>
      <c r="I4" s="7" t="s">
        <v>1</v>
      </c>
      <c r="J4" s="3">
        <v>0</v>
      </c>
      <c r="K4" s="3">
        <v>69</v>
      </c>
      <c r="L4" s="3">
        <v>25</v>
      </c>
      <c r="M4" s="3">
        <v>25</v>
      </c>
      <c r="N4" s="3">
        <v>0</v>
      </c>
      <c r="O4" s="3">
        <v>0</v>
      </c>
      <c r="P4" s="4">
        <f t="shared" ref="P4:P74" si="0">+H4+J4-K4-L4-M4-N4-O4</f>
        <v>447</v>
      </c>
      <c r="Q4" t="s">
        <v>173</v>
      </c>
      <c r="R4" s="43">
        <v>150</v>
      </c>
      <c r="S4" s="46">
        <v>500</v>
      </c>
      <c r="T4" s="4" t="s">
        <v>14</v>
      </c>
    </row>
    <row r="5" spans="1:20" x14ac:dyDescent="0.25">
      <c r="A5" s="7">
        <v>2</v>
      </c>
      <c r="D5" s="9" t="s">
        <v>73</v>
      </c>
      <c r="E5" s="10"/>
      <c r="F5" s="10"/>
      <c r="G5" s="11"/>
      <c r="H5" s="12">
        <v>590</v>
      </c>
      <c r="I5" s="7" t="s">
        <v>2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4">
        <f t="shared" ref="P5" si="1">+H5+J5-K5-L5-M5-N5-O5</f>
        <v>590</v>
      </c>
      <c r="Q5" s="1" t="s">
        <v>14</v>
      </c>
      <c r="R5" s="44">
        <v>0</v>
      </c>
      <c r="S5" s="46"/>
      <c r="T5" s="4"/>
    </row>
    <row r="6" spans="1:20" x14ac:dyDescent="0.25">
      <c r="A6" s="7">
        <v>3</v>
      </c>
      <c r="D6" s="16" t="s">
        <v>23</v>
      </c>
      <c r="E6" s="17"/>
      <c r="F6" s="17"/>
      <c r="G6" s="18"/>
      <c r="H6" s="12">
        <v>10</v>
      </c>
      <c r="I6" s="7" t="s">
        <v>2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4">
        <f t="shared" si="0"/>
        <v>10</v>
      </c>
      <c r="Q6" s="1" t="s">
        <v>14</v>
      </c>
      <c r="R6" s="44">
        <v>6</v>
      </c>
      <c r="S6" s="47">
        <v>10</v>
      </c>
      <c r="T6" s="4"/>
    </row>
    <row r="7" spans="1:20" x14ac:dyDescent="0.25">
      <c r="A7" s="7">
        <v>4</v>
      </c>
      <c r="D7" s="9" t="s">
        <v>3</v>
      </c>
      <c r="E7" s="10"/>
      <c r="F7" s="10"/>
      <c r="G7" s="11"/>
      <c r="H7" s="12">
        <v>20</v>
      </c>
      <c r="I7" s="7" t="s">
        <v>2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4">
        <f t="shared" si="0"/>
        <v>20</v>
      </c>
      <c r="Q7" s="1" t="s">
        <v>14</v>
      </c>
      <c r="R7" s="44">
        <v>6</v>
      </c>
      <c r="S7" s="47">
        <v>10</v>
      </c>
      <c r="T7" s="4"/>
    </row>
    <row r="8" spans="1:20" x14ac:dyDescent="0.25">
      <c r="A8" s="7">
        <v>5</v>
      </c>
      <c r="D8" s="55" t="s">
        <v>184</v>
      </c>
      <c r="E8" s="56"/>
      <c r="F8" s="56"/>
      <c r="G8" s="57"/>
      <c r="H8" s="12">
        <v>645</v>
      </c>
      <c r="I8" s="59" t="s">
        <v>1</v>
      </c>
      <c r="J8" s="3">
        <v>0</v>
      </c>
      <c r="K8" s="3">
        <v>50</v>
      </c>
      <c r="L8" s="3">
        <v>10</v>
      </c>
      <c r="M8" s="3">
        <v>10</v>
      </c>
      <c r="N8" s="3">
        <v>0</v>
      </c>
      <c r="O8" s="3">
        <v>0</v>
      </c>
      <c r="P8" s="46">
        <f t="shared" ref="P8" si="2">+H8+J8-K8-L8-M8-N8-O8</f>
        <v>575</v>
      </c>
      <c r="Q8" s="1" t="s">
        <v>75</v>
      </c>
      <c r="R8" s="44">
        <v>150</v>
      </c>
      <c r="S8" s="47">
        <v>400</v>
      </c>
      <c r="T8" s="4"/>
    </row>
    <row r="9" spans="1:20" x14ac:dyDescent="0.25">
      <c r="A9" s="7">
        <v>6</v>
      </c>
      <c r="D9" s="9" t="s">
        <v>24</v>
      </c>
      <c r="E9" s="10"/>
      <c r="F9" s="10"/>
      <c r="G9" s="11"/>
      <c r="H9" s="12">
        <v>100</v>
      </c>
      <c r="I9" s="7" t="s">
        <v>171</v>
      </c>
      <c r="J9" s="3">
        <v>0</v>
      </c>
      <c r="K9" s="3">
        <v>5</v>
      </c>
      <c r="L9" s="3">
        <v>20</v>
      </c>
      <c r="M9" s="3">
        <v>10</v>
      </c>
      <c r="N9" s="3">
        <v>0</v>
      </c>
      <c r="O9" s="3">
        <v>0</v>
      </c>
      <c r="P9" s="4">
        <f t="shared" si="0"/>
        <v>65</v>
      </c>
      <c r="Q9" s="1" t="s">
        <v>132</v>
      </c>
      <c r="R9" s="44">
        <v>100</v>
      </c>
      <c r="S9" s="47">
        <v>400</v>
      </c>
      <c r="T9" s="4"/>
    </row>
    <row r="10" spans="1:20" x14ac:dyDescent="0.25">
      <c r="A10" s="7">
        <v>7</v>
      </c>
      <c r="D10" s="16" t="s">
        <v>101</v>
      </c>
      <c r="E10" s="17"/>
      <c r="F10" s="17"/>
      <c r="G10" s="18"/>
      <c r="H10" s="12">
        <v>717</v>
      </c>
      <c r="I10" s="7" t="s">
        <v>171</v>
      </c>
      <c r="J10" s="3">
        <v>0</v>
      </c>
      <c r="K10" s="3">
        <v>2</v>
      </c>
      <c r="L10" s="3">
        <v>11</v>
      </c>
      <c r="M10" s="3">
        <v>15</v>
      </c>
      <c r="N10" s="3">
        <v>0</v>
      </c>
      <c r="O10" s="3">
        <v>0</v>
      </c>
      <c r="P10" s="4">
        <f t="shared" si="0"/>
        <v>689</v>
      </c>
      <c r="Q10" s="1" t="s">
        <v>171</v>
      </c>
      <c r="R10" s="44">
        <v>200</v>
      </c>
      <c r="S10" s="47">
        <v>500</v>
      </c>
      <c r="T10" s="4"/>
    </row>
    <row r="11" spans="1:20" x14ac:dyDescent="0.25">
      <c r="A11" s="7">
        <v>8</v>
      </c>
      <c r="D11" s="9" t="s">
        <v>228</v>
      </c>
      <c r="E11" s="10"/>
      <c r="F11" s="10"/>
      <c r="G11" s="11"/>
      <c r="H11" s="12">
        <v>75</v>
      </c>
      <c r="I11" s="7" t="s">
        <v>171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4">
        <f t="shared" si="0"/>
        <v>75</v>
      </c>
      <c r="Q11" s="1" t="s">
        <v>14</v>
      </c>
      <c r="R11" s="44">
        <v>50</v>
      </c>
      <c r="S11" s="47">
        <v>300</v>
      </c>
      <c r="T11" s="4"/>
    </row>
    <row r="12" spans="1:20" x14ac:dyDescent="0.25">
      <c r="A12" s="7">
        <v>9</v>
      </c>
      <c r="D12" s="16" t="s">
        <v>174</v>
      </c>
      <c r="E12" s="17"/>
      <c r="F12" s="17"/>
      <c r="G12" s="18"/>
      <c r="H12" s="12">
        <v>80</v>
      </c>
      <c r="I12" s="7" t="s">
        <v>2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4">
        <f t="shared" si="0"/>
        <v>80</v>
      </c>
      <c r="Q12" s="1" t="s">
        <v>14</v>
      </c>
      <c r="R12" s="44">
        <v>45</v>
      </c>
      <c r="S12" s="47">
        <v>200</v>
      </c>
      <c r="T12" s="4"/>
    </row>
    <row r="13" spans="1:20" x14ac:dyDescent="0.25">
      <c r="A13" s="7">
        <v>10</v>
      </c>
      <c r="D13" s="68" t="s">
        <v>206</v>
      </c>
      <c r="E13" s="27"/>
      <c r="F13" s="27"/>
      <c r="G13" s="28"/>
      <c r="H13" s="74">
        <v>3</v>
      </c>
      <c r="I13" s="75" t="s">
        <v>171</v>
      </c>
      <c r="J13" s="3">
        <v>10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4">
        <f t="shared" si="0"/>
        <v>13</v>
      </c>
      <c r="Q13" s="4"/>
      <c r="R13" s="4">
        <v>5</v>
      </c>
      <c r="S13" s="4">
        <v>10</v>
      </c>
      <c r="T13" s="4"/>
    </row>
    <row r="14" spans="1:20" x14ac:dyDescent="0.25">
      <c r="A14" s="7">
        <v>11</v>
      </c>
      <c r="D14" s="16" t="s">
        <v>7</v>
      </c>
      <c r="E14" s="17"/>
      <c r="F14" s="17"/>
      <c r="G14" s="18"/>
      <c r="H14" s="12">
        <v>9</v>
      </c>
      <c r="I14" s="7" t="s">
        <v>171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4">
        <f t="shared" si="0"/>
        <v>9</v>
      </c>
      <c r="Q14" s="1" t="s">
        <v>132</v>
      </c>
      <c r="R14" s="44">
        <v>10</v>
      </c>
      <c r="S14" s="47">
        <v>50</v>
      </c>
      <c r="T14" s="4"/>
    </row>
    <row r="15" spans="1:20" x14ac:dyDescent="0.25">
      <c r="A15" s="7">
        <v>12</v>
      </c>
      <c r="D15" s="9" t="s">
        <v>198</v>
      </c>
      <c r="E15" s="10"/>
      <c r="F15" s="10"/>
      <c r="G15" s="11"/>
      <c r="H15" s="12">
        <v>5</v>
      </c>
      <c r="I15" s="7" t="s">
        <v>171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4">
        <f t="shared" si="0"/>
        <v>5</v>
      </c>
      <c r="Q15" s="1" t="s">
        <v>132</v>
      </c>
      <c r="R15" s="44">
        <v>5</v>
      </c>
      <c r="S15" s="47">
        <v>50</v>
      </c>
      <c r="T15" s="4"/>
    </row>
    <row r="16" spans="1:20" x14ac:dyDescent="0.25">
      <c r="A16" s="7">
        <v>13</v>
      </c>
      <c r="D16" s="9" t="s">
        <v>216</v>
      </c>
      <c r="E16" s="10"/>
      <c r="F16" s="10"/>
      <c r="G16" s="11"/>
      <c r="H16" s="12">
        <v>110</v>
      </c>
      <c r="I16" s="7" t="s">
        <v>2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4">
        <f t="shared" ref="P16:P23" si="3">+H16+J16-K16-L16-M16-N16-O16</f>
        <v>110</v>
      </c>
      <c r="Q16" s="1" t="s">
        <v>14</v>
      </c>
      <c r="R16" s="44">
        <v>50</v>
      </c>
      <c r="S16" s="47">
        <v>150</v>
      </c>
      <c r="T16" s="4"/>
    </row>
    <row r="17" spans="1:20" x14ac:dyDescent="0.25">
      <c r="A17" s="7">
        <v>14</v>
      </c>
      <c r="D17" s="9" t="s">
        <v>215</v>
      </c>
      <c r="E17" s="10"/>
      <c r="F17" s="10"/>
      <c r="G17" s="11"/>
      <c r="H17" s="12">
        <v>68</v>
      </c>
      <c r="I17" s="7" t="s">
        <v>2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4">
        <f t="shared" si="3"/>
        <v>68</v>
      </c>
      <c r="Q17" s="1" t="s">
        <v>14</v>
      </c>
      <c r="R17" s="44">
        <v>20</v>
      </c>
      <c r="S17" s="46">
        <v>50</v>
      </c>
      <c r="T17" s="4"/>
    </row>
    <row r="18" spans="1:20" x14ac:dyDescent="0.25">
      <c r="A18" s="7">
        <v>15</v>
      </c>
      <c r="D18" s="9" t="s">
        <v>218</v>
      </c>
      <c r="E18" s="10"/>
      <c r="F18" s="10"/>
      <c r="G18" s="11"/>
      <c r="H18" s="12">
        <v>68</v>
      </c>
      <c r="I18" s="7" t="s">
        <v>2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4">
        <f t="shared" si="3"/>
        <v>68</v>
      </c>
      <c r="Q18" s="1" t="s">
        <v>14</v>
      </c>
      <c r="R18" s="44">
        <v>20</v>
      </c>
      <c r="S18" s="47">
        <v>50</v>
      </c>
      <c r="T18" s="4"/>
    </row>
    <row r="19" spans="1:20" x14ac:dyDescent="0.25">
      <c r="A19" s="7">
        <v>16</v>
      </c>
      <c r="D19" s="9" t="s">
        <v>138</v>
      </c>
      <c r="E19" s="10"/>
      <c r="F19" s="10"/>
      <c r="G19" s="11"/>
      <c r="H19" s="12">
        <v>68</v>
      </c>
      <c r="I19" s="7" t="s">
        <v>2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4">
        <f t="shared" si="3"/>
        <v>68</v>
      </c>
      <c r="Q19" s="1"/>
      <c r="R19" s="44">
        <v>20</v>
      </c>
      <c r="S19" s="47">
        <v>50</v>
      </c>
      <c r="T19" s="4"/>
    </row>
    <row r="20" spans="1:20" x14ac:dyDescent="0.25">
      <c r="A20" s="7">
        <v>17</v>
      </c>
      <c r="D20" s="16" t="s">
        <v>230</v>
      </c>
      <c r="E20" s="17"/>
      <c r="F20" s="17"/>
      <c r="G20" s="18"/>
      <c r="H20" s="12">
        <v>65</v>
      </c>
      <c r="I20" s="7" t="s">
        <v>2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4">
        <f t="shared" si="3"/>
        <v>65</v>
      </c>
      <c r="Q20" s="1" t="s">
        <v>14</v>
      </c>
      <c r="R20" s="44">
        <v>30</v>
      </c>
      <c r="S20" s="47">
        <v>70</v>
      </c>
      <c r="T20" s="4"/>
    </row>
    <row r="21" spans="1:20" x14ac:dyDescent="0.25">
      <c r="A21" s="7">
        <v>18</v>
      </c>
      <c r="D21" s="12" t="s">
        <v>231</v>
      </c>
      <c r="E21" s="23"/>
      <c r="F21" s="23"/>
      <c r="G21" s="23"/>
      <c r="H21" s="12">
        <v>65</v>
      </c>
      <c r="I21" s="7" t="s">
        <v>2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4">
        <f t="shared" si="3"/>
        <v>65</v>
      </c>
      <c r="Q21" s="1" t="s">
        <v>14</v>
      </c>
      <c r="R21" s="44">
        <v>30</v>
      </c>
      <c r="S21" s="46">
        <v>70</v>
      </c>
      <c r="T21" s="4"/>
    </row>
    <row r="22" spans="1:20" x14ac:dyDescent="0.25">
      <c r="A22" s="7">
        <v>19</v>
      </c>
      <c r="D22" s="9" t="s">
        <v>232</v>
      </c>
      <c r="E22" s="10"/>
      <c r="F22" s="10"/>
      <c r="G22" s="11"/>
      <c r="H22" s="12">
        <v>65</v>
      </c>
      <c r="I22" s="7" t="s">
        <v>2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4">
        <f t="shared" si="3"/>
        <v>65</v>
      </c>
      <c r="Q22" s="1"/>
      <c r="R22" s="44">
        <v>30</v>
      </c>
      <c r="S22" s="46">
        <v>70</v>
      </c>
      <c r="T22" s="4"/>
    </row>
    <row r="23" spans="1:20" x14ac:dyDescent="0.25">
      <c r="A23" s="7">
        <v>20</v>
      </c>
      <c r="D23" s="9" t="s">
        <v>233</v>
      </c>
      <c r="E23" s="10"/>
      <c r="F23" s="10"/>
      <c r="G23" s="11"/>
      <c r="H23" s="12">
        <v>65</v>
      </c>
      <c r="I23" s="7" t="s">
        <v>2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4">
        <f t="shared" si="3"/>
        <v>65</v>
      </c>
      <c r="Q23" s="1"/>
      <c r="R23" s="44">
        <v>30</v>
      </c>
      <c r="S23" s="46">
        <v>70</v>
      </c>
      <c r="T23" s="4"/>
    </row>
    <row r="24" spans="1:20" x14ac:dyDescent="0.25">
      <c r="A24" s="7">
        <v>21</v>
      </c>
      <c r="D24" s="16" t="s">
        <v>28</v>
      </c>
      <c r="E24" s="17"/>
      <c r="F24" s="17"/>
      <c r="G24" s="18"/>
      <c r="H24" s="12">
        <v>62</v>
      </c>
      <c r="I24" s="7" t="s">
        <v>2</v>
      </c>
      <c r="J24" s="3">
        <v>100</v>
      </c>
      <c r="K24" s="3">
        <v>0</v>
      </c>
      <c r="L24" s="3">
        <v>3</v>
      </c>
      <c r="M24" s="3">
        <v>0</v>
      </c>
      <c r="N24" s="3">
        <v>0</v>
      </c>
      <c r="O24" s="3">
        <v>0</v>
      </c>
      <c r="P24" s="4">
        <f t="shared" si="0"/>
        <v>159</v>
      </c>
      <c r="Q24" s="1" t="s">
        <v>14</v>
      </c>
      <c r="R24" s="44">
        <v>50</v>
      </c>
      <c r="S24" s="47">
        <v>100</v>
      </c>
      <c r="T24" s="4"/>
    </row>
    <row r="25" spans="1:20" ht="15.75" thickBot="1" x14ac:dyDescent="0.3">
      <c r="A25" s="7">
        <v>22</v>
      </c>
      <c r="D25" s="13" t="s">
        <v>29</v>
      </c>
      <c r="E25" s="14"/>
      <c r="F25" s="14"/>
      <c r="G25" s="15"/>
      <c r="H25" s="12">
        <v>62</v>
      </c>
      <c r="I25" s="7" t="s">
        <v>2</v>
      </c>
      <c r="J25" s="3">
        <v>100</v>
      </c>
      <c r="K25" s="3">
        <v>0</v>
      </c>
      <c r="L25" s="3">
        <v>3</v>
      </c>
      <c r="M25" s="3">
        <v>0</v>
      </c>
      <c r="N25" s="3">
        <v>0</v>
      </c>
      <c r="O25" s="3">
        <v>0</v>
      </c>
      <c r="P25" s="4">
        <f t="shared" si="0"/>
        <v>159</v>
      </c>
      <c r="Q25" s="1" t="s">
        <v>14</v>
      </c>
      <c r="R25" s="44">
        <v>50</v>
      </c>
      <c r="S25" s="47">
        <v>100</v>
      </c>
      <c r="T25" s="4"/>
    </row>
    <row r="26" spans="1:20" ht="15.75" thickBot="1" x14ac:dyDescent="0.3">
      <c r="A26" s="7">
        <v>23</v>
      </c>
      <c r="D26" s="102" t="s">
        <v>200</v>
      </c>
      <c r="E26" s="103"/>
      <c r="F26" s="103"/>
      <c r="G26" s="104"/>
      <c r="H26" s="101">
        <v>20</v>
      </c>
      <c r="I26" s="7" t="s">
        <v>2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4">
        <f t="shared" si="0"/>
        <v>20</v>
      </c>
      <c r="Q26" s="1"/>
      <c r="R26" s="44">
        <v>10</v>
      </c>
      <c r="S26" s="47">
        <v>50</v>
      </c>
      <c r="T26" s="4"/>
    </row>
    <row r="27" spans="1:20" x14ac:dyDescent="0.25">
      <c r="A27" s="7">
        <v>24</v>
      </c>
      <c r="D27" s="19" t="s">
        <v>129</v>
      </c>
      <c r="E27" s="20"/>
      <c r="F27" s="20"/>
      <c r="G27" s="21"/>
      <c r="H27" s="12">
        <v>0</v>
      </c>
      <c r="I27" s="7" t="s">
        <v>2</v>
      </c>
      <c r="J27" s="3">
        <v>20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  <c r="P27" s="4">
        <f t="shared" si="0"/>
        <v>20</v>
      </c>
      <c r="Q27" s="1" t="s">
        <v>14</v>
      </c>
      <c r="R27" s="44">
        <v>10</v>
      </c>
      <c r="S27" s="46">
        <v>50</v>
      </c>
      <c r="T27" s="4"/>
    </row>
    <row r="28" spans="1:20" x14ac:dyDescent="0.25">
      <c r="A28" s="7">
        <v>25</v>
      </c>
      <c r="D28" s="9" t="s">
        <v>221</v>
      </c>
      <c r="E28" s="10"/>
      <c r="F28" s="10"/>
      <c r="G28" s="11"/>
      <c r="H28" s="12">
        <v>80</v>
      </c>
      <c r="I28" s="7" t="s">
        <v>2</v>
      </c>
      <c r="J28" s="3">
        <v>30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4">
        <f t="shared" ref="P28:P29" si="4">+H28+J28-K28-L28-M28-N28-O28</f>
        <v>110</v>
      </c>
      <c r="Q28" s="1" t="s">
        <v>14</v>
      </c>
      <c r="R28" s="44">
        <v>50</v>
      </c>
      <c r="S28" s="47">
        <v>100</v>
      </c>
      <c r="T28" s="4"/>
    </row>
    <row r="29" spans="1:20" x14ac:dyDescent="0.25">
      <c r="A29" s="7">
        <v>26</v>
      </c>
      <c r="D29" s="16" t="s">
        <v>222</v>
      </c>
      <c r="E29" s="17"/>
      <c r="F29" s="17"/>
      <c r="G29" s="18"/>
      <c r="H29" s="12">
        <v>50</v>
      </c>
      <c r="I29" s="7" t="s">
        <v>2</v>
      </c>
      <c r="J29" s="3">
        <v>30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4">
        <f t="shared" si="4"/>
        <v>80</v>
      </c>
      <c r="Q29" s="1" t="s">
        <v>14</v>
      </c>
      <c r="R29" s="44">
        <v>50</v>
      </c>
      <c r="S29" s="46">
        <v>100</v>
      </c>
      <c r="T29" s="4"/>
    </row>
    <row r="30" spans="1:20" x14ac:dyDescent="0.25">
      <c r="A30" s="105">
        <v>27</v>
      </c>
      <c r="D30" s="13" t="s">
        <v>32</v>
      </c>
      <c r="E30" s="14"/>
      <c r="F30" s="14"/>
      <c r="G30" s="15"/>
      <c r="H30" s="12">
        <v>920</v>
      </c>
      <c r="I30" s="7" t="s">
        <v>2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4">
        <f t="shared" ref="P30:P31" si="5">+H30+J30-K30-L30-M30-N30-O30</f>
        <v>920</v>
      </c>
      <c r="Q30" s="1" t="s">
        <v>14</v>
      </c>
      <c r="R30" s="44">
        <v>0</v>
      </c>
      <c r="S30" s="46">
        <v>0</v>
      </c>
      <c r="T30" s="4"/>
    </row>
    <row r="31" spans="1:20" x14ac:dyDescent="0.25">
      <c r="A31" s="7">
        <v>28</v>
      </c>
      <c r="B31" s="27"/>
      <c r="C31" s="27"/>
      <c r="D31" s="9" t="s">
        <v>219</v>
      </c>
      <c r="E31" s="10"/>
      <c r="F31" s="10"/>
      <c r="G31" s="11"/>
      <c r="H31" s="12">
        <v>110</v>
      </c>
      <c r="I31" s="7" t="s">
        <v>2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4">
        <f t="shared" si="5"/>
        <v>110</v>
      </c>
      <c r="Q31" s="1" t="s">
        <v>14</v>
      </c>
      <c r="R31" s="44">
        <v>20</v>
      </c>
      <c r="S31" s="47">
        <v>50</v>
      </c>
      <c r="T31" s="4"/>
    </row>
    <row r="32" spans="1:20" x14ac:dyDescent="0.25">
      <c r="A32" s="106">
        <v>29</v>
      </c>
      <c r="D32" s="16" t="s">
        <v>217</v>
      </c>
      <c r="E32" s="17"/>
      <c r="F32" s="17"/>
      <c r="G32" s="18"/>
      <c r="H32" s="12">
        <v>85</v>
      </c>
      <c r="I32" s="7" t="s">
        <v>2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4">
        <f t="shared" si="0"/>
        <v>85</v>
      </c>
      <c r="Q32" s="1" t="s">
        <v>14</v>
      </c>
      <c r="R32" s="44">
        <v>20</v>
      </c>
      <c r="S32" s="47">
        <v>50</v>
      </c>
      <c r="T32" s="4"/>
    </row>
    <row r="33" spans="1:20" x14ac:dyDescent="0.25">
      <c r="A33" s="7">
        <v>30</v>
      </c>
      <c r="D33" s="9" t="s">
        <v>141</v>
      </c>
      <c r="E33" s="10"/>
      <c r="F33" s="10"/>
      <c r="G33" s="11"/>
      <c r="H33" s="12">
        <v>85</v>
      </c>
      <c r="I33" s="7" t="s">
        <v>2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4">
        <f t="shared" si="0"/>
        <v>85</v>
      </c>
      <c r="Q33" s="1"/>
      <c r="R33" s="44">
        <v>20</v>
      </c>
      <c r="S33" s="47">
        <v>50</v>
      </c>
      <c r="T33" s="4"/>
    </row>
    <row r="34" spans="1:20" x14ac:dyDescent="0.25">
      <c r="A34" s="7">
        <v>31</v>
      </c>
      <c r="D34" s="16" t="s">
        <v>220</v>
      </c>
      <c r="E34" s="17"/>
      <c r="F34" s="17"/>
      <c r="G34" s="18"/>
      <c r="H34" s="12">
        <v>85</v>
      </c>
      <c r="I34" s="7" t="s">
        <v>2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4">
        <f t="shared" ref="P34:P35" si="6">+H34+J34-K34-L34-M34-N34-O34</f>
        <v>85</v>
      </c>
      <c r="Q34" s="1" t="s">
        <v>14</v>
      </c>
      <c r="R34" s="44">
        <v>20</v>
      </c>
      <c r="S34" s="47">
        <v>50</v>
      </c>
      <c r="T34" s="4"/>
    </row>
    <row r="35" spans="1:20" x14ac:dyDescent="0.25">
      <c r="A35" s="7">
        <v>32</v>
      </c>
      <c r="D35" s="9" t="s">
        <v>227</v>
      </c>
      <c r="E35" s="10"/>
      <c r="F35" s="10"/>
      <c r="G35" s="11"/>
      <c r="H35" s="12">
        <v>17</v>
      </c>
      <c r="I35" s="7" t="s">
        <v>171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4">
        <f t="shared" si="6"/>
        <v>17</v>
      </c>
      <c r="Q35" s="1" t="s">
        <v>14</v>
      </c>
      <c r="R35" s="44">
        <v>5</v>
      </c>
      <c r="S35" s="46">
        <v>50</v>
      </c>
      <c r="T35" s="4"/>
    </row>
    <row r="36" spans="1:20" x14ac:dyDescent="0.25">
      <c r="A36" s="7">
        <v>33</v>
      </c>
      <c r="D36" s="16" t="s">
        <v>35</v>
      </c>
      <c r="E36" s="17"/>
      <c r="F36" s="17"/>
      <c r="G36" s="18"/>
      <c r="H36" s="12">
        <v>160</v>
      </c>
      <c r="I36" s="7" t="s">
        <v>2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4">
        <f t="shared" si="0"/>
        <v>160</v>
      </c>
      <c r="Q36" s="1" t="s">
        <v>14</v>
      </c>
      <c r="R36" s="44">
        <v>50</v>
      </c>
      <c r="S36" s="47">
        <v>100</v>
      </c>
      <c r="T36" s="4"/>
    </row>
    <row r="37" spans="1:20" x14ac:dyDescent="0.25">
      <c r="A37" s="7">
        <v>34</v>
      </c>
      <c r="D37" s="9" t="s">
        <v>36</v>
      </c>
      <c r="E37" s="10"/>
      <c r="F37" s="10"/>
      <c r="G37" s="11"/>
      <c r="H37" s="12">
        <v>250</v>
      </c>
      <c r="I37" s="7" t="s">
        <v>2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4">
        <f t="shared" si="0"/>
        <v>250</v>
      </c>
      <c r="Q37" s="1" t="s">
        <v>14</v>
      </c>
      <c r="R37" s="44">
        <v>50</v>
      </c>
      <c r="S37" s="47">
        <v>100</v>
      </c>
      <c r="T37" s="4"/>
    </row>
    <row r="38" spans="1:20" x14ac:dyDescent="0.25">
      <c r="A38" s="7">
        <v>35</v>
      </c>
      <c r="D38" s="9" t="s">
        <v>38</v>
      </c>
      <c r="E38" s="10"/>
      <c r="F38" s="10"/>
      <c r="G38" s="11"/>
      <c r="H38" s="12">
        <v>110</v>
      </c>
      <c r="I38" s="7" t="s">
        <v>2</v>
      </c>
      <c r="J38" s="3">
        <v>0</v>
      </c>
      <c r="K38" s="3">
        <v>8</v>
      </c>
      <c r="L38" s="3">
        <v>3</v>
      </c>
      <c r="M38" s="3">
        <v>0</v>
      </c>
      <c r="N38" s="3">
        <v>0</v>
      </c>
      <c r="O38" s="3">
        <v>0</v>
      </c>
      <c r="P38" s="4">
        <f t="shared" ref="P38:P41" si="7">+H38+J38-K38-L38-M38-N38-O38</f>
        <v>99</v>
      </c>
      <c r="Q38" s="1" t="s">
        <v>14</v>
      </c>
      <c r="R38" s="44">
        <v>50</v>
      </c>
      <c r="S38" s="47">
        <v>100</v>
      </c>
      <c r="T38" s="4"/>
    </row>
    <row r="39" spans="1:20" x14ac:dyDescent="0.25">
      <c r="A39" s="7">
        <v>36</v>
      </c>
      <c r="D39" s="25" t="s">
        <v>147</v>
      </c>
      <c r="H39" s="12">
        <v>140</v>
      </c>
      <c r="I39" s="30" t="s">
        <v>2</v>
      </c>
      <c r="J39" s="3">
        <v>0</v>
      </c>
      <c r="K39" s="3">
        <v>8</v>
      </c>
      <c r="L39" s="3">
        <v>3</v>
      </c>
      <c r="M39" s="3">
        <v>1</v>
      </c>
      <c r="N39" s="3">
        <v>0</v>
      </c>
      <c r="O39" s="3">
        <v>0</v>
      </c>
      <c r="P39" s="4">
        <f t="shared" si="7"/>
        <v>128</v>
      </c>
      <c r="Q39" s="1" t="s">
        <v>14</v>
      </c>
      <c r="R39" s="44">
        <v>50</v>
      </c>
      <c r="S39" s="47">
        <v>100</v>
      </c>
      <c r="T39" s="4"/>
    </row>
    <row r="40" spans="1:20" x14ac:dyDescent="0.25">
      <c r="A40" s="73">
        <v>37</v>
      </c>
      <c r="B40" s="41"/>
      <c r="C40" s="41"/>
      <c r="D40" s="22" t="s">
        <v>115</v>
      </c>
      <c r="E40" s="10"/>
      <c r="F40" s="10"/>
      <c r="G40" s="11"/>
      <c r="H40" s="12">
        <v>151</v>
      </c>
      <c r="I40" s="62" t="s">
        <v>2</v>
      </c>
      <c r="J40" s="3">
        <v>0</v>
      </c>
      <c r="K40" s="3">
        <v>8</v>
      </c>
      <c r="L40" s="3">
        <v>3</v>
      </c>
      <c r="M40" s="3">
        <v>1</v>
      </c>
      <c r="N40" s="3">
        <v>0</v>
      </c>
      <c r="O40" s="3">
        <v>0</v>
      </c>
      <c r="P40" s="64">
        <f t="shared" si="7"/>
        <v>139</v>
      </c>
      <c r="R40" s="64">
        <v>50</v>
      </c>
      <c r="S40" s="64">
        <v>100</v>
      </c>
      <c r="T40" s="4" t="s">
        <v>14</v>
      </c>
    </row>
    <row r="41" spans="1:20" x14ac:dyDescent="0.25">
      <c r="A41" s="7">
        <v>38</v>
      </c>
      <c r="D41" s="9" t="s">
        <v>190</v>
      </c>
      <c r="E41" s="10"/>
      <c r="F41" s="10" t="s">
        <v>14</v>
      </c>
      <c r="G41" s="11" t="s">
        <v>14</v>
      </c>
      <c r="H41" s="12">
        <v>60</v>
      </c>
      <c r="I41" s="7" t="s">
        <v>75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4">
        <f t="shared" si="7"/>
        <v>60</v>
      </c>
      <c r="Q41" s="1" t="s">
        <v>75</v>
      </c>
      <c r="R41" s="44">
        <v>50</v>
      </c>
      <c r="S41" s="47">
        <v>200</v>
      </c>
      <c r="T41" s="4"/>
    </row>
    <row r="42" spans="1:20" x14ac:dyDescent="0.25">
      <c r="A42" s="7">
        <v>39</v>
      </c>
      <c r="D42" s="9" t="s">
        <v>9</v>
      </c>
      <c r="E42" s="10"/>
      <c r="F42" s="10"/>
      <c r="G42" s="11"/>
      <c r="H42" s="83">
        <v>84</v>
      </c>
      <c r="I42" s="7" t="s">
        <v>132</v>
      </c>
      <c r="J42" s="3">
        <v>0</v>
      </c>
      <c r="K42" s="3">
        <v>18</v>
      </c>
      <c r="L42" s="3">
        <v>8</v>
      </c>
      <c r="M42" s="3">
        <v>0</v>
      </c>
      <c r="N42" s="3">
        <v>0</v>
      </c>
      <c r="O42" s="3">
        <v>0</v>
      </c>
      <c r="P42" s="4">
        <f t="shared" si="0"/>
        <v>58</v>
      </c>
      <c r="Q42" s="1" t="s">
        <v>132</v>
      </c>
      <c r="R42" s="44">
        <v>50</v>
      </c>
      <c r="S42" s="47">
        <v>100</v>
      </c>
      <c r="T42" s="4"/>
    </row>
    <row r="43" spans="1:20" x14ac:dyDescent="0.25">
      <c r="A43" s="7">
        <v>40</v>
      </c>
      <c r="D43" s="19" t="s">
        <v>166</v>
      </c>
      <c r="E43" s="20"/>
      <c r="F43" s="20"/>
      <c r="G43" s="21" t="s">
        <v>14</v>
      </c>
      <c r="H43" s="69">
        <v>79</v>
      </c>
      <c r="I43" s="7" t="s">
        <v>2</v>
      </c>
      <c r="J43" s="3">
        <v>0</v>
      </c>
      <c r="K43" s="3">
        <v>18</v>
      </c>
      <c r="L43" s="3">
        <v>8</v>
      </c>
      <c r="M43" s="3">
        <v>0</v>
      </c>
      <c r="N43" s="3">
        <v>0</v>
      </c>
      <c r="O43" s="3">
        <v>0</v>
      </c>
      <c r="P43" s="4">
        <f t="shared" si="0"/>
        <v>53</v>
      </c>
      <c r="Q43" s="1" t="s">
        <v>14</v>
      </c>
      <c r="R43" s="44">
        <v>50</v>
      </c>
      <c r="S43" s="46">
        <v>100</v>
      </c>
      <c r="T43" s="4"/>
    </row>
    <row r="44" spans="1:20" x14ac:dyDescent="0.25">
      <c r="A44" s="7">
        <v>41</v>
      </c>
      <c r="D44" s="16" t="s">
        <v>143</v>
      </c>
      <c r="E44" s="17"/>
      <c r="F44" s="17"/>
      <c r="G44" s="18"/>
      <c r="H44" s="12">
        <v>84</v>
      </c>
      <c r="I44" s="7" t="s">
        <v>2</v>
      </c>
      <c r="J44" s="3">
        <v>0</v>
      </c>
      <c r="K44" s="3">
        <v>18</v>
      </c>
      <c r="L44" s="3">
        <v>8</v>
      </c>
      <c r="M44" s="3">
        <v>0</v>
      </c>
      <c r="N44" s="3">
        <v>0</v>
      </c>
      <c r="O44" s="3">
        <v>0</v>
      </c>
      <c r="P44" s="4">
        <f t="shared" si="0"/>
        <v>58</v>
      </c>
      <c r="Q44" s="1" t="s">
        <v>14</v>
      </c>
      <c r="R44" s="44">
        <v>50</v>
      </c>
      <c r="S44" s="46">
        <v>100</v>
      </c>
      <c r="T44" s="4"/>
    </row>
    <row r="45" spans="1:20" x14ac:dyDescent="0.25">
      <c r="A45" s="7">
        <v>42</v>
      </c>
      <c r="D45" s="9" t="s">
        <v>144</v>
      </c>
      <c r="E45" s="10"/>
      <c r="F45" s="10"/>
      <c r="G45" s="11"/>
      <c r="H45" s="12">
        <v>84</v>
      </c>
      <c r="I45" s="7" t="s">
        <v>2</v>
      </c>
      <c r="J45" s="3">
        <v>0</v>
      </c>
      <c r="K45" s="3">
        <v>18</v>
      </c>
      <c r="L45" s="3">
        <v>8</v>
      </c>
      <c r="M45" s="3">
        <v>0</v>
      </c>
      <c r="N45" s="3">
        <v>0</v>
      </c>
      <c r="O45" s="3">
        <v>0</v>
      </c>
      <c r="P45" s="4">
        <f t="shared" si="0"/>
        <v>58</v>
      </c>
      <c r="Q45" s="1" t="s">
        <v>14</v>
      </c>
      <c r="R45" s="44">
        <v>50</v>
      </c>
      <c r="S45" s="47">
        <v>100</v>
      </c>
      <c r="T45" s="4"/>
    </row>
    <row r="46" spans="1:20" x14ac:dyDescent="0.25">
      <c r="A46" s="7">
        <v>43</v>
      </c>
      <c r="D46" s="16" t="s">
        <v>42</v>
      </c>
      <c r="E46" s="17"/>
      <c r="F46" s="17"/>
      <c r="G46" s="18"/>
      <c r="H46" s="12">
        <v>85</v>
      </c>
      <c r="I46" s="7" t="s">
        <v>2</v>
      </c>
      <c r="J46" s="3">
        <v>0</v>
      </c>
      <c r="K46" s="3">
        <v>18</v>
      </c>
      <c r="L46" s="3">
        <v>8</v>
      </c>
      <c r="M46" s="3">
        <v>0</v>
      </c>
      <c r="N46" s="3">
        <v>0</v>
      </c>
      <c r="O46" s="3">
        <v>0</v>
      </c>
      <c r="P46" s="4">
        <f t="shared" si="0"/>
        <v>59</v>
      </c>
      <c r="Q46" s="1" t="s">
        <v>14</v>
      </c>
      <c r="R46" s="44">
        <v>50</v>
      </c>
      <c r="S46" s="47">
        <v>100</v>
      </c>
      <c r="T46" s="4"/>
    </row>
    <row r="47" spans="1:20" x14ac:dyDescent="0.25">
      <c r="A47" s="7">
        <v>44</v>
      </c>
      <c r="D47" s="9" t="s">
        <v>226</v>
      </c>
      <c r="E47" s="10"/>
      <c r="F47" s="10"/>
      <c r="G47" s="11"/>
      <c r="H47" s="12">
        <v>55</v>
      </c>
      <c r="I47" s="7" t="s">
        <v>171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4">
        <f t="shared" si="0"/>
        <v>55</v>
      </c>
      <c r="Q47" s="1" t="s">
        <v>14</v>
      </c>
      <c r="R47" s="44">
        <v>20</v>
      </c>
      <c r="S47" s="47">
        <v>100</v>
      </c>
      <c r="T47" s="4"/>
    </row>
    <row r="48" spans="1:20" x14ac:dyDescent="0.25">
      <c r="A48" s="7">
        <v>45</v>
      </c>
      <c r="D48" s="16" t="s">
        <v>234</v>
      </c>
      <c r="E48" s="17"/>
      <c r="F48" s="17"/>
      <c r="G48" s="18"/>
      <c r="H48" s="12">
        <v>60</v>
      </c>
      <c r="I48" s="7" t="s">
        <v>2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4">
        <f t="shared" si="0"/>
        <v>60</v>
      </c>
      <c r="Q48" s="1" t="s">
        <v>14</v>
      </c>
      <c r="R48" s="44">
        <v>20</v>
      </c>
      <c r="S48" s="46">
        <v>100</v>
      </c>
      <c r="T48" s="4"/>
    </row>
    <row r="49" spans="1:20" x14ac:dyDescent="0.25">
      <c r="A49" s="7">
        <v>46</v>
      </c>
      <c r="D49" s="9" t="s">
        <v>235</v>
      </c>
      <c r="E49" s="10"/>
      <c r="F49" s="10"/>
      <c r="G49" s="11" t="s">
        <v>14</v>
      </c>
      <c r="H49" s="12">
        <v>60</v>
      </c>
      <c r="I49" s="7" t="s">
        <v>2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4">
        <f t="shared" ref="P49" si="8">+H49+J49-K49-L49-M49-N49-O49</f>
        <v>60</v>
      </c>
      <c r="Q49" s="1" t="s">
        <v>14</v>
      </c>
      <c r="R49" s="44">
        <v>20</v>
      </c>
      <c r="S49" s="47">
        <v>50</v>
      </c>
      <c r="T49" s="4"/>
    </row>
    <row r="50" spans="1:20" x14ac:dyDescent="0.25">
      <c r="A50" s="105">
        <v>47</v>
      </c>
      <c r="D50" s="16" t="s">
        <v>236</v>
      </c>
      <c r="E50" s="17"/>
      <c r="F50" s="17"/>
      <c r="G50" s="18"/>
      <c r="H50" s="12">
        <v>60</v>
      </c>
      <c r="I50" s="7" t="s">
        <v>2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4">
        <f t="shared" si="0"/>
        <v>60</v>
      </c>
      <c r="Q50" s="1" t="s">
        <v>14</v>
      </c>
      <c r="R50" s="44">
        <v>20</v>
      </c>
      <c r="S50" s="47">
        <v>50</v>
      </c>
      <c r="T50" s="4"/>
    </row>
    <row r="51" spans="1:20" x14ac:dyDescent="0.25">
      <c r="A51" s="7">
        <v>48</v>
      </c>
      <c r="B51" s="27"/>
      <c r="C51" s="27"/>
      <c r="D51" s="9" t="s">
        <v>237</v>
      </c>
      <c r="E51" s="10"/>
      <c r="F51" s="10"/>
      <c r="G51" s="11"/>
      <c r="H51" s="12">
        <v>60</v>
      </c>
      <c r="I51" s="7" t="s">
        <v>171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4">
        <f t="shared" si="0"/>
        <v>60</v>
      </c>
      <c r="Q51" s="1"/>
      <c r="R51" s="44">
        <v>20</v>
      </c>
      <c r="S51" s="47">
        <v>50</v>
      </c>
      <c r="T51" s="4"/>
    </row>
    <row r="52" spans="1:20" x14ac:dyDescent="0.25">
      <c r="A52" s="106">
        <v>49</v>
      </c>
      <c r="D52" s="19" t="s">
        <v>45</v>
      </c>
      <c r="E52" s="20"/>
      <c r="F52" s="20"/>
      <c r="G52" s="21"/>
      <c r="H52" s="12">
        <v>15</v>
      </c>
      <c r="I52" s="7" t="s">
        <v>2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4">
        <f t="shared" si="0"/>
        <v>15</v>
      </c>
      <c r="Q52" s="1" t="s">
        <v>14</v>
      </c>
      <c r="R52" s="44">
        <v>20</v>
      </c>
      <c r="S52" s="47">
        <v>50</v>
      </c>
      <c r="T52" s="4"/>
    </row>
    <row r="53" spans="1:20" x14ac:dyDescent="0.25">
      <c r="A53" s="7">
        <v>50</v>
      </c>
      <c r="D53" s="16" t="s">
        <v>10</v>
      </c>
      <c r="E53" s="17"/>
      <c r="F53" s="17"/>
      <c r="G53" s="18"/>
      <c r="H53" s="12">
        <v>11</v>
      </c>
      <c r="I53" s="7" t="s">
        <v>2</v>
      </c>
      <c r="J53" s="3">
        <v>0</v>
      </c>
      <c r="K53" s="3">
        <v>4</v>
      </c>
      <c r="L53" s="3">
        <v>0</v>
      </c>
      <c r="M53" s="3">
        <v>0</v>
      </c>
      <c r="N53" s="3">
        <v>0</v>
      </c>
      <c r="O53" s="3">
        <v>0</v>
      </c>
      <c r="P53" s="4">
        <f t="shared" ref="P53:P62" si="9">+H53+J53-K53-L53-M53-N53-O53</f>
        <v>7</v>
      </c>
      <c r="Q53" s="1" t="s">
        <v>132</v>
      </c>
      <c r="R53" s="44">
        <v>20</v>
      </c>
      <c r="S53" s="47">
        <v>50</v>
      </c>
      <c r="T53" s="4"/>
    </row>
    <row r="54" spans="1:20" x14ac:dyDescent="0.25">
      <c r="A54" s="7">
        <v>51</v>
      </c>
      <c r="D54" s="9" t="s">
        <v>48</v>
      </c>
      <c r="E54" s="10"/>
      <c r="F54" s="10"/>
      <c r="G54" s="11"/>
      <c r="H54" s="12">
        <v>4</v>
      </c>
      <c r="I54" s="7" t="s">
        <v>2</v>
      </c>
      <c r="J54" s="3">
        <v>10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  <c r="P54" s="4">
        <f t="shared" si="9"/>
        <v>14</v>
      </c>
      <c r="Q54" s="1" t="s">
        <v>14</v>
      </c>
      <c r="R54" s="44">
        <v>10</v>
      </c>
      <c r="S54" s="47">
        <v>20</v>
      </c>
      <c r="T54" s="4" t="s">
        <v>14</v>
      </c>
    </row>
    <row r="55" spans="1:20" x14ac:dyDescent="0.25">
      <c r="A55" s="105">
        <v>52</v>
      </c>
      <c r="D55" s="16" t="s">
        <v>49</v>
      </c>
      <c r="E55" s="17"/>
      <c r="F55" s="17"/>
      <c r="G55" s="18"/>
      <c r="H55" s="12">
        <v>75</v>
      </c>
      <c r="I55" s="7" t="s">
        <v>2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  <c r="P55" s="4">
        <f t="shared" si="9"/>
        <v>75</v>
      </c>
      <c r="Q55" s="1" t="s">
        <v>14</v>
      </c>
      <c r="R55" s="44">
        <v>10</v>
      </c>
      <c r="S55" s="47">
        <v>20</v>
      </c>
      <c r="T55" s="4"/>
    </row>
    <row r="56" spans="1:20" x14ac:dyDescent="0.25">
      <c r="A56" s="7">
        <v>53</v>
      </c>
      <c r="B56" s="27"/>
      <c r="C56" s="27"/>
      <c r="D56" s="107" t="s">
        <v>185</v>
      </c>
      <c r="E56" s="108" t="s">
        <v>186</v>
      </c>
      <c r="F56" s="109" t="s">
        <v>187</v>
      </c>
      <c r="G56" s="110"/>
      <c r="H56" s="12">
        <v>60</v>
      </c>
      <c r="I56" s="7" t="s">
        <v>2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  <c r="P56" s="4">
        <f t="shared" si="9"/>
        <v>60</v>
      </c>
      <c r="Q56" s="1" t="s">
        <v>14</v>
      </c>
      <c r="R56" s="44">
        <v>20</v>
      </c>
      <c r="S56" s="47">
        <v>50</v>
      </c>
      <c r="T56" s="4"/>
    </row>
    <row r="57" spans="1:20" x14ac:dyDescent="0.25">
      <c r="A57" s="106">
        <v>54</v>
      </c>
      <c r="D57" s="19" t="s">
        <v>51</v>
      </c>
      <c r="E57" s="20"/>
      <c r="F57" s="20"/>
      <c r="G57" s="21"/>
      <c r="H57" s="12">
        <v>60</v>
      </c>
      <c r="I57" s="7" t="s">
        <v>2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  <c r="P57" s="4">
        <f t="shared" si="9"/>
        <v>60</v>
      </c>
      <c r="Q57" s="1" t="s">
        <v>14</v>
      </c>
      <c r="R57" s="44">
        <v>20</v>
      </c>
      <c r="S57" s="47">
        <v>50</v>
      </c>
      <c r="T57" s="4"/>
    </row>
    <row r="58" spans="1:20" x14ac:dyDescent="0.25">
      <c r="A58" s="7">
        <v>55</v>
      </c>
      <c r="D58" s="16" t="s">
        <v>52</v>
      </c>
      <c r="E58" s="17"/>
      <c r="F58" s="17"/>
      <c r="G58" s="18"/>
      <c r="H58" s="12">
        <v>60</v>
      </c>
      <c r="I58" s="7" t="s">
        <v>2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4">
        <f t="shared" si="9"/>
        <v>60</v>
      </c>
      <c r="Q58" s="1" t="s">
        <v>14</v>
      </c>
      <c r="R58" s="44">
        <v>20</v>
      </c>
      <c r="S58" s="47">
        <v>50</v>
      </c>
      <c r="T58" s="4" t="s">
        <v>14</v>
      </c>
    </row>
    <row r="59" spans="1:20" x14ac:dyDescent="0.25">
      <c r="A59" s="7">
        <v>56</v>
      </c>
      <c r="D59" s="9" t="s">
        <v>53</v>
      </c>
      <c r="E59" s="10"/>
      <c r="F59" s="10"/>
      <c r="G59" s="11"/>
      <c r="H59" s="12">
        <v>60</v>
      </c>
      <c r="I59" s="7" t="s">
        <v>2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  <c r="P59" s="4">
        <f t="shared" si="9"/>
        <v>60</v>
      </c>
      <c r="Q59" s="1" t="s">
        <v>14</v>
      </c>
      <c r="R59" s="44">
        <v>20</v>
      </c>
      <c r="S59" s="47">
        <v>50</v>
      </c>
      <c r="T59" s="4"/>
    </row>
    <row r="60" spans="1:20" x14ac:dyDescent="0.25">
      <c r="A60" s="7">
        <v>57</v>
      </c>
      <c r="D60" s="26" t="s">
        <v>223</v>
      </c>
      <c r="E60" s="27"/>
      <c r="F60" s="27"/>
      <c r="G60" s="28"/>
      <c r="H60" s="12">
        <v>115</v>
      </c>
      <c r="I60" s="30" t="s">
        <v>2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4">
        <f t="shared" si="9"/>
        <v>115</v>
      </c>
      <c r="Q60" s="1" t="s">
        <v>14</v>
      </c>
      <c r="R60" s="44">
        <v>50</v>
      </c>
      <c r="S60" s="47">
        <v>200</v>
      </c>
      <c r="T60" s="4"/>
    </row>
    <row r="61" spans="1:20" x14ac:dyDescent="0.25">
      <c r="A61" s="7">
        <v>58</v>
      </c>
      <c r="D61" s="9" t="s">
        <v>208</v>
      </c>
      <c r="E61" s="10"/>
      <c r="F61" s="10"/>
      <c r="G61" s="11"/>
      <c r="H61" s="12">
        <v>15</v>
      </c>
      <c r="I61" s="7" t="s">
        <v>2</v>
      </c>
      <c r="J61" s="3">
        <v>20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4">
        <f t="shared" si="9"/>
        <v>35</v>
      </c>
      <c r="Q61" s="1" t="s">
        <v>14</v>
      </c>
      <c r="R61" s="44">
        <v>10</v>
      </c>
      <c r="S61" s="47">
        <v>50</v>
      </c>
      <c r="T61" s="4"/>
    </row>
    <row r="62" spans="1:20" x14ac:dyDescent="0.25">
      <c r="A62" s="7">
        <v>59</v>
      </c>
      <c r="D62" s="22" t="s">
        <v>209</v>
      </c>
      <c r="E62" s="10"/>
      <c r="F62" s="10"/>
      <c r="G62" s="28"/>
      <c r="H62" s="12">
        <v>35</v>
      </c>
      <c r="I62" s="8" t="s">
        <v>2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4">
        <f t="shared" si="9"/>
        <v>35</v>
      </c>
      <c r="R62" s="44">
        <v>10</v>
      </c>
      <c r="S62" s="46">
        <v>50</v>
      </c>
      <c r="T62" s="4"/>
    </row>
    <row r="63" spans="1:20" x14ac:dyDescent="0.25">
      <c r="A63" s="7">
        <v>60</v>
      </c>
      <c r="D63" s="70" t="s">
        <v>191</v>
      </c>
      <c r="E63" s="71"/>
      <c r="F63" s="71"/>
      <c r="G63" s="72"/>
      <c r="H63" s="12">
        <v>210</v>
      </c>
      <c r="I63" s="7" t="s">
        <v>1</v>
      </c>
      <c r="J63" s="3">
        <v>1355</v>
      </c>
      <c r="K63" s="3">
        <v>90</v>
      </c>
      <c r="L63" s="3">
        <v>75</v>
      </c>
      <c r="M63" s="3">
        <v>60</v>
      </c>
      <c r="N63" s="3">
        <v>0</v>
      </c>
      <c r="O63" s="3">
        <v>0</v>
      </c>
      <c r="P63" s="4">
        <f t="shared" si="0"/>
        <v>1340</v>
      </c>
      <c r="Q63" s="1" t="s">
        <v>120</v>
      </c>
      <c r="R63" s="44">
        <v>300</v>
      </c>
      <c r="S63" s="47">
        <v>900</v>
      </c>
      <c r="T63" s="4"/>
    </row>
    <row r="64" spans="1:20" x14ac:dyDescent="0.25">
      <c r="A64" s="7">
        <v>61</v>
      </c>
      <c r="D64" s="16" t="s">
        <v>61</v>
      </c>
      <c r="E64" s="17"/>
      <c r="F64" s="17"/>
      <c r="G64" s="18"/>
      <c r="H64" s="12">
        <v>45</v>
      </c>
      <c r="I64" s="7" t="s">
        <v>171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4">
        <f t="shared" si="0"/>
        <v>45</v>
      </c>
      <c r="Q64" s="1" t="s">
        <v>14</v>
      </c>
      <c r="R64" s="44">
        <v>10</v>
      </c>
      <c r="S64" s="46">
        <v>200</v>
      </c>
      <c r="T64" s="4"/>
    </row>
    <row r="65" spans="1:20" x14ac:dyDescent="0.25">
      <c r="A65" s="7">
        <v>62</v>
      </c>
      <c r="D65" s="9" t="s">
        <v>62</v>
      </c>
      <c r="E65" s="10"/>
      <c r="F65" s="10"/>
      <c r="G65" s="11"/>
      <c r="H65" s="12">
        <v>974</v>
      </c>
      <c r="I65" s="7" t="s">
        <v>2</v>
      </c>
      <c r="J65" s="3">
        <v>0</v>
      </c>
      <c r="K65" s="3">
        <v>0</v>
      </c>
      <c r="L65" s="3">
        <v>143</v>
      </c>
      <c r="M65" s="3">
        <v>290</v>
      </c>
      <c r="N65" s="3">
        <v>0</v>
      </c>
      <c r="O65" s="3">
        <v>0</v>
      </c>
      <c r="P65" s="4">
        <f t="shared" si="0"/>
        <v>541</v>
      </c>
      <c r="Q65" s="1" t="s">
        <v>14</v>
      </c>
      <c r="R65" s="44">
        <v>500</v>
      </c>
      <c r="S65" s="47">
        <v>1000</v>
      </c>
      <c r="T65" s="4"/>
    </row>
    <row r="66" spans="1:20" x14ac:dyDescent="0.25">
      <c r="A66" s="7">
        <v>63</v>
      </c>
      <c r="D66" s="16" t="s">
        <v>13</v>
      </c>
      <c r="E66" s="17"/>
      <c r="F66" s="17"/>
      <c r="G66" s="18"/>
      <c r="H66" s="12">
        <v>326</v>
      </c>
      <c r="I66" s="7" t="s">
        <v>2</v>
      </c>
      <c r="J66" s="3">
        <v>0</v>
      </c>
      <c r="K66" s="3">
        <v>20</v>
      </c>
      <c r="L66" s="3">
        <v>0</v>
      </c>
      <c r="M66" s="3">
        <v>0</v>
      </c>
      <c r="N66" s="3">
        <v>0</v>
      </c>
      <c r="O66" s="3">
        <v>0</v>
      </c>
      <c r="P66" s="4">
        <f t="shared" si="0"/>
        <v>306</v>
      </c>
      <c r="Q66" s="1" t="s">
        <v>14</v>
      </c>
      <c r="R66" s="44">
        <v>100</v>
      </c>
      <c r="S66" s="47">
        <v>500</v>
      </c>
      <c r="T66" s="4"/>
    </row>
    <row r="67" spans="1:20" x14ac:dyDescent="0.25">
      <c r="A67" s="7">
        <v>64</v>
      </c>
      <c r="D67" s="9" t="s">
        <v>72</v>
      </c>
      <c r="E67" s="10"/>
      <c r="F67" s="10"/>
      <c r="G67" s="11"/>
      <c r="H67" s="12">
        <v>24</v>
      </c>
      <c r="I67" s="7" t="s">
        <v>2</v>
      </c>
      <c r="J67" s="3">
        <v>0</v>
      </c>
      <c r="K67" s="3">
        <v>0</v>
      </c>
      <c r="L67" s="3">
        <v>0</v>
      </c>
      <c r="M67" s="3">
        <v>10</v>
      </c>
      <c r="N67" s="3">
        <v>0</v>
      </c>
      <c r="O67" s="3">
        <v>0</v>
      </c>
      <c r="P67" s="4">
        <f t="shared" si="0"/>
        <v>14</v>
      </c>
      <c r="Q67" s="1" t="s">
        <v>14</v>
      </c>
      <c r="R67" s="44">
        <v>15</v>
      </c>
      <c r="S67" s="47">
        <v>300</v>
      </c>
      <c r="T67" s="4"/>
    </row>
    <row r="68" spans="1:20" x14ac:dyDescent="0.25">
      <c r="A68" s="7">
        <v>65</v>
      </c>
      <c r="D68" s="16" t="s">
        <v>182</v>
      </c>
      <c r="E68" s="17"/>
      <c r="F68" s="17"/>
      <c r="G68" s="18"/>
      <c r="H68" s="12">
        <v>356</v>
      </c>
      <c r="I68" s="7" t="s">
        <v>2</v>
      </c>
      <c r="J68" s="3">
        <v>0</v>
      </c>
      <c r="K68" s="3">
        <v>14</v>
      </c>
      <c r="L68" s="3">
        <v>5</v>
      </c>
      <c r="M68" s="3">
        <v>0</v>
      </c>
      <c r="N68" s="3">
        <v>0</v>
      </c>
      <c r="O68" s="3">
        <v>0</v>
      </c>
      <c r="P68" s="4">
        <f t="shared" si="0"/>
        <v>337</v>
      </c>
      <c r="Q68" s="1" t="s">
        <v>14</v>
      </c>
      <c r="R68" s="44">
        <v>150</v>
      </c>
      <c r="S68" s="47">
        <v>600</v>
      </c>
      <c r="T68" s="4"/>
    </row>
    <row r="69" spans="1:20" x14ac:dyDescent="0.25">
      <c r="A69" s="7">
        <v>66</v>
      </c>
      <c r="D69" s="9" t="s">
        <v>207</v>
      </c>
      <c r="E69" s="10"/>
      <c r="F69" s="10"/>
      <c r="G69" s="11"/>
      <c r="H69" s="12">
        <v>150</v>
      </c>
      <c r="I69" s="7" t="s">
        <v>2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4">
        <f t="shared" si="0"/>
        <v>150</v>
      </c>
      <c r="Q69" s="1" t="s">
        <v>14</v>
      </c>
      <c r="R69" s="44">
        <v>50</v>
      </c>
      <c r="S69" s="47">
        <v>200</v>
      </c>
      <c r="T69" s="4"/>
    </row>
    <row r="70" spans="1:20" x14ac:dyDescent="0.25">
      <c r="A70" s="7">
        <v>67</v>
      </c>
      <c r="D70" s="9" t="s">
        <v>189</v>
      </c>
      <c r="E70" s="10"/>
      <c r="F70" s="10"/>
      <c r="G70" s="11"/>
      <c r="H70" s="12">
        <v>230</v>
      </c>
      <c r="I70" s="7" t="s">
        <v>1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4">
        <f t="shared" ref="P70:P73" si="10">+H70+J70-K70-L70-M70-N70-O70</f>
        <v>230</v>
      </c>
      <c r="Q70" s="1" t="s">
        <v>75</v>
      </c>
      <c r="R70" s="44">
        <v>50</v>
      </c>
      <c r="S70" s="47">
        <v>100</v>
      </c>
      <c r="T70" s="4"/>
    </row>
    <row r="71" spans="1:20" x14ac:dyDescent="0.25">
      <c r="A71" s="7">
        <v>68</v>
      </c>
      <c r="D71" s="16" t="s">
        <v>65</v>
      </c>
      <c r="E71" s="17"/>
      <c r="F71" s="17"/>
      <c r="G71" s="18"/>
      <c r="H71" s="12">
        <v>8</v>
      </c>
      <c r="I71" s="7" t="s">
        <v>2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4">
        <f t="shared" si="10"/>
        <v>8</v>
      </c>
      <c r="Q71" s="1" t="s">
        <v>14</v>
      </c>
      <c r="R71" s="44">
        <v>10</v>
      </c>
      <c r="S71" s="46">
        <v>50</v>
      </c>
      <c r="T71" s="4"/>
    </row>
    <row r="72" spans="1:20" x14ac:dyDescent="0.25">
      <c r="A72" s="7">
        <v>69</v>
      </c>
      <c r="D72" s="26" t="s">
        <v>238</v>
      </c>
      <c r="E72" s="27"/>
      <c r="F72" s="27"/>
      <c r="G72" s="28"/>
      <c r="H72" s="12">
        <v>34</v>
      </c>
      <c r="I72" s="8" t="s">
        <v>171</v>
      </c>
      <c r="J72" s="3">
        <v>30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  <c r="P72" s="4">
        <f t="shared" si="10"/>
        <v>64</v>
      </c>
      <c r="Q72" s="1" t="s">
        <v>14</v>
      </c>
      <c r="R72" s="44">
        <v>20</v>
      </c>
      <c r="S72" s="46">
        <v>150</v>
      </c>
      <c r="T72" s="4"/>
    </row>
    <row r="73" spans="1:20" x14ac:dyDescent="0.25">
      <c r="A73" s="7">
        <v>70</v>
      </c>
      <c r="D73" s="26" t="s">
        <v>167</v>
      </c>
      <c r="E73" s="27"/>
      <c r="F73" s="27"/>
      <c r="G73" s="28"/>
      <c r="H73" s="12">
        <v>34</v>
      </c>
      <c r="I73" s="8" t="s">
        <v>2</v>
      </c>
      <c r="J73" s="3">
        <v>30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4">
        <f t="shared" si="10"/>
        <v>64</v>
      </c>
      <c r="R73" s="44">
        <v>20</v>
      </c>
      <c r="S73" s="46">
        <v>150</v>
      </c>
      <c r="T73" s="4"/>
    </row>
    <row r="74" spans="1:20" x14ac:dyDescent="0.25">
      <c r="A74" s="7">
        <v>71</v>
      </c>
      <c r="D74" s="19" t="s">
        <v>239</v>
      </c>
      <c r="E74" s="20"/>
      <c r="F74" s="20"/>
      <c r="G74" s="21"/>
      <c r="H74" s="12">
        <v>34</v>
      </c>
      <c r="I74" s="7" t="s">
        <v>2</v>
      </c>
      <c r="J74" s="3">
        <v>30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4">
        <f t="shared" si="0"/>
        <v>64</v>
      </c>
      <c r="Q74" s="1" t="s">
        <v>14</v>
      </c>
      <c r="R74" s="44">
        <v>20</v>
      </c>
      <c r="S74" s="47">
        <v>150</v>
      </c>
      <c r="T74" s="4"/>
    </row>
    <row r="75" spans="1:20" x14ac:dyDescent="0.25">
      <c r="A75" s="7">
        <v>72</v>
      </c>
      <c r="C75" s="1" t="s">
        <v>14</v>
      </c>
      <c r="D75" s="22" t="s">
        <v>240</v>
      </c>
      <c r="E75" s="10"/>
      <c r="F75" s="10"/>
      <c r="G75" s="11"/>
      <c r="H75" s="12">
        <v>34</v>
      </c>
      <c r="I75" s="8" t="s">
        <v>2</v>
      </c>
      <c r="J75" s="3">
        <v>30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4">
        <f t="shared" ref="P75:P95" si="11">+H75+J75-K75-L75-M75-N75-O75</f>
        <v>64</v>
      </c>
      <c r="Q75" s="1" t="s">
        <v>14</v>
      </c>
      <c r="R75" s="44">
        <v>20</v>
      </c>
      <c r="S75" s="47">
        <v>150</v>
      </c>
      <c r="T75" s="4"/>
    </row>
    <row r="76" spans="1:20" x14ac:dyDescent="0.25">
      <c r="A76" s="7">
        <v>73</v>
      </c>
      <c r="D76" s="22" t="s">
        <v>76</v>
      </c>
      <c r="E76" s="10"/>
      <c r="F76" s="10"/>
      <c r="G76" s="11"/>
      <c r="H76" s="12">
        <v>116</v>
      </c>
      <c r="I76" s="8" t="s">
        <v>171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  <c r="P76" s="4">
        <f>+H76+J76-K76-L76-M76-N76-O76</f>
        <v>116</v>
      </c>
      <c r="Q76" s="1" t="s">
        <v>14</v>
      </c>
      <c r="R76" s="44">
        <v>50</v>
      </c>
      <c r="S76" s="47">
        <v>100</v>
      </c>
      <c r="T76" s="4"/>
    </row>
    <row r="77" spans="1:20" x14ac:dyDescent="0.25">
      <c r="A77" s="7">
        <v>74</v>
      </c>
      <c r="D77" s="22" t="s">
        <v>211</v>
      </c>
      <c r="E77" s="10"/>
      <c r="F77" s="10"/>
      <c r="G77" s="11"/>
      <c r="H77" s="12">
        <v>1000</v>
      </c>
      <c r="I77" s="8" t="s">
        <v>110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4">
        <f t="shared" ref="P77" si="12">+H77+J77-K77-L77-M77-N77-O77</f>
        <v>1000</v>
      </c>
      <c r="Q77" s="1">
        <v>25</v>
      </c>
      <c r="R77" s="44">
        <v>100</v>
      </c>
      <c r="S77" s="47">
        <v>1000</v>
      </c>
      <c r="T77" s="4"/>
    </row>
    <row r="78" spans="1:20" x14ac:dyDescent="0.25">
      <c r="A78" s="7">
        <v>75</v>
      </c>
      <c r="D78" s="19" t="s">
        <v>225</v>
      </c>
      <c r="E78" s="20"/>
      <c r="F78" s="20"/>
      <c r="G78" s="21"/>
      <c r="H78" s="12">
        <v>65</v>
      </c>
      <c r="I78" s="7" t="s">
        <v>171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  <c r="P78" s="4">
        <f t="shared" si="11"/>
        <v>65</v>
      </c>
      <c r="Q78" s="1" t="s">
        <v>14</v>
      </c>
      <c r="R78" s="44">
        <v>50</v>
      </c>
      <c r="S78" s="47">
        <v>150</v>
      </c>
      <c r="T78" s="4"/>
    </row>
    <row r="79" spans="1:20" x14ac:dyDescent="0.25">
      <c r="A79" s="7">
        <v>76</v>
      </c>
      <c r="D79" s="26" t="s">
        <v>241</v>
      </c>
      <c r="E79" s="27"/>
      <c r="F79" s="27"/>
      <c r="G79" s="28"/>
      <c r="H79" s="12">
        <v>235</v>
      </c>
      <c r="I79" s="8" t="s">
        <v>2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  <c r="P79" s="4">
        <f t="shared" si="11"/>
        <v>235</v>
      </c>
      <c r="Q79" s="1" t="s">
        <v>14</v>
      </c>
      <c r="R79" s="44">
        <v>50</v>
      </c>
      <c r="S79" s="47">
        <v>200</v>
      </c>
      <c r="T79" s="4"/>
    </row>
    <row r="80" spans="1:20" x14ac:dyDescent="0.25">
      <c r="A80" s="7">
        <v>77</v>
      </c>
      <c r="D80" s="26" t="s">
        <v>242</v>
      </c>
      <c r="E80" s="27"/>
      <c r="F80" s="27"/>
      <c r="G80" s="28"/>
      <c r="H80" s="12">
        <v>235</v>
      </c>
      <c r="I80" s="8" t="s">
        <v>2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  <c r="P80" s="4">
        <f t="shared" si="11"/>
        <v>235</v>
      </c>
      <c r="R80" s="44">
        <v>50</v>
      </c>
      <c r="S80" s="46">
        <v>200</v>
      </c>
      <c r="T80" s="4"/>
    </row>
    <row r="81" spans="1:20" x14ac:dyDescent="0.25">
      <c r="A81" s="7">
        <v>78</v>
      </c>
      <c r="D81" s="22" t="s">
        <v>243</v>
      </c>
      <c r="E81" s="10"/>
      <c r="F81" s="27"/>
      <c r="G81" s="28"/>
      <c r="H81" s="12">
        <v>235</v>
      </c>
      <c r="I81" s="8" t="s">
        <v>2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  <c r="P81" s="4">
        <f t="shared" si="11"/>
        <v>235</v>
      </c>
      <c r="Q81" s="1" t="s">
        <v>14</v>
      </c>
      <c r="R81" s="44">
        <v>50</v>
      </c>
      <c r="S81" s="47">
        <v>200</v>
      </c>
      <c r="T81" s="4"/>
    </row>
    <row r="82" spans="1:20" x14ac:dyDescent="0.25">
      <c r="A82" s="7">
        <v>79</v>
      </c>
      <c r="D82" s="37" t="s">
        <v>176</v>
      </c>
      <c r="E82" s="17"/>
      <c r="F82" s="33"/>
      <c r="G82" s="33"/>
      <c r="H82" s="12">
        <v>1230</v>
      </c>
      <c r="I82" s="8" t="s">
        <v>2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  <c r="P82" s="4">
        <f t="shared" ref="P82" si="13">+H82+J82-K82-L82-M82-N82-O82</f>
        <v>1230</v>
      </c>
      <c r="Q82" s="1" t="s">
        <v>14</v>
      </c>
      <c r="R82" s="44">
        <v>100</v>
      </c>
      <c r="S82" s="47">
        <v>500</v>
      </c>
      <c r="T82" s="4"/>
    </row>
    <row r="83" spans="1:20" x14ac:dyDescent="0.25">
      <c r="A83" s="7">
        <v>80</v>
      </c>
      <c r="D83" s="37" t="s">
        <v>113</v>
      </c>
      <c r="E83" s="17"/>
      <c r="F83" s="17"/>
      <c r="G83" s="33"/>
      <c r="H83" s="12">
        <v>1452</v>
      </c>
      <c r="I83" s="8" t="s">
        <v>97</v>
      </c>
      <c r="J83" s="3">
        <v>0</v>
      </c>
      <c r="K83" s="3">
        <v>36</v>
      </c>
      <c r="L83" s="3">
        <v>124</v>
      </c>
      <c r="M83" s="3">
        <v>80</v>
      </c>
      <c r="N83" s="3">
        <v>0</v>
      </c>
      <c r="O83" s="3">
        <v>0</v>
      </c>
      <c r="P83" s="4">
        <f t="shared" si="11"/>
        <v>1212</v>
      </c>
      <c r="Q83" s="65" t="s">
        <v>121</v>
      </c>
      <c r="R83" s="44">
        <v>300</v>
      </c>
      <c r="S83" s="47">
        <v>1000</v>
      </c>
      <c r="T83" s="4"/>
    </row>
    <row r="84" spans="1:20" x14ac:dyDescent="0.25">
      <c r="A84" s="8">
        <v>81</v>
      </c>
      <c r="D84" s="22" t="s">
        <v>103</v>
      </c>
      <c r="E84" s="10"/>
      <c r="F84" s="10"/>
      <c r="G84" s="28"/>
      <c r="H84" s="12">
        <v>234</v>
      </c>
      <c r="I84" s="8" t="s">
        <v>132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4">
        <f t="shared" si="11"/>
        <v>234</v>
      </c>
      <c r="R84" s="44">
        <v>60</v>
      </c>
      <c r="S84" s="47">
        <v>100</v>
      </c>
      <c r="T84" s="4"/>
    </row>
    <row r="85" spans="1:20" x14ac:dyDescent="0.25">
      <c r="A85" s="48">
        <v>82</v>
      </c>
      <c r="B85" s="41"/>
      <c r="C85" s="41"/>
      <c r="D85" s="49" t="s">
        <v>108</v>
      </c>
      <c r="E85" s="20"/>
      <c r="F85" s="20"/>
      <c r="G85" s="20"/>
      <c r="H85" s="12">
        <v>6000</v>
      </c>
      <c r="I85" s="8" t="s">
        <v>110</v>
      </c>
      <c r="J85" s="3">
        <v>20000</v>
      </c>
      <c r="K85" s="3">
        <v>500</v>
      </c>
      <c r="L85" s="3">
        <v>2000</v>
      </c>
      <c r="M85" s="3">
        <v>2500</v>
      </c>
      <c r="N85" s="3">
        <v>0</v>
      </c>
      <c r="O85" s="3">
        <v>0</v>
      </c>
      <c r="P85" s="99">
        <f t="shared" si="11"/>
        <v>21000</v>
      </c>
      <c r="R85" s="95">
        <v>10000</v>
      </c>
      <c r="S85" s="96">
        <v>30000</v>
      </c>
      <c r="T85" s="4"/>
    </row>
    <row r="86" spans="1:20" ht="15.75" customHeight="1" x14ac:dyDescent="0.25">
      <c r="A86" s="8">
        <v>83</v>
      </c>
      <c r="D86" s="49" t="s">
        <v>224</v>
      </c>
      <c r="E86" s="35"/>
      <c r="F86" s="35"/>
      <c r="G86" s="60"/>
      <c r="H86" s="12">
        <v>5</v>
      </c>
      <c r="I86" s="8" t="s">
        <v>171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4">
        <f t="shared" ref="P86:P87" si="14">+H86+J86-K86-L86-M86-N86-O86</f>
        <v>5</v>
      </c>
      <c r="Q86" s="4"/>
      <c r="R86" s="4">
        <v>5</v>
      </c>
      <c r="S86" s="4">
        <v>50</v>
      </c>
      <c r="T86" s="4"/>
    </row>
    <row r="87" spans="1:20" x14ac:dyDescent="0.25">
      <c r="A87" s="8">
        <v>84</v>
      </c>
      <c r="D87" s="68" t="s">
        <v>244</v>
      </c>
      <c r="E87" s="27"/>
      <c r="F87" s="27"/>
      <c r="G87" s="28"/>
      <c r="H87" s="4">
        <v>40</v>
      </c>
      <c r="I87" s="8" t="s">
        <v>2</v>
      </c>
      <c r="J87" s="3">
        <v>20</v>
      </c>
      <c r="K87" s="3">
        <v>0</v>
      </c>
      <c r="L87" s="3">
        <v>15</v>
      </c>
      <c r="M87" s="3">
        <v>0</v>
      </c>
      <c r="N87" s="3">
        <v>0</v>
      </c>
      <c r="O87" s="3">
        <v>0</v>
      </c>
      <c r="P87" s="4">
        <f t="shared" si="14"/>
        <v>45</v>
      </c>
      <c r="Q87" s="4"/>
      <c r="R87" s="4">
        <v>20</v>
      </c>
      <c r="S87" s="4">
        <v>100</v>
      </c>
      <c r="T87" s="4"/>
    </row>
    <row r="88" spans="1:20" x14ac:dyDescent="0.25">
      <c r="A88" s="48">
        <v>85</v>
      </c>
      <c r="B88" s="41"/>
      <c r="C88" s="41"/>
      <c r="D88" s="22" t="s">
        <v>245</v>
      </c>
      <c r="E88" s="10"/>
      <c r="F88" s="10"/>
      <c r="G88" s="11"/>
      <c r="H88" s="12">
        <v>40</v>
      </c>
      <c r="I88" s="8" t="s">
        <v>2</v>
      </c>
      <c r="J88" s="3">
        <v>20</v>
      </c>
      <c r="K88" s="3">
        <v>0</v>
      </c>
      <c r="L88" s="3">
        <v>15</v>
      </c>
      <c r="M88" s="3">
        <v>0</v>
      </c>
      <c r="N88" s="3">
        <v>0</v>
      </c>
      <c r="O88" s="3">
        <v>0</v>
      </c>
      <c r="P88" s="4">
        <f t="shared" si="11"/>
        <v>45</v>
      </c>
      <c r="Q88" s="4"/>
      <c r="R88" s="4">
        <v>20</v>
      </c>
      <c r="S88" s="4">
        <v>100</v>
      </c>
      <c r="T88" s="4"/>
    </row>
    <row r="89" spans="1:20" x14ac:dyDescent="0.25">
      <c r="A89" s="48">
        <v>86</v>
      </c>
      <c r="B89" s="41"/>
      <c r="C89" s="41"/>
      <c r="D89" s="22" t="s">
        <v>246</v>
      </c>
      <c r="E89" s="10"/>
      <c r="F89" s="10"/>
      <c r="G89" s="11"/>
      <c r="H89" s="4">
        <v>40</v>
      </c>
      <c r="I89" s="8" t="s">
        <v>2</v>
      </c>
      <c r="J89" s="3">
        <v>20</v>
      </c>
      <c r="K89" s="3">
        <v>0</v>
      </c>
      <c r="L89" s="3">
        <v>15</v>
      </c>
      <c r="M89" s="3">
        <v>0</v>
      </c>
      <c r="N89" s="3">
        <v>0</v>
      </c>
      <c r="O89" s="3">
        <v>0</v>
      </c>
      <c r="P89" s="4">
        <f t="shared" si="11"/>
        <v>45</v>
      </c>
      <c r="Q89" s="4" t="s">
        <v>14</v>
      </c>
      <c r="R89" s="4">
        <v>20</v>
      </c>
      <c r="S89" s="4">
        <v>100</v>
      </c>
      <c r="T89" s="4"/>
    </row>
    <row r="90" spans="1:20" x14ac:dyDescent="0.25">
      <c r="A90" s="48">
        <v>87</v>
      </c>
      <c r="B90" s="11"/>
      <c r="C90" s="23"/>
      <c r="D90" s="37" t="s">
        <v>247</v>
      </c>
      <c r="E90" s="17"/>
      <c r="F90" s="17"/>
      <c r="G90" s="18"/>
      <c r="H90" s="64">
        <v>40</v>
      </c>
      <c r="I90" s="62" t="s">
        <v>2</v>
      </c>
      <c r="J90" s="3">
        <v>20</v>
      </c>
      <c r="K90" s="3">
        <v>0</v>
      </c>
      <c r="L90" s="3">
        <v>15</v>
      </c>
      <c r="M90" s="3">
        <v>0</v>
      </c>
      <c r="N90" s="3">
        <v>0</v>
      </c>
      <c r="O90" s="3">
        <v>0</v>
      </c>
      <c r="P90" s="64">
        <f t="shared" si="11"/>
        <v>45</v>
      </c>
      <c r="Q90" s="64" t="s">
        <v>14</v>
      </c>
      <c r="R90" s="64">
        <v>20</v>
      </c>
      <c r="S90" s="64">
        <v>100</v>
      </c>
      <c r="T90" s="4"/>
    </row>
    <row r="91" spans="1:20" x14ac:dyDescent="0.25">
      <c r="A91" s="8">
        <v>88</v>
      </c>
      <c r="D91" s="68" t="s">
        <v>192</v>
      </c>
      <c r="E91" s="27"/>
      <c r="F91" s="27"/>
      <c r="G91" s="28"/>
      <c r="H91" s="74">
        <v>900</v>
      </c>
      <c r="I91" s="75" t="s">
        <v>110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4">
        <f t="shared" si="11"/>
        <v>900</v>
      </c>
      <c r="Q91" s="4"/>
      <c r="R91" s="4">
        <v>10</v>
      </c>
      <c r="S91" s="4">
        <v>50</v>
      </c>
      <c r="T91" s="4"/>
    </row>
    <row r="92" spans="1:20" x14ac:dyDescent="0.25">
      <c r="A92" s="62">
        <v>89</v>
      </c>
      <c r="D92" s="111" t="s">
        <v>177</v>
      </c>
      <c r="E92" s="14"/>
      <c r="F92" s="14"/>
      <c r="G92" s="15"/>
      <c r="H92" s="64">
        <v>2000</v>
      </c>
      <c r="I92" s="62" t="s">
        <v>110</v>
      </c>
      <c r="J92" s="63">
        <v>0</v>
      </c>
      <c r="K92" s="63">
        <v>0</v>
      </c>
      <c r="L92" s="63">
        <v>0</v>
      </c>
      <c r="M92" s="63">
        <v>0</v>
      </c>
      <c r="N92" s="63">
        <v>0</v>
      </c>
      <c r="O92" s="63">
        <v>0</v>
      </c>
      <c r="P92" s="64">
        <f t="shared" ref="P92:P93" si="15">+H92+J92-K92-L92-M92-N92-O92</f>
        <v>2000</v>
      </c>
      <c r="Q92" s="64" t="s">
        <v>110</v>
      </c>
      <c r="R92" s="64">
        <v>250</v>
      </c>
      <c r="S92" s="64">
        <v>2000</v>
      </c>
      <c r="T92" s="64"/>
    </row>
    <row r="93" spans="1:20" x14ac:dyDescent="0.25">
      <c r="A93" s="8">
        <v>90</v>
      </c>
      <c r="B93" s="27"/>
      <c r="C93" s="27"/>
      <c r="D93" s="22" t="s">
        <v>178</v>
      </c>
      <c r="E93" s="10"/>
      <c r="F93" s="10"/>
      <c r="G93" s="11"/>
      <c r="H93" s="4">
        <v>9000</v>
      </c>
      <c r="I93" s="8" t="s">
        <v>110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4">
        <f t="shared" si="15"/>
        <v>9000</v>
      </c>
      <c r="Q93" s="4" t="s">
        <v>110</v>
      </c>
      <c r="R93" s="4">
        <v>3000</v>
      </c>
      <c r="S93" s="4">
        <v>10000</v>
      </c>
      <c r="T93" s="4"/>
    </row>
    <row r="94" spans="1:20" x14ac:dyDescent="0.25">
      <c r="A94" s="112">
        <v>91</v>
      </c>
      <c r="D94" s="49" t="s">
        <v>229</v>
      </c>
      <c r="E94" s="20"/>
      <c r="F94" s="20"/>
      <c r="G94" s="21"/>
      <c r="H94" s="113">
        <v>544</v>
      </c>
      <c r="I94" s="112" t="s">
        <v>2</v>
      </c>
      <c r="J94" s="114">
        <v>0</v>
      </c>
      <c r="K94" s="114">
        <v>0</v>
      </c>
      <c r="L94" s="114">
        <v>0</v>
      </c>
      <c r="M94" s="114">
        <v>0</v>
      </c>
      <c r="N94" s="114">
        <v>0</v>
      </c>
      <c r="O94" s="114">
        <v>0</v>
      </c>
      <c r="P94" s="115">
        <f t="shared" si="11"/>
        <v>544</v>
      </c>
      <c r="Q94" s="115"/>
      <c r="R94" s="115">
        <v>20</v>
      </c>
      <c r="S94" s="115">
        <v>300</v>
      </c>
      <c r="T94" s="115"/>
    </row>
    <row r="95" spans="1:20" x14ac:dyDescent="0.25">
      <c r="A95" s="77">
        <v>92</v>
      </c>
      <c r="D95" s="49" t="s">
        <v>199</v>
      </c>
      <c r="E95" s="20"/>
      <c r="F95" s="20"/>
      <c r="G95" s="21"/>
      <c r="H95" s="23">
        <v>210</v>
      </c>
      <c r="I95" s="8" t="s">
        <v>2</v>
      </c>
      <c r="J95" s="3">
        <v>0</v>
      </c>
      <c r="K95" s="3">
        <v>0</v>
      </c>
      <c r="L95" s="3">
        <v>0</v>
      </c>
      <c r="M95" s="3">
        <v>0</v>
      </c>
      <c r="N95" s="3">
        <v>0</v>
      </c>
      <c r="O95" s="3">
        <v>0</v>
      </c>
      <c r="P95" s="4">
        <f t="shared" si="11"/>
        <v>210</v>
      </c>
      <c r="Q95" s="4"/>
      <c r="R95" s="4">
        <v>10</v>
      </c>
      <c r="S95" s="4">
        <v>200</v>
      </c>
      <c r="T95" s="4"/>
    </row>
    <row r="96" spans="1:20" x14ac:dyDescent="0.25">
      <c r="A96" s="8">
        <v>93</v>
      </c>
      <c r="D96" s="79" t="s">
        <v>150</v>
      </c>
      <c r="E96" s="80"/>
      <c r="F96" s="81"/>
      <c r="G96" s="82"/>
      <c r="H96" s="4">
        <v>508</v>
      </c>
      <c r="I96" s="8" t="s">
        <v>2</v>
      </c>
      <c r="J96" s="3">
        <v>0</v>
      </c>
      <c r="K96" s="3">
        <v>75</v>
      </c>
      <c r="L96" s="3">
        <v>10</v>
      </c>
      <c r="M96" s="3">
        <v>6</v>
      </c>
      <c r="N96" s="3">
        <v>0</v>
      </c>
      <c r="O96" s="3">
        <v>0</v>
      </c>
      <c r="P96" s="4">
        <f t="shared" ref="P96" si="16">+H96+J96-K96-L96-M96-N96-O96</f>
        <v>417</v>
      </c>
      <c r="Q96" s="4"/>
      <c r="R96" s="4">
        <v>75</v>
      </c>
      <c r="S96" s="4">
        <v>500</v>
      </c>
      <c r="T96" s="4"/>
    </row>
  </sheetData>
  <pageMargins left="0.75" right="0.75" top="1" bottom="1" header="0.5" footer="0.5"/>
  <pageSetup paperSize="9" scale="49" orientation="portrait" r:id="rId1"/>
  <colBreaks count="1" manualBreakCount="1">
    <brk id="19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52</vt:i4>
      </vt:variant>
      <vt:variant>
        <vt:lpstr>Adlandırılmış Aralıklar</vt:lpstr>
      </vt:variant>
      <vt:variant>
        <vt:i4>52</vt:i4>
      </vt:variant>
    </vt:vector>
  </HeadingPairs>
  <TitlesOfParts>
    <vt:vector size="104" baseType="lpstr">
      <vt:lpstr>eylül 4 hafta</vt:lpstr>
      <vt:lpstr>ekim 1 hafta</vt:lpstr>
      <vt:lpstr>ekim 2 hafta </vt:lpstr>
      <vt:lpstr>ekim 3 hafta</vt:lpstr>
      <vt:lpstr>ekim 4 hafta </vt:lpstr>
      <vt:lpstr>KASIM 1 HAFTA</vt:lpstr>
      <vt:lpstr>KASIM 2 HAFTA </vt:lpstr>
      <vt:lpstr>KASIM 3 HAFTA </vt:lpstr>
      <vt:lpstr>KASIM 4 HAFTA </vt:lpstr>
      <vt:lpstr>KASIM 5 HAFTA </vt:lpstr>
      <vt:lpstr>ARALIK 1 HAFTA</vt:lpstr>
      <vt:lpstr>ARALIK 2 HAFTA </vt:lpstr>
      <vt:lpstr>ARALIK 3 HAFTA </vt:lpstr>
      <vt:lpstr>ARALIK 4 HAFTA </vt:lpstr>
      <vt:lpstr>OCAK 1 HAFTA</vt:lpstr>
      <vt:lpstr>OCAK 2 HAFTA </vt:lpstr>
      <vt:lpstr>OCAK 3 HAFTA </vt:lpstr>
      <vt:lpstr>OCAK 4 HAFTA </vt:lpstr>
      <vt:lpstr>OCAK 5..ŞUBAT 1 HAFTA </vt:lpstr>
      <vt:lpstr>MART-NİSAN</vt:lpstr>
      <vt:lpstr>HAZ-TEM.2023</vt:lpstr>
      <vt:lpstr>TEMMUZ 2023</vt:lpstr>
      <vt:lpstr>AĞUSTOS 2023</vt:lpstr>
      <vt:lpstr>EYLÜL 2023</vt:lpstr>
      <vt:lpstr>EKİM 2023</vt:lpstr>
      <vt:lpstr>KASIM 2023</vt:lpstr>
      <vt:lpstr>ARALIK2023</vt:lpstr>
      <vt:lpstr>OCAK 2024</vt:lpstr>
      <vt:lpstr>ŞUBAT 2024</vt:lpstr>
      <vt:lpstr>MART 2024</vt:lpstr>
      <vt:lpstr>NİSAN 2024</vt:lpstr>
      <vt:lpstr>MAYIS 2024</vt:lpstr>
      <vt:lpstr>HAZİRAN 2024</vt:lpstr>
      <vt:lpstr>TEMMUZ 2024</vt:lpstr>
      <vt:lpstr>AĞUSTOS 2024</vt:lpstr>
      <vt:lpstr>EYLÜL 2024</vt:lpstr>
      <vt:lpstr>EKİM 2024</vt:lpstr>
      <vt:lpstr>KASIM 2024</vt:lpstr>
      <vt:lpstr>OCAK 2025</vt:lpstr>
      <vt:lpstr>ŞUBAT 2025</vt:lpstr>
      <vt:lpstr>MART 2025</vt:lpstr>
      <vt:lpstr>NİSAN 2025</vt:lpstr>
      <vt:lpstr>MAYIS 2025</vt:lpstr>
      <vt:lpstr>HAZİRAN 2025</vt:lpstr>
      <vt:lpstr>TEMMUZ 2025</vt:lpstr>
      <vt:lpstr>AĞUSTOS 2025</vt:lpstr>
      <vt:lpstr>EYLÜL 2025</vt:lpstr>
      <vt:lpstr>EKİM 2025</vt:lpstr>
      <vt:lpstr>KASIM 2025</vt:lpstr>
      <vt:lpstr>ARALIK 2025</vt:lpstr>
      <vt:lpstr>OCAK 2026</vt:lpstr>
      <vt:lpstr>ŞUBAT 2026</vt:lpstr>
      <vt:lpstr>'AĞUSTOS 2023'!PENTA</vt:lpstr>
      <vt:lpstr>'AĞUSTOS 2024'!PENTA</vt:lpstr>
      <vt:lpstr>'AĞUSTOS 2025'!PENTA</vt:lpstr>
      <vt:lpstr>'ARALIK 1 HAFTA'!PENTA</vt:lpstr>
      <vt:lpstr>'ARALIK 2 HAFTA '!PENTA</vt:lpstr>
      <vt:lpstr>'ARALIK 2025'!PENTA</vt:lpstr>
      <vt:lpstr>'ARALIK 3 HAFTA '!PENTA</vt:lpstr>
      <vt:lpstr>'ARALIK 4 HAFTA '!PENTA</vt:lpstr>
      <vt:lpstr>ARALIK2023!PENTA</vt:lpstr>
      <vt:lpstr>'ekim 1 hafta'!PENTA</vt:lpstr>
      <vt:lpstr>'ekim 2 hafta '!PENTA</vt:lpstr>
      <vt:lpstr>'EKİM 2023'!PENTA</vt:lpstr>
      <vt:lpstr>'EKİM 2024'!PENTA</vt:lpstr>
      <vt:lpstr>'EKİM 2025'!PENTA</vt:lpstr>
      <vt:lpstr>'ekim 3 hafta'!PENTA</vt:lpstr>
      <vt:lpstr>'ekim 4 hafta '!PENTA</vt:lpstr>
      <vt:lpstr>'EYLÜL 2023'!PENTA</vt:lpstr>
      <vt:lpstr>'EYLÜL 2024'!PENTA</vt:lpstr>
      <vt:lpstr>'EYLÜL 2025'!PENTA</vt:lpstr>
      <vt:lpstr>'HAZİRAN 2024'!PENTA</vt:lpstr>
      <vt:lpstr>'HAZİRAN 2025'!PENTA</vt:lpstr>
      <vt:lpstr>'HAZ-TEM.2023'!PENTA</vt:lpstr>
      <vt:lpstr>'KASIM 1 HAFTA'!PENTA</vt:lpstr>
      <vt:lpstr>'KASIM 2 HAFTA '!PENTA</vt:lpstr>
      <vt:lpstr>'KASIM 2023'!PENTA</vt:lpstr>
      <vt:lpstr>'KASIM 2024'!PENTA</vt:lpstr>
      <vt:lpstr>'KASIM 2025'!PENTA</vt:lpstr>
      <vt:lpstr>'KASIM 3 HAFTA '!PENTA</vt:lpstr>
      <vt:lpstr>'KASIM 4 HAFTA '!PENTA</vt:lpstr>
      <vt:lpstr>'KASIM 5 HAFTA '!PENTA</vt:lpstr>
      <vt:lpstr>'MART 2024'!PENTA</vt:lpstr>
      <vt:lpstr>'MART 2025'!PENTA</vt:lpstr>
      <vt:lpstr>'MART-NİSAN'!PENTA</vt:lpstr>
      <vt:lpstr>'MAYIS 2024'!PENTA</vt:lpstr>
      <vt:lpstr>'MAYIS 2025'!PENTA</vt:lpstr>
      <vt:lpstr>'NİSAN 2024'!PENTA</vt:lpstr>
      <vt:lpstr>'NİSAN 2025'!PENTA</vt:lpstr>
      <vt:lpstr>'OCAK 1 HAFTA'!PENTA</vt:lpstr>
      <vt:lpstr>'OCAK 2 HAFTA '!PENTA</vt:lpstr>
      <vt:lpstr>'OCAK 2024'!PENTA</vt:lpstr>
      <vt:lpstr>'OCAK 2025'!PENTA</vt:lpstr>
      <vt:lpstr>'OCAK 2026'!PENTA</vt:lpstr>
      <vt:lpstr>'OCAK 3 HAFTA '!PENTA</vt:lpstr>
      <vt:lpstr>'OCAK 4 HAFTA '!PENTA</vt:lpstr>
      <vt:lpstr>'OCAK 5..ŞUBAT 1 HAFTA '!PENTA</vt:lpstr>
      <vt:lpstr>'ŞUBAT 2024'!PENTA</vt:lpstr>
      <vt:lpstr>'ŞUBAT 2025'!PENTA</vt:lpstr>
      <vt:lpstr>'ŞUBAT 2026'!PENTA</vt:lpstr>
      <vt:lpstr>'TEMMUZ 2023'!PENTA</vt:lpstr>
      <vt:lpstr>'TEMMUZ 2024'!PENTA</vt:lpstr>
      <vt:lpstr>'TEMMUZ 2025'!PENTA</vt:lpstr>
      <vt:lpstr>PENTA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Abdulkerim Gürsoy</dc:creator>
  <cp:lastModifiedBy>Abdulkerim Gürsoy</cp:lastModifiedBy>
  <cp:lastPrinted>2026-02-25T05:33:10Z</cp:lastPrinted>
  <dcterms:created xsi:type="dcterms:W3CDTF">2022-09-15T06:05:13Z</dcterms:created>
  <dcterms:modified xsi:type="dcterms:W3CDTF">2026-02-25T07:55:32Z</dcterms:modified>
</cp:coreProperties>
</file>