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kerim.gursoy\Desktop\DEPO STOK\"/>
    </mc:Choice>
  </mc:AlternateContent>
  <xr:revisionPtr revIDLastSave="0" documentId="13_ncr:1_{03286CD2-CE81-4495-87C3-E294AF669CE6}" xr6:coauthVersionLast="47" xr6:coauthVersionMax="47" xr10:uidLastSave="{00000000-0000-0000-0000-000000000000}"/>
  <bookViews>
    <workbookView xWindow="-120" yWindow="-120" windowWidth="24240" windowHeight="13020" firstSheet="44" activeTab="49" xr2:uid="{00000000-000D-0000-FFFF-FFFF00000000}"/>
  </bookViews>
  <sheets>
    <sheet name="EYLÜL 2025 (2)" sheetId="47" r:id="rId1"/>
    <sheet name="eylül 4 hafta" sheetId="1" r:id="rId2"/>
    <sheet name="ekim 1 hafta " sheetId="4" r:id="rId3"/>
    <sheet name="ekim 2 hafta " sheetId="5" r:id="rId4"/>
    <sheet name="ekim 3 hafta" sheetId="6" r:id="rId5"/>
    <sheet name="ekim 4 hafta " sheetId="7" r:id="rId6"/>
    <sheet name="KASIM 1 HAFTA" sheetId="8" r:id="rId7"/>
    <sheet name="KASIM 2 HAFTA " sheetId="9" r:id="rId8"/>
    <sheet name="KASIM 3 HAFTA " sheetId="10" r:id="rId9"/>
    <sheet name="KASIM 4 HAFTA " sheetId="11" r:id="rId10"/>
    <sheet name="KASIM 5 HAFTA  " sheetId="12" r:id="rId11"/>
    <sheet name="ARALIK 1 HAFTA" sheetId="13" r:id="rId12"/>
    <sheet name="ARALIK 2 HAFTA " sheetId="14" r:id="rId13"/>
    <sheet name="ARALIK 3 HAFTA " sheetId="15" r:id="rId14"/>
    <sheet name="ARALIK 4 HAFTA" sheetId="16" r:id="rId15"/>
    <sheet name="OCAK 1 HAFTA" sheetId="17" r:id="rId16"/>
    <sheet name="OCAK 2 HAFTA " sheetId="18" r:id="rId17"/>
    <sheet name="OCAK 3 HAFTA " sheetId="19" r:id="rId18"/>
    <sheet name="HAZ-TEM.2023" sheetId="20" r:id="rId19"/>
    <sheet name="TEMMUZ 2023" sheetId="21" r:id="rId20"/>
    <sheet name="AĞUSTOS 2023" sheetId="22" r:id="rId21"/>
    <sheet name="EYLÜL 2023" sheetId="23" r:id="rId22"/>
    <sheet name="EKİM 2023" sheetId="24" r:id="rId23"/>
    <sheet name="KASIM 2023" sheetId="25" r:id="rId24"/>
    <sheet name="ARALIK2023" sheetId="26" r:id="rId25"/>
    <sheet name="OCAK 2024" sheetId="27" r:id="rId26"/>
    <sheet name="ŞUBAT 2024" sheetId="28" r:id="rId27"/>
    <sheet name="MART 2024" sheetId="29" r:id="rId28"/>
    <sheet name="NİSAN 2024" sheetId="30" r:id="rId29"/>
    <sheet name="mayıs 2024" sheetId="31" r:id="rId30"/>
    <sheet name="HAZİRAN 2024" sheetId="32" r:id="rId31"/>
    <sheet name="TEMMUZ 2024" sheetId="33" r:id="rId32"/>
    <sheet name="AĞUSTOS 2024" sheetId="34" r:id="rId33"/>
    <sheet name="EYLÜL 2024" sheetId="35" r:id="rId34"/>
    <sheet name="EKİM 2024" sheetId="36" r:id="rId35"/>
    <sheet name="KASIM 2024" sheetId="37" r:id="rId36"/>
    <sheet name="OCAK 2025" sheetId="38" r:id="rId37"/>
    <sheet name="ŞUBAT 2025" sheetId="39" r:id="rId38"/>
    <sheet name="MART 2025" sheetId="40" r:id="rId39"/>
    <sheet name="NİSAN 2025" sheetId="41" r:id="rId40"/>
    <sheet name="MAYIS 2025" sheetId="42" r:id="rId41"/>
    <sheet name="HAZİRAN 2025" sheetId="43" r:id="rId42"/>
    <sheet name="TEMMUZ 2025" sheetId="44" r:id="rId43"/>
    <sheet name="AĞUSTOS 2025" sheetId="45" r:id="rId44"/>
    <sheet name="EYLÜL 2025" sheetId="46" r:id="rId45"/>
    <sheet name="EKİM 2025" sheetId="48" r:id="rId46"/>
    <sheet name="KASIM 2025" sheetId="49" r:id="rId47"/>
    <sheet name="ARALIK 2025" sheetId="50" r:id="rId48"/>
    <sheet name="OCAK 2026" sheetId="51" r:id="rId49"/>
    <sheet name="ŞUBAT 2026" sheetId="52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7" i="52" l="1"/>
  <c r="N36" i="52"/>
  <c r="N35" i="52"/>
  <c r="N34" i="52"/>
  <c r="N33" i="52"/>
  <c r="N32" i="52"/>
  <c r="N31" i="52"/>
  <c r="N30" i="52"/>
  <c r="N29" i="52"/>
  <c r="N27" i="52"/>
  <c r="N26" i="52"/>
  <c r="N25" i="52"/>
  <c r="N24" i="52"/>
  <c r="N23" i="52"/>
  <c r="N22" i="52"/>
  <c r="N21" i="52"/>
  <c r="N20" i="52"/>
  <c r="N19" i="52"/>
  <c r="N18" i="52"/>
  <c r="N17" i="52"/>
  <c r="N16" i="52"/>
  <c r="N15" i="52"/>
  <c r="N14" i="52"/>
  <c r="N13" i="52"/>
  <c r="N12" i="52"/>
  <c r="N11" i="52"/>
  <c r="N10" i="52"/>
  <c r="N9" i="52"/>
  <c r="N8" i="52"/>
  <c r="N7" i="52"/>
  <c r="N6" i="52"/>
  <c r="N5" i="52"/>
  <c r="N4" i="52"/>
  <c r="N3" i="52"/>
  <c r="N37" i="51"/>
  <c r="N36" i="51"/>
  <c r="N35" i="51"/>
  <c r="N34" i="51"/>
  <c r="N33" i="51"/>
  <c r="N32" i="51"/>
  <c r="N31" i="51"/>
  <c r="N30" i="51"/>
  <c r="N29" i="51"/>
  <c r="N27" i="51"/>
  <c r="N26" i="51"/>
  <c r="N25" i="51"/>
  <c r="N24" i="51"/>
  <c r="N23" i="51"/>
  <c r="N22" i="51"/>
  <c r="N21" i="51"/>
  <c r="N20" i="51"/>
  <c r="N19" i="51"/>
  <c r="N18" i="51"/>
  <c r="N17" i="51"/>
  <c r="N16" i="51"/>
  <c r="N15" i="51"/>
  <c r="N14" i="51"/>
  <c r="N13" i="51"/>
  <c r="N12" i="51"/>
  <c r="N11" i="51"/>
  <c r="N10" i="51"/>
  <c r="N9" i="51"/>
  <c r="N8" i="51"/>
  <c r="N7" i="51"/>
  <c r="N6" i="51"/>
  <c r="N5" i="51"/>
  <c r="N4" i="51"/>
  <c r="N3" i="51"/>
  <c r="N37" i="50"/>
  <c r="N36" i="50"/>
  <c r="N35" i="50"/>
  <c r="N34" i="50"/>
  <c r="N33" i="50"/>
  <c r="N32" i="50"/>
  <c r="N31" i="50"/>
  <c r="N30" i="50"/>
  <c r="N29" i="50"/>
  <c r="N27" i="50"/>
  <c r="N26" i="50"/>
  <c r="N25" i="50"/>
  <c r="N24" i="50"/>
  <c r="N23" i="50"/>
  <c r="N22" i="50"/>
  <c r="N21" i="50"/>
  <c r="N20" i="50"/>
  <c r="N19" i="50"/>
  <c r="N18" i="50"/>
  <c r="N17" i="50"/>
  <c r="N16" i="50"/>
  <c r="N15" i="50"/>
  <c r="N14" i="50"/>
  <c r="N13" i="50"/>
  <c r="N12" i="50"/>
  <c r="N11" i="50"/>
  <c r="N10" i="50"/>
  <c r="N9" i="50"/>
  <c r="N8" i="50"/>
  <c r="N7" i="50"/>
  <c r="N6" i="50"/>
  <c r="N5" i="50"/>
  <c r="N4" i="50"/>
  <c r="N3" i="50"/>
  <c r="N37" i="49"/>
  <c r="N36" i="49"/>
  <c r="N35" i="49"/>
  <c r="N34" i="49"/>
  <c r="N33" i="49"/>
  <c r="N32" i="49"/>
  <c r="N31" i="49"/>
  <c r="N30" i="49"/>
  <c r="N29" i="49"/>
  <c r="N27" i="49"/>
  <c r="N26" i="49"/>
  <c r="N25" i="49"/>
  <c r="N24" i="49"/>
  <c r="N23" i="49"/>
  <c r="N22" i="49"/>
  <c r="N21" i="49"/>
  <c r="N20" i="49"/>
  <c r="N19" i="49"/>
  <c r="N18" i="49"/>
  <c r="N17" i="49"/>
  <c r="N16" i="49"/>
  <c r="N15" i="49"/>
  <c r="N14" i="49"/>
  <c r="N13" i="49"/>
  <c r="N12" i="49"/>
  <c r="N11" i="49"/>
  <c r="N10" i="49"/>
  <c r="N9" i="49"/>
  <c r="N8" i="49"/>
  <c r="N7" i="49"/>
  <c r="N6" i="49"/>
  <c r="N5" i="49"/>
  <c r="N4" i="49"/>
  <c r="N3" i="49"/>
  <c r="N37" i="48"/>
  <c r="N36" i="48"/>
  <c r="N35" i="48"/>
  <c r="N34" i="48"/>
  <c r="N33" i="48"/>
  <c r="N32" i="48"/>
  <c r="N31" i="48"/>
  <c r="N30" i="48"/>
  <c r="N29" i="48"/>
  <c r="N27" i="48"/>
  <c r="N26" i="48"/>
  <c r="N25" i="48"/>
  <c r="N24" i="48"/>
  <c r="N23" i="48"/>
  <c r="N22" i="48"/>
  <c r="N21" i="48"/>
  <c r="N20" i="48"/>
  <c r="N19" i="48"/>
  <c r="N18" i="48"/>
  <c r="N17" i="48"/>
  <c r="N16" i="48"/>
  <c r="N15" i="48"/>
  <c r="N14" i="48"/>
  <c r="N13" i="48"/>
  <c r="N12" i="48"/>
  <c r="N11" i="48"/>
  <c r="N10" i="48"/>
  <c r="N9" i="48"/>
  <c r="N8" i="48"/>
  <c r="N7" i="48"/>
  <c r="N6" i="48"/>
  <c r="N5" i="48"/>
  <c r="N4" i="48"/>
  <c r="N3" i="48"/>
  <c r="N37" i="47"/>
  <c r="N36" i="47"/>
  <c r="N35" i="47"/>
  <c r="N34" i="47"/>
  <c r="N33" i="47"/>
  <c r="N32" i="47"/>
  <c r="N31" i="47"/>
  <c r="N30" i="47"/>
  <c r="N29" i="47"/>
  <c r="N27" i="47"/>
  <c r="N26" i="47"/>
  <c r="N25" i="47"/>
  <c r="N24" i="47"/>
  <c r="N23" i="47"/>
  <c r="N22" i="47"/>
  <c r="N21" i="47"/>
  <c r="N20" i="47"/>
  <c r="N19" i="47"/>
  <c r="N18" i="47"/>
  <c r="N17" i="47"/>
  <c r="N16" i="47"/>
  <c r="N15" i="47"/>
  <c r="N14" i="47"/>
  <c r="N13" i="47"/>
  <c r="N12" i="47"/>
  <c r="N11" i="47"/>
  <c r="N10" i="47"/>
  <c r="N9" i="47"/>
  <c r="N8" i="47"/>
  <c r="N7" i="47"/>
  <c r="N6" i="47"/>
  <c r="N5" i="47"/>
  <c r="N4" i="47"/>
  <c r="N3" i="47"/>
  <c r="N37" i="46"/>
  <c r="N36" i="46"/>
  <c r="N35" i="46"/>
  <c r="N34" i="46"/>
  <c r="N33" i="46"/>
  <c r="N32" i="46"/>
  <c r="N31" i="46"/>
  <c r="N30" i="46"/>
  <c r="N29" i="46"/>
  <c r="N27" i="46"/>
  <c r="N26" i="46"/>
  <c r="N25" i="46"/>
  <c r="N24" i="46"/>
  <c r="N23" i="46"/>
  <c r="N22" i="46"/>
  <c r="N21" i="46"/>
  <c r="N20" i="46"/>
  <c r="N19" i="46"/>
  <c r="N18" i="46"/>
  <c r="N17" i="46"/>
  <c r="N16" i="46"/>
  <c r="N15" i="46"/>
  <c r="N14" i="46"/>
  <c r="N13" i="46"/>
  <c r="N12" i="46"/>
  <c r="N11" i="46"/>
  <c r="N10" i="46"/>
  <c r="N9" i="46"/>
  <c r="N8" i="46"/>
  <c r="N7" i="46"/>
  <c r="N6" i="46"/>
  <c r="N5" i="46"/>
  <c r="N4" i="46"/>
  <c r="N3" i="46"/>
  <c r="N37" i="45"/>
  <c r="N36" i="45"/>
  <c r="N35" i="45"/>
  <c r="N34" i="45"/>
  <c r="N33" i="45"/>
  <c r="N32" i="45"/>
  <c r="N31" i="45"/>
  <c r="N30" i="45"/>
  <c r="N29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N7" i="45"/>
  <c r="N6" i="45"/>
  <c r="N5" i="45"/>
  <c r="N4" i="45"/>
  <c r="N3" i="45"/>
  <c r="N37" i="44"/>
  <c r="N36" i="44"/>
  <c r="N35" i="44"/>
  <c r="N34" i="44"/>
  <c r="N33" i="44"/>
  <c r="N32" i="44"/>
  <c r="N31" i="44"/>
  <c r="N30" i="44"/>
  <c r="N29" i="44"/>
  <c r="N27" i="44"/>
  <c r="N26" i="44"/>
  <c r="N25" i="44"/>
  <c r="N24" i="44"/>
  <c r="N23" i="44"/>
  <c r="N22" i="44"/>
  <c r="N21" i="44"/>
  <c r="N20" i="44"/>
  <c r="N19" i="44"/>
  <c r="N18" i="44"/>
  <c r="N17" i="44"/>
  <c r="N16" i="44"/>
  <c r="N15" i="44"/>
  <c r="N14" i="44"/>
  <c r="N13" i="44"/>
  <c r="N12" i="44"/>
  <c r="N11" i="44"/>
  <c r="N10" i="44"/>
  <c r="N9" i="44"/>
  <c r="N8" i="44"/>
  <c r="N7" i="44"/>
  <c r="N6" i="44"/>
  <c r="N5" i="44"/>
  <c r="N4" i="44"/>
  <c r="N3" i="44"/>
  <c r="N37" i="43"/>
  <c r="N36" i="43"/>
  <c r="N35" i="43"/>
  <c r="N34" i="43"/>
  <c r="N33" i="43"/>
  <c r="N32" i="43"/>
  <c r="N31" i="43"/>
  <c r="N30" i="43"/>
  <c r="N29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N8" i="43"/>
  <c r="N7" i="43"/>
  <c r="N6" i="43"/>
  <c r="N5" i="43"/>
  <c r="N4" i="43"/>
  <c r="N3" i="43"/>
  <c r="N37" i="42"/>
  <c r="N36" i="42"/>
  <c r="N35" i="42"/>
  <c r="N34" i="42"/>
  <c r="N33" i="42"/>
  <c r="N32" i="42"/>
  <c r="N31" i="42"/>
  <c r="N30" i="42"/>
  <c r="N29" i="42"/>
  <c r="N27" i="42"/>
  <c r="N26" i="42"/>
  <c r="N25" i="42"/>
  <c r="N24" i="42"/>
  <c r="N23" i="42"/>
  <c r="N22" i="42"/>
  <c r="N21" i="42"/>
  <c r="N20" i="42"/>
  <c r="N19" i="42"/>
  <c r="N18" i="42"/>
  <c r="N17" i="42"/>
  <c r="N16" i="42"/>
  <c r="N15" i="42"/>
  <c r="N14" i="42"/>
  <c r="N13" i="42"/>
  <c r="N12" i="42"/>
  <c r="N11" i="42"/>
  <c r="N10" i="42"/>
  <c r="N9" i="42"/>
  <c r="N8" i="42"/>
  <c r="N7" i="42"/>
  <c r="N6" i="42"/>
  <c r="N5" i="42"/>
  <c r="N4" i="42"/>
  <c r="N3" i="42"/>
  <c r="N37" i="41"/>
  <c r="N36" i="41"/>
  <c r="N35" i="41"/>
  <c r="N34" i="41"/>
  <c r="N33" i="41"/>
  <c r="N32" i="41"/>
  <c r="N31" i="41"/>
  <c r="N30" i="41"/>
  <c r="N29" i="41"/>
  <c r="N27" i="41"/>
  <c r="N26" i="41"/>
  <c r="N25" i="41"/>
  <c r="N24" i="41"/>
  <c r="N23" i="41"/>
  <c r="N22" i="41"/>
  <c r="N21" i="41"/>
  <c r="N20" i="41"/>
  <c r="N19" i="41"/>
  <c r="N18" i="41"/>
  <c r="N17" i="41"/>
  <c r="N16" i="41"/>
  <c r="N15" i="41"/>
  <c r="N14" i="41"/>
  <c r="N13" i="41"/>
  <c r="N12" i="41"/>
  <c r="N11" i="41"/>
  <c r="N10" i="41"/>
  <c r="N9" i="41"/>
  <c r="N8" i="41"/>
  <c r="N7" i="41"/>
  <c r="N6" i="41"/>
  <c r="N5" i="41"/>
  <c r="N4" i="41"/>
  <c r="N3" i="41"/>
  <c r="N37" i="40"/>
  <c r="N36" i="40"/>
  <c r="N35" i="40"/>
  <c r="N34" i="40"/>
  <c r="N33" i="40" l="1"/>
  <c r="N32" i="40"/>
  <c r="N31" i="40"/>
  <c r="N30" i="40"/>
  <c r="N29" i="40"/>
  <c r="N27" i="40"/>
  <c r="N26" i="40"/>
  <c r="N25" i="40"/>
  <c r="N24" i="40"/>
  <c r="N23" i="40"/>
  <c r="N22" i="40"/>
  <c r="N21" i="40"/>
  <c r="N20" i="40"/>
  <c r="N19" i="40"/>
  <c r="N18" i="40"/>
  <c r="N17" i="40"/>
  <c r="N16" i="40"/>
  <c r="N15" i="40"/>
  <c r="N14" i="40"/>
  <c r="N13" i="40"/>
  <c r="N12" i="40"/>
  <c r="N11" i="40"/>
  <c r="N10" i="40"/>
  <c r="N9" i="40"/>
  <c r="N8" i="40"/>
  <c r="N7" i="40"/>
  <c r="N6" i="40"/>
  <c r="N5" i="40"/>
  <c r="N4" i="40"/>
  <c r="N3" i="40"/>
  <c r="N33" i="39" l="1"/>
  <c r="N32" i="39"/>
  <c r="N31" i="39"/>
  <c r="N30" i="39"/>
  <c r="N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N11" i="39"/>
  <c r="N10" i="39"/>
  <c r="N9" i="39"/>
  <c r="N8" i="39"/>
  <c r="N7" i="39"/>
  <c r="N6" i="39"/>
  <c r="N5" i="39"/>
  <c r="N4" i="39"/>
  <c r="N3" i="39"/>
  <c r="N33" i="38" l="1"/>
  <c r="N32" i="38"/>
  <c r="N31" i="38"/>
  <c r="N30" i="38"/>
  <c r="N29" i="38" l="1"/>
  <c r="N28" i="38"/>
  <c r="N27" i="38"/>
  <c r="N26" i="38"/>
  <c r="N25" i="38"/>
  <c r="N24" i="38"/>
  <c r="N23" i="38"/>
  <c r="N22" i="38"/>
  <c r="N21" i="38"/>
  <c r="N20" i="38"/>
  <c r="N19" i="38"/>
  <c r="N18" i="38"/>
  <c r="N17" i="38"/>
  <c r="N16" i="38"/>
  <c r="N15" i="38"/>
  <c r="N14" i="38"/>
  <c r="N13" i="38"/>
  <c r="N12" i="38"/>
  <c r="N11" i="38"/>
  <c r="N10" i="38"/>
  <c r="N9" i="38"/>
  <c r="N8" i="38"/>
  <c r="N7" i="38"/>
  <c r="N6" i="38"/>
  <c r="N5" i="38"/>
  <c r="N4" i="38"/>
  <c r="N3" i="38"/>
  <c r="N29" i="37" l="1"/>
  <c r="N28" i="37"/>
  <c r="N27" i="37"/>
  <c r="N26" i="37"/>
  <c r="N25" i="37"/>
  <c r="N24" i="37"/>
  <c r="N23" i="37"/>
  <c r="N22" i="37"/>
  <c r="N21" i="37"/>
  <c r="N20" i="37"/>
  <c r="N19" i="37"/>
  <c r="N18" i="37"/>
  <c r="N17" i="37"/>
  <c r="N16" i="37"/>
  <c r="N15" i="37"/>
  <c r="N14" i="37"/>
  <c r="N13" i="37"/>
  <c r="N12" i="37"/>
  <c r="N11" i="37"/>
  <c r="N10" i="37"/>
  <c r="N9" i="37"/>
  <c r="N8" i="37"/>
  <c r="N7" i="37"/>
  <c r="N6" i="37"/>
  <c r="N5" i="37"/>
  <c r="N4" i="37"/>
  <c r="N3" i="37"/>
  <c r="N29" i="36" l="1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N3" i="36"/>
  <c r="N29" i="35" l="1"/>
  <c r="N28" i="35"/>
  <c r="N27" i="35"/>
  <c r="N26" i="35"/>
  <c r="N25" i="35"/>
  <c r="N24" i="35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9" i="35"/>
  <c r="N8" i="35"/>
  <c r="N7" i="35"/>
  <c r="N6" i="35"/>
  <c r="N5" i="35"/>
  <c r="N4" i="35"/>
  <c r="N3" i="35"/>
  <c r="N29" i="34" l="1"/>
  <c r="N28" i="34"/>
  <c r="N27" i="34"/>
  <c r="N26" i="34"/>
  <c r="N25" i="34"/>
  <c r="N24" i="34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N29" i="33" l="1"/>
  <c r="N28" i="33"/>
  <c r="N27" i="33"/>
  <c r="N26" i="33"/>
  <c r="N25" i="33"/>
  <c r="N24" i="33"/>
  <c r="N23" i="33"/>
  <c r="N22" i="33"/>
  <c r="N21" i="33"/>
  <c r="N20" i="33"/>
  <c r="N19" i="33"/>
  <c r="N18" i="33"/>
  <c r="N17" i="33"/>
  <c r="N16" i="33"/>
  <c r="N15" i="33"/>
  <c r="N14" i="33"/>
  <c r="N13" i="33"/>
  <c r="N12" i="33"/>
  <c r="N11" i="33"/>
  <c r="N10" i="33"/>
  <c r="N9" i="33"/>
  <c r="N8" i="33"/>
  <c r="N7" i="33"/>
  <c r="N6" i="33"/>
  <c r="N5" i="33"/>
  <c r="N4" i="33"/>
  <c r="N3" i="33"/>
  <c r="N29" i="32" l="1"/>
  <c r="N28" i="32"/>
  <c r="N27" i="32"/>
  <c r="N26" i="32"/>
  <c r="N25" i="32"/>
  <c r="N24" i="32"/>
  <c r="N23" i="32"/>
  <c r="N22" i="32"/>
  <c r="N21" i="32"/>
  <c r="N20" i="32"/>
  <c r="N19" i="32"/>
  <c r="N18" i="32"/>
  <c r="N17" i="32"/>
  <c r="N16" i="32"/>
  <c r="N15" i="32"/>
  <c r="N14" i="32"/>
  <c r="N13" i="32"/>
  <c r="N12" i="32"/>
  <c r="N11" i="32"/>
  <c r="N10" i="32"/>
  <c r="N9" i="32"/>
  <c r="N8" i="32"/>
  <c r="N7" i="32"/>
  <c r="N6" i="32"/>
  <c r="N5" i="32"/>
  <c r="N4" i="32"/>
  <c r="N3" i="32"/>
  <c r="N29" i="31" l="1"/>
  <c r="N28" i="31"/>
  <c r="N27" i="31"/>
  <c r="N26" i="31"/>
  <c r="N25" i="3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N4" i="31"/>
  <c r="N3" i="31"/>
  <c r="N29" i="30" l="1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N11" i="30"/>
  <c r="N10" i="30"/>
  <c r="N9" i="30"/>
  <c r="N8" i="30"/>
  <c r="N7" i="30"/>
  <c r="N6" i="30"/>
  <c r="N5" i="30"/>
  <c r="N4" i="30"/>
  <c r="N3" i="30"/>
  <c r="N29" i="29" l="1"/>
  <c r="N28" i="29"/>
  <c r="N27" i="29"/>
  <c r="N26" i="29"/>
  <c r="N25" i="29"/>
  <c r="N24" i="29"/>
  <c r="N23" i="29"/>
  <c r="N22" i="29"/>
  <c r="N21" i="29"/>
  <c r="N20" i="29"/>
  <c r="N19" i="29"/>
  <c r="N18" i="29"/>
  <c r="N17" i="29"/>
  <c r="N16" i="29"/>
  <c r="N15" i="29"/>
  <c r="N14" i="29"/>
  <c r="N13" i="29"/>
  <c r="N12" i="29"/>
  <c r="N11" i="29"/>
  <c r="N10" i="29"/>
  <c r="N9" i="29"/>
  <c r="N8" i="29"/>
  <c r="N7" i="29"/>
  <c r="N6" i="29"/>
  <c r="N5" i="29"/>
  <c r="N4" i="29"/>
  <c r="N3" i="29"/>
  <c r="N29" i="28" l="1"/>
  <c r="N28" i="28" l="1"/>
  <c r="N27" i="28"/>
  <c r="N26" i="28"/>
  <c r="N25" i="28"/>
  <c r="N24" i="28"/>
  <c r="N23" i="28"/>
  <c r="N22" i="28"/>
  <c r="N21" i="28"/>
  <c r="N20" i="28"/>
  <c r="N19" i="28"/>
  <c r="N18" i="28"/>
  <c r="N17" i="28"/>
  <c r="N16" i="28"/>
  <c r="N15" i="28"/>
  <c r="N14" i="28"/>
  <c r="N13" i="28"/>
  <c r="N12" i="28"/>
  <c r="N11" i="28"/>
  <c r="N10" i="28"/>
  <c r="N9" i="28"/>
  <c r="N8" i="28"/>
  <c r="N7" i="28"/>
  <c r="N6" i="28"/>
  <c r="N5" i="28"/>
  <c r="N4" i="28"/>
  <c r="N3" i="28"/>
  <c r="N26" i="27" l="1"/>
  <c r="N23" i="27"/>
  <c r="N27" i="27"/>
  <c r="N28" i="27" l="1"/>
  <c r="N25" i="27"/>
  <c r="N24" i="27"/>
  <c r="N22" i="27"/>
  <c r="N21" i="27"/>
  <c r="N20" i="27"/>
  <c r="N19" i="27"/>
  <c r="N18" i="27"/>
  <c r="N17" i="27"/>
  <c r="N16" i="27"/>
  <c r="N14" i="27"/>
  <c r="N13" i="27"/>
  <c r="N12" i="27"/>
  <c r="N11" i="27"/>
  <c r="N10" i="27"/>
  <c r="N9" i="27"/>
  <c r="N8" i="27"/>
  <c r="N7" i="27"/>
  <c r="N6" i="27"/>
  <c r="N5" i="27"/>
  <c r="N4" i="27"/>
  <c r="N3" i="27"/>
  <c r="N28" i="26" l="1"/>
  <c r="N27" i="26"/>
  <c r="N26" i="26"/>
  <c r="N25" i="26"/>
  <c r="N24" i="26"/>
  <c r="N23" i="26"/>
  <c r="N22" i="26"/>
  <c r="N21" i="26"/>
  <c r="N20" i="26"/>
  <c r="N19" i="26"/>
  <c r="N18" i="26"/>
  <c r="N17" i="26"/>
  <c r="N16" i="26"/>
  <c r="N14" i="26"/>
  <c r="N13" i="26"/>
  <c r="N12" i="26"/>
  <c r="N11" i="26"/>
  <c r="N10" i="26"/>
  <c r="N9" i="26"/>
  <c r="N8" i="26"/>
  <c r="N7" i="26"/>
  <c r="N6" i="26"/>
  <c r="N5" i="26"/>
  <c r="N4" i="26"/>
  <c r="N3" i="26"/>
  <c r="N28" i="25" l="1"/>
  <c r="N27" i="25"/>
  <c r="N26" i="25"/>
  <c r="N25" i="25"/>
  <c r="N24" i="25"/>
  <c r="N23" i="25"/>
  <c r="N22" i="25"/>
  <c r="N21" i="25"/>
  <c r="N20" i="25"/>
  <c r="N19" i="25"/>
  <c r="N18" i="25"/>
  <c r="N17" i="25"/>
  <c r="N16" i="25"/>
  <c r="N14" i="25"/>
  <c r="N13" i="25"/>
  <c r="N12" i="25"/>
  <c r="N11" i="25"/>
  <c r="N10" i="25"/>
  <c r="N9" i="25"/>
  <c r="N8" i="25"/>
  <c r="N7" i="25"/>
  <c r="N6" i="25"/>
  <c r="N5" i="25"/>
  <c r="N4" i="25"/>
  <c r="N3" i="25"/>
  <c r="N28" i="24" l="1"/>
  <c r="N27" i="24"/>
  <c r="N26" i="24"/>
  <c r="N25" i="24"/>
  <c r="N24" i="24"/>
  <c r="N23" i="24"/>
  <c r="N22" i="24"/>
  <c r="N21" i="24"/>
  <c r="N20" i="24"/>
  <c r="N19" i="24"/>
  <c r="N18" i="24"/>
  <c r="N17" i="24"/>
  <c r="N16" i="24"/>
  <c r="N14" i="24"/>
  <c r="N13" i="24"/>
  <c r="N12" i="24"/>
  <c r="N11" i="24"/>
  <c r="N10" i="24"/>
  <c r="N9" i="24"/>
  <c r="N8" i="24"/>
  <c r="N7" i="24"/>
  <c r="N6" i="24"/>
  <c r="N5" i="24"/>
  <c r="N4" i="24"/>
  <c r="N3" i="24"/>
  <c r="N28" i="23" l="1"/>
  <c r="N27" i="23"/>
  <c r="N26" i="23"/>
  <c r="N25" i="23"/>
  <c r="N24" i="23"/>
  <c r="N23" i="23"/>
  <c r="N22" i="23"/>
  <c r="N21" i="23"/>
  <c r="N20" i="23"/>
  <c r="N19" i="23"/>
  <c r="N18" i="23"/>
  <c r="N17" i="23"/>
  <c r="N16" i="23"/>
  <c r="N14" i="23"/>
  <c r="N13" i="23"/>
  <c r="N12" i="23"/>
  <c r="N11" i="23"/>
  <c r="N10" i="23"/>
  <c r="N9" i="23"/>
  <c r="N8" i="23"/>
  <c r="N7" i="23"/>
  <c r="N6" i="23"/>
  <c r="N5" i="23"/>
  <c r="N4" i="23"/>
  <c r="N3" i="23"/>
  <c r="N28" i="22" l="1"/>
  <c r="N27" i="22"/>
  <c r="N26" i="22"/>
  <c r="N25" i="22"/>
  <c r="N24" i="22"/>
  <c r="N23" i="22"/>
  <c r="N22" i="22"/>
  <c r="N21" i="22"/>
  <c r="N20" i="22"/>
  <c r="N19" i="22"/>
  <c r="N18" i="22"/>
  <c r="N17" i="22"/>
  <c r="N16" i="22"/>
  <c r="N14" i="22"/>
  <c r="N13" i="22"/>
  <c r="N12" i="22"/>
  <c r="N11" i="22"/>
  <c r="N10" i="22"/>
  <c r="N9" i="22"/>
  <c r="N8" i="22"/>
  <c r="N7" i="22"/>
  <c r="N6" i="22"/>
  <c r="N5" i="22"/>
  <c r="N4" i="22"/>
  <c r="N3" i="22"/>
  <c r="N28" i="21" l="1"/>
  <c r="N27" i="21"/>
  <c r="N26" i="21"/>
  <c r="N25" i="21"/>
  <c r="N24" i="21"/>
  <c r="N23" i="21"/>
  <c r="N22" i="21"/>
  <c r="N21" i="21"/>
  <c r="N20" i="21"/>
  <c r="N19" i="21"/>
  <c r="N18" i="21"/>
  <c r="N17" i="21"/>
  <c r="N16" i="21"/>
  <c r="N14" i="21"/>
  <c r="N13" i="21"/>
  <c r="N12" i="21"/>
  <c r="N11" i="21"/>
  <c r="N10" i="21"/>
  <c r="N9" i="21"/>
  <c r="N8" i="21"/>
  <c r="N7" i="21"/>
  <c r="N6" i="21"/>
  <c r="N5" i="21"/>
  <c r="N4" i="21"/>
  <c r="N3" i="21"/>
  <c r="N28" i="20" l="1"/>
  <c r="N27" i="20"/>
  <c r="N26" i="20"/>
  <c r="N25" i="20"/>
  <c r="N24" i="20"/>
  <c r="N23" i="20"/>
  <c r="N22" i="20"/>
  <c r="N21" i="20"/>
  <c r="N20" i="20"/>
  <c r="N19" i="20"/>
  <c r="N18" i="20"/>
  <c r="N17" i="20"/>
  <c r="N16" i="20"/>
  <c r="N14" i="20"/>
  <c r="N13" i="20"/>
  <c r="N12" i="20"/>
  <c r="N11" i="20"/>
  <c r="N10" i="20"/>
  <c r="N9" i="20"/>
  <c r="N8" i="20"/>
  <c r="N7" i="20"/>
  <c r="N6" i="20"/>
  <c r="N5" i="20"/>
  <c r="N4" i="20"/>
  <c r="N3" i="20"/>
  <c r="N28" i="19" l="1"/>
  <c r="N27" i="19"/>
  <c r="N26" i="19"/>
  <c r="N25" i="19"/>
  <c r="N24" i="19"/>
  <c r="N23" i="19"/>
  <c r="N22" i="19"/>
  <c r="N21" i="19"/>
  <c r="N20" i="19"/>
  <c r="N19" i="19"/>
  <c r="N18" i="19"/>
  <c r="N17" i="19"/>
  <c r="N14" i="19"/>
  <c r="N13" i="19"/>
  <c r="N11" i="19"/>
  <c r="N10" i="19"/>
  <c r="N9" i="19"/>
  <c r="N8" i="19"/>
  <c r="N7" i="19"/>
  <c r="N6" i="19"/>
  <c r="N5" i="19"/>
  <c r="N3" i="19"/>
  <c r="N28" i="18" l="1"/>
  <c r="N27" i="18"/>
  <c r="N26" i="18"/>
  <c r="N25" i="18"/>
  <c r="N24" i="18"/>
  <c r="N23" i="18"/>
  <c r="N22" i="18"/>
  <c r="N21" i="18"/>
  <c r="N20" i="18"/>
  <c r="N19" i="18"/>
  <c r="N18" i="18"/>
  <c r="N17" i="18"/>
  <c r="N14" i="18"/>
  <c r="N13" i="18"/>
  <c r="N11" i="18"/>
  <c r="N10" i="18"/>
  <c r="N9" i="18"/>
  <c r="N8" i="18"/>
  <c r="N7" i="18"/>
  <c r="N6" i="18"/>
  <c r="N5" i="18"/>
  <c r="N3" i="18"/>
  <c r="N28" i="17" l="1"/>
  <c r="N27" i="17"/>
  <c r="N26" i="17"/>
  <c r="N25" i="17"/>
  <c r="N24" i="17"/>
  <c r="N23" i="17"/>
  <c r="N22" i="17"/>
  <c r="N21" i="17"/>
  <c r="N20" i="17"/>
  <c r="N19" i="17"/>
  <c r="N18" i="17"/>
  <c r="N17" i="17"/>
  <c r="N14" i="17"/>
  <c r="N13" i="17"/>
  <c r="N11" i="17"/>
  <c r="N10" i="17"/>
  <c r="N9" i="17"/>
  <c r="N8" i="17"/>
  <c r="N6" i="17"/>
  <c r="N3" i="17"/>
  <c r="N28" i="16" l="1"/>
  <c r="N27" i="16"/>
  <c r="N26" i="16"/>
  <c r="N25" i="16"/>
  <c r="N24" i="16"/>
  <c r="N23" i="16"/>
  <c r="N22" i="16"/>
  <c r="N21" i="16"/>
  <c r="N20" i="16"/>
  <c r="N19" i="16"/>
  <c r="N18" i="16"/>
  <c r="N17" i="16"/>
  <c r="N14" i="16"/>
  <c r="N13" i="16"/>
  <c r="N11" i="16"/>
  <c r="N10" i="16"/>
  <c r="N9" i="16"/>
  <c r="N8" i="16"/>
  <c r="N6" i="16"/>
  <c r="N3" i="16"/>
  <c r="N28" i="15" l="1"/>
  <c r="N27" i="15"/>
  <c r="N26" i="15"/>
  <c r="N25" i="15"/>
  <c r="N24" i="15"/>
  <c r="N23" i="15"/>
  <c r="N22" i="15"/>
  <c r="N21" i="15"/>
  <c r="N20" i="15"/>
  <c r="N18" i="15"/>
  <c r="N17" i="15"/>
  <c r="N14" i="15"/>
  <c r="N13" i="15"/>
  <c r="N11" i="15"/>
  <c r="N10" i="15"/>
  <c r="N9" i="15"/>
  <c r="N8" i="15"/>
  <c r="N6" i="15"/>
  <c r="N3" i="15"/>
  <c r="N28" i="14" l="1"/>
  <c r="N27" i="14" l="1"/>
  <c r="N26" i="14"/>
  <c r="N25" i="14"/>
  <c r="N24" i="14"/>
  <c r="N23" i="14"/>
  <c r="N22" i="14"/>
  <c r="N21" i="14"/>
  <c r="N20" i="14"/>
  <c r="N18" i="14"/>
  <c r="N17" i="14"/>
  <c r="N14" i="14"/>
  <c r="N13" i="14"/>
  <c r="N11" i="14"/>
  <c r="N10" i="14"/>
  <c r="N9" i="14"/>
  <c r="N6" i="14"/>
  <c r="N3" i="14"/>
  <c r="N27" i="13" l="1"/>
  <c r="N26" i="13" l="1"/>
  <c r="N25" i="13" l="1"/>
  <c r="N24" i="13"/>
  <c r="N23" i="13"/>
  <c r="N22" i="13"/>
  <c r="N21" i="13"/>
  <c r="N18" i="13"/>
  <c r="N17" i="13"/>
  <c r="N14" i="13"/>
  <c r="N13" i="13"/>
  <c r="N11" i="13"/>
  <c r="N10" i="13"/>
  <c r="N6" i="13"/>
  <c r="N3" i="13"/>
  <c r="N25" i="12" l="1"/>
  <c r="N24" i="12"/>
  <c r="N23" i="12"/>
  <c r="N22" i="12"/>
  <c r="N21" i="12"/>
  <c r="N17" i="12"/>
  <c r="N14" i="12"/>
  <c r="N11" i="12"/>
  <c r="N10" i="12"/>
  <c r="N6" i="12"/>
  <c r="N25" i="11" l="1"/>
  <c r="N24" i="11"/>
  <c r="E24" i="10" l="1"/>
  <c r="N17" i="9" l="1"/>
  <c r="F17" i="10" s="1"/>
  <c r="N17" i="10" s="1"/>
  <c r="F17" i="11" s="1"/>
  <c r="N17" i="11" s="1"/>
  <c r="F3" i="9" l="1"/>
  <c r="N3" i="9" s="1"/>
  <c r="F3" i="10" s="1"/>
  <c r="N3" i="10" s="1"/>
  <c r="F3" i="12" l="1"/>
  <c r="N3" i="12" s="1"/>
  <c r="F3" i="11"/>
  <c r="N3" i="11" s="1"/>
  <c r="N23" i="11"/>
  <c r="N14" i="11"/>
  <c r="N19" i="10"/>
  <c r="N10" i="10"/>
  <c r="F10" i="11" s="1"/>
  <c r="N10" i="11" s="1"/>
  <c r="N10" i="9"/>
  <c r="F10" i="10" s="1"/>
  <c r="E3" i="8"/>
  <c r="F19" i="15" l="1"/>
  <c r="N19" i="15" s="1"/>
  <c r="F19" i="14"/>
  <c r="N19" i="14" s="1"/>
  <c r="F19" i="13"/>
  <c r="N19" i="13" s="1"/>
  <c r="F19" i="12"/>
  <c r="N19" i="12" s="1"/>
  <c r="F19" i="11"/>
  <c r="N19" i="11" s="1"/>
  <c r="M22" i="7"/>
  <c r="E22" i="8" s="1"/>
  <c r="M22" i="8" s="1"/>
  <c r="F23" i="9" s="1"/>
  <c r="N23" i="9" s="1"/>
  <c r="F23" i="10" s="1"/>
  <c r="N23" i="10" s="1"/>
  <c r="M22" i="6" l="1"/>
  <c r="M15" i="6" l="1"/>
  <c r="E15" i="7" s="1"/>
  <c r="M15" i="7" s="1"/>
  <c r="E15" i="8" s="1"/>
  <c r="M15" i="8" s="1"/>
  <c r="F15" i="9" s="1"/>
  <c r="N15" i="9" s="1"/>
  <c r="F15" i="10" s="1"/>
  <c r="N15" i="10" s="1"/>
  <c r="F15" i="27" l="1"/>
  <c r="N15" i="27" s="1"/>
  <c r="F15" i="26"/>
  <c r="N15" i="26" s="1"/>
  <c r="F15" i="25"/>
  <c r="N15" i="25" s="1"/>
  <c r="F15" i="24"/>
  <c r="N15" i="24" s="1"/>
  <c r="F15" i="23"/>
  <c r="N15" i="23" s="1"/>
  <c r="F15" i="22"/>
  <c r="N15" i="22" s="1"/>
  <c r="F15" i="21"/>
  <c r="N15" i="21" s="1"/>
  <c r="F15" i="20"/>
  <c r="N15" i="20" s="1"/>
  <c r="F15" i="19"/>
  <c r="N15" i="19" s="1"/>
  <c r="F15" i="18"/>
  <c r="N15" i="18" s="1"/>
  <c r="F15" i="17"/>
  <c r="N15" i="17" s="1"/>
  <c r="F15" i="16"/>
  <c r="N15" i="16" s="1"/>
  <c r="F15" i="15"/>
  <c r="N15" i="15" s="1"/>
  <c r="F15" i="14"/>
  <c r="N15" i="14" s="1"/>
  <c r="F15" i="13"/>
  <c r="N15" i="13" s="1"/>
  <c r="F15" i="12"/>
  <c r="N15" i="12" s="1"/>
  <c r="F15" i="11"/>
  <c r="N15" i="11" s="1"/>
  <c r="M21" i="5"/>
  <c r="E21" i="6" s="1"/>
  <c r="M21" i="6" s="1"/>
  <c r="E21" i="7" s="1"/>
  <c r="M21" i="7" s="1"/>
  <c r="E21" i="8" s="1"/>
  <c r="M21" i="8" s="1"/>
  <c r="F22" i="9" s="1"/>
  <c r="N22" i="9" s="1"/>
  <c r="F22" i="10" s="1"/>
  <c r="N22" i="10" s="1"/>
  <c r="F22" i="11" s="1"/>
  <c r="N22" i="11" s="1"/>
  <c r="M21" i="4" l="1"/>
  <c r="M20" i="5" l="1"/>
  <c r="E20" i="6" s="1"/>
  <c r="M20" i="6" s="1"/>
  <c r="E20" i="7" s="1"/>
  <c r="M20" i="7" s="1"/>
  <c r="E20" i="8" s="1"/>
  <c r="M20" i="8" s="1"/>
  <c r="F21" i="9" s="1"/>
  <c r="N21" i="9" s="1"/>
  <c r="F21" i="10" s="1"/>
  <c r="N21" i="10" s="1"/>
  <c r="F21" i="11" s="1"/>
  <c r="N21" i="11" s="1"/>
  <c r="M19" i="5"/>
  <c r="E19" i="6" s="1"/>
  <c r="M19" i="6" s="1"/>
  <c r="E19" i="7" s="1"/>
  <c r="M19" i="7" s="1"/>
  <c r="E19" i="8" s="1"/>
  <c r="M19" i="8" s="1"/>
  <c r="F20" i="9" s="1"/>
  <c r="N20" i="9" s="1"/>
  <c r="F20" i="10" s="1"/>
  <c r="N20" i="10" s="1"/>
  <c r="M18" i="5"/>
  <c r="E18" i="6" s="1"/>
  <c r="M18" i="6" s="1"/>
  <c r="E18" i="7" s="1"/>
  <c r="M18" i="7" s="1"/>
  <c r="E18" i="8" s="1"/>
  <c r="M18" i="8" s="1"/>
  <c r="F19" i="9" s="1"/>
  <c r="N19" i="9" s="1"/>
  <c r="M17" i="5"/>
  <c r="E17" i="6" s="1"/>
  <c r="M17" i="6" s="1"/>
  <c r="E17" i="7" s="1"/>
  <c r="M17" i="7" s="1"/>
  <c r="E17" i="8" s="1"/>
  <c r="M17" i="8" s="1"/>
  <c r="F18" i="9" s="1"/>
  <c r="N18" i="9" s="1"/>
  <c r="F18" i="10" s="1"/>
  <c r="N18" i="10" s="1"/>
  <c r="M16" i="5"/>
  <c r="E16" i="6" s="1"/>
  <c r="M16" i="6" s="1"/>
  <c r="E16" i="7" s="1"/>
  <c r="M16" i="7" s="1"/>
  <c r="E16" i="8" s="1"/>
  <c r="M16" i="8" s="1"/>
  <c r="F16" i="9" s="1"/>
  <c r="N16" i="9" s="1"/>
  <c r="F16" i="10" s="1"/>
  <c r="N16" i="10" s="1"/>
  <c r="M15" i="5"/>
  <c r="M14" i="5"/>
  <c r="E14" i="6" s="1"/>
  <c r="M14" i="6" s="1"/>
  <c r="E14" i="7" s="1"/>
  <c r="M14" i="7" s="1"/>
  <c r="E14" i="8" s="1"/>
  <c r="M14" i="8" s="1"/>
  <c r="F14" i="9" s="1"/>
  <c r="N14" i="9" s="1"/>
  <c r="F14" i="10" s="1"/>
  <c r="N14" i="10" s="1"/>
  <c r="M13" i="5"/>
  <c r="E13" i="6" s="1"/>
  <c r="M13" i="6" s="1"/>
  <c r="E13" i="7" s="1"/>
  <c r="M13" i="7" s="1"/>
  <c r="E13" i="8" s="1"/>
  <c r="M13" i="8" s="1"/>
  <c r="F13" i="9" s="1"/>
  <c r="N13" i="9" s="1"/>
  <c r="F13" i="10" s="1"/>
  <c r="N13" i="10" s="1"/>
  <c r="M12" i="5"/>
  <c r="E12" i="6" s="1"/>
  <c r="M12" i="6" s="1"/>
  <c r="E12" i="7" s="1"/>
  <c r="M12" i="7" s="1"/>
  <c r="E12" i="8" s="1"/>
  <c r="M12" i="8" s="1"/>
  <c r="F12" i="9" s="1"/>
  <c r="N12" i="9" s="1"/>
  <c r="F12" i="10" s="1"/>
  <c r="N12" i="10" s="1"/>
  <c r="M11" i="5"/>
  <c r="E11" i="6" s="1"/>
  <c r="M11" i="6" s="1"/>
  <c r="E11" i="7" s="1"/>
  <c r="M11" i="7" s="1"/>
  <c r="E11" i="8" s="1"/>
  <c r="M11" i="8" s="1"/>
  <c r="F11" i="9" s="1"/>
  <c r="N11" i="9" s="1"/>
  <c r="F11" i="10" s="1"/>
  <c r="N11" i="10" s="1"/>
  <c r="F11" i="11" s="1"/>
  <c r="N11" i="11" s="1"/>
  <c r="M10" i="5"/>
  <c r="E10" i="6" s="1"/>
  <c r="M10" i="6" s="1"/>
  <c r="E10" i="7" s="1"/>
  <c r="M10" i="7" s="1"/>
  <c r="E10" i="8" s="1"/>
  <c r="M10" i="8" s="1"/>
  <c r="M9" i="5"/>
  <c r="E9" i="6" s="1"/>
  <c r="M9" i="6" s="1"/>
  <c r="E9" i="7" s="1"/>
  <c r="M9" i="7" s="1"/>
  <c r="E9" i="8" s="1"/>
  <c r="M9" i="8" s="1"/>
  <c r="F9" i="9" s="1"/>
  <c r="N9" i="9" s="1"/>
  <c r="F9" i="10" s="1"/>
  <c r="N9" i="10" s="1"/>
  <c r="M8" i="5"/>
  <c r="E8" i="6" s="1"/>
  <c r="M8" i="6" s="1"/>
  <c r="E8" i="7" s="1"/>
  <c r="M8" i="7" s="1"/>
  <c r="E8" i="8" s="1"/>
  <c r="M8" i="8" s="1"/>
  <c r="F8" i="9" s="1"/>
  <c r="N8" i="9" s="1"/>
  <c r="F8" i="10" s="1"/>
  <c r="N8" i="10" s="1"/>
  <c r="M7" i="5"/>
  <c r="E7" i="6" s="1"/>
  <c r="M7" i="6" s="1"/>
  <c r="E7" i="7" s="1"/>
  <c r="M7" i="7" s="1"/>
  <c r="E7" i="8" s="1"/>
  <c r="M7" i="8" s="1"/>
  <c r="F7" i="9" s="1"/>
  <c r="N7" i="9" s="1"/>
  <c r="F7" i="10" s="1"/>
  <c r="N7" i="10" s="1"/>
  <c r="M6" i="5"/>
  <c r="E6" i="6" s="1"/>
  <c r="M6" i="6" s="1"/>
  <c r="E6" i="7" s="1"/>
  <c r="M6" i="7" s="1"/>
  <c r="E6" i="8" s="1"/>
  <c r="M6" i="8" s="1"/>
  <c r="F6" i="9" s="1"/>
  <c r="N6" i="9" s="1"/>
  <c r="F6" i="10" s="1"/>
  <c r="N6" i="10" s="1"/>
  <c r="F6" i="11" s="1"/>
  <c r="N6" i="11" s="1"/>
  <c r="M5" i="5"/>
  <c r="E5" i="6" s="1"/>
  <c r="M5" i="6" s="1"/>
  <c r="E5" i="7" s="1"/>
  <c r="M5" i="7" s="1"/>
  <c r="E5" i="8" s="1"/>
  <c r="M5" i="8" s="1"/>
  <c r="F5" i="9" s="1"/>
  <c r="N5" i="9" s="1"/>
  <c r="F5" i="10" s="1"/>
  <c r="N5" i="10" s="1"/>
  <c r="M4" i="5"/>
  <c r="E4" i="6" s="1"/>
  <c r="M4" i="6" s="1"/>
  <c r="E4" i="7" s="1"/>
  <c r="M4" i="7" s="1"/>
  <c r="E4" i="8" s="1"/>
  <c r="M4" i="8" s="1"/>
  <c r="F4" i="9" s="1"/>
  <c r="N4" i="9" s="1"/>
  <c r="F4" i="10" s="1"/>
  <c r="N4" i="10" s="1"/>
  <c r="M3" i="5"/>
  <c r="E3" i="6" s="1"/>
  <c r="M3" i="6" s="1"/>
  <c r="E3" i="7" s="1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F13" i="12" l="1"/>
  <c r="N13" i="12" s="1"/>
  <c r="F13" i="11"/>
  <c r="N13" i="11" s="1"/>
  <c r="F5" i="17"/>
  <c r="N5" i="17" s="1"/>
  <c r="F5" i="16"/>
  <c r="N5" i="16" s="1"/>
  <c r="F5" i="15"/>
  <c r="N5" i="15" s="1"/>
  <c r="F5" i="14"/>
  <c r="N5" i="14" s="1"/>
  <c r="F5" i="13"/>
  <c r="N5" i="13" s="1"/>
  <c r="F5" i="12"/>
  <c r="N5" i="12" s="1"/>
  <c r="F5" i="11"/>
  <c r="N5" i="11" s="1"/>
  <c r="F18" i="12"/>
  <c r="N18" i="12" s="1"/>
  <c r="F18" i="11"/>
  <c r="N18" i="11" s="1"/>
  <c r="F7" i="17"/>
  <c r="N7" i="17" s="1"/>
  <c r="F7" i="16"/>
  <c r="N7" i="16" s="1"/>
  <c r="F7" i="15"/>
  <c r="N7" i="15" s="1"/>
  <c r="F7" i="14"/>
  <c r="N7" i="14" s="1"/>
  <c r="F7" i="13"/>
  <c r="N7" i="13" s="1"/>
  <c r="F7" i="12"/>
  <c r="N7" i="12" s="1"/>
  <c r="F7" i="11"/>
  <c r="N7" i="11" s="1"/>
  <c r="F20" i="13"/>
  <c r="N20" i="13" s="1"/>
  <c r="F20" i="12"/>
  <c r="N20" i="12" s="1"/>
  <c r="F20" i="11"/>
  <c r="N20" i="11" s="1"/>
  <c r="F9" i="13"/>
  <c r="N9" i="13" s="1"/>
  <c r="F9" i="12"/>
  <c r="N9" i="12" s="1"/>
  <c r="F9" i="11"/>
  <c r="N9" i="11" s="1"/>
  <c r="F4" i="19"/>
  <c r="N4" i="19" s="1"/>
  <c r="F4" i="18"/>
  <c r="N4" i="18" s="1"/>
  <c r="F4" i="17"/>
  <c r="N4" i="17" s="1"/>
  <c r="F4" i="16"/>
  <c r="N4" i="16" s="1"/>
  <c r="F4" i="15"/>
  <c r="N4" i="15" s="1"/>
  <c r="F4" i="14"/>
  <c r="N4" i="14" s="1"/>
  <c r="F4" i="13"/>
  <c r="N4" i="13" s="1"/>
  <c r="F4" i="12"/>
  <c r="N4" i="12" s="1"/>
  <c r="F4" i="11"/>
  <c r="N4" i="11" s="1"/>
  <c r="F8" i="14"/>
  <c r="N8" i="14" s="1"/>
  <c r="F8" i="13"/>
  <c r="N8" i="13" s="1"/>
  <c r="F8" i="12"/>
  <c r="N8" i="12" s="1"/>
  <c r="F8" i="11"/>
  <c r="N8" i="11" s="1"/>
  <c r="F12" i="19"/>
  <c r="N12" i="19" s="1"/>
  <c r="F12" i="18"/>
  <c r="N12" i="18" s="1"/>
  <c r="F12" i="17"/>
  <c r="N12" i="17" s="1"/>
  <c r="F12" i="16"/>
  <c r="N12" i="16" s="1"/>
  <c r="F12" i="15"/>
  <c r="N12" i="15" s="1"/>
  <c r="F12" i="14"/>
  <c r="N12" i="14" s="1"/>
  <c r="F12" i="13"/>
  <c r="N12" i="13" s="1"/>
  <c r="F12" i="12"/>
  <c r="N12" i="12" s="1"/>
  <c r="F12" i="11"/>
  <c r="N12" i="11" s="1"/>
  <c r="F16" i="19"/>
  <c r="N16" i="19" s="1"/>
  <c r="F16" i="18"/>
  <c r="N16" i="18" s="1"/>
  <c r="F16" i="17"/>
  <c r="N16" i="17" s="1"/>
  <c r="F16" i="16"/>
  <c r="N16" i="16" s="1"/>
  <c r="F16" i="15"/>
  <c r="N16" i="15" s="1"/>
  <c r="F16" i="14"/>
  <c r="N16" i="14" s="1"/>
  <c r="F16" i="13"/>
  <c r="N16" i="13" s="1"/>
  <c r="F16" i="12"/>
  <c r="N16" i="12" s="1"/>
  <c r="F16" i="11"/>
  <c r="N16" i="11" s="1"/>
  <c r="M20" i="1"/>
  <c r="M19" i="1" l="1"/>
  <c r="M18" i="1"/>
  <c r="M17" i="1"/>
  <c r="M16" i="1" l="1"/>
  <c r="M15" i="1" l="1"/>
  <c r="M14" i="1" l="1"/>
  <c r="M13" i="1" l="1"/>
  <c r="M12" i="1" l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<sst xmlns="http://schemas.openxmlformats.org/spreadsheetml/2006/main" count="2169" uniqueCount="85">
  <si>
    <t>U  BAĞLANTI DEMİRİ</t>
  </si>
  <si>
    <t xml:space="preserve"> AYAK SOMUNU(BIDIK)</t>
  </si>
  <si>
    <t>M10 OYNAR BAŞLIKLI BİNGO</t>
  </si>
  <si>
    <t>M8 CİVATALI BİNGO</t>
  </si>
  <si>
    <t>M8 OYNAR BAŞLIKLI BİNGO</t>
  </si>
  <si>
    <t>M8 CİVATALI BİNGO_MOB.</t>
  </si>
  <si>
    <t>M6 SOKET</t>
  </si>
  <si>
    <t xml:space="preserve">PİMLİ TEKER NAYLON  50 </t>
  </si>
  <si>
    <t xml:space="preserve">SİLİKON TEKER </t>
  </si>
  <si>
    <t xml:space="preserve">ÜRÜN CİNSİ </t>
  </si>
  <si>
    <t>KALAN</t>
  </si>
  <si>
    <t>GELEN</t>
  </si>
  <si>
    <t>PİMLİ BİNGO</t>
  </si>
  <si>
    <t>AÇIKLAMA</t>
  </si>
  <si>
    <t>KROM</t>
  </si>
  <si>
    <t>REFAKATÇI SİY.KÜÇÜK</t>
  </si>
  <si>
    <t>SİYAH KÜÇÜK</t>
  </si>
  <si>
    <t>PLASTİK SİY.BÜYÜK</t>
  </si>
  <si>
    <t>TOKMAK</t>
  </si>
  <si>
    <t>devir</t>
  </si>
  <si>
    <t>SEKRETER KÖRÜK</t>
  </si>
  <si>
    <t>VEGA KÖRÜK</t>
  </si>
  <si>
    <t>VEGA KONFERANS KOL</t>
  </si>
  <si>
    <t>VEGA ÇAKMA KOL</t>
  </si>
  <si>
    <t>LALE AYAK ÇEKYAT GEÇMELİ</t>
  </si>
  <si>
    <t>SİNEMA KAPAK KISA</t>
  </si>
  <si>
    <t>KUYRUKLU TİLK MEKANİZMA</t>
  </si>
  <si>
    <t>AHŞAP KÖRÜK</t>
  </si>
  <si>
    <t>5 cm krom ayarlı ayak</t>
  </si>
  <si>
    <t>S.NO</t>
  </si>
  <si>
    <t>MİNİMUN</t>
  </si>
  <si>
    <t>MAKSİMUN</t>
  </si>
  <si>
    <t>AHŞAP TELESKOP KÖRÜK</t>
  </si>
  <si>
    <t>VEGA KONFERANS KOL tablalı</t>
  </si>
  <si>
    <t>DEVİR</t>
  </si>
  <si>
    <t>ADET</t>
  </si>
  <si>
    <t>28 MM İÇ TAKOZ</t>
  </si>
  <si>
    <t>19 MM İÇ TAKOZ</t>
  </si>
  <si>
    <t>ARALIK 1 HAFTA</t>
  </si>
  <si>
    <t>ÇİFT KOLLU TİLK MEK. / GÖLCÜ</t>
  </si>
  <si>
    <t>VEGA ÇAKMA KOL SEHPALI</t>
  </si>
  <si>
    <t>TORNA AYAK AHŞAP</t>
  </si>
  <si>
    <t>ARALIK 2 HAFTA</t>
  </si>
  <si>
    <t>PİMLİ TEKER NAYLON  60</t>
  </si>
  <si>
    <t>ARALIK 3 HAFTA</t>
  </si>
  <si>
    <t>ARALIK 4 HAFTA</t>
  </si>
  <si>
    <t xml:space="preserve">ÇİFT KOLLU TİLK MEK. </t>
  </si>
  <si>
    <t>OCAK 1 HAFTA</t>
  </si>
  <si>
    <t xml:space="preserve"> </t>
  </si>
  <si>
    <t>OCAK 2 HAFTA</t>
  </si>
  <si>
    <t>BANK İÇİN</t>
  </si>
  <si>
    <t>OCAK 3 HAFTA</t>
  </si>
  <si>
    <t>HAZİRAN 2023.</t>
  </si>
  <si>
    <t>YAZI TABLASI</t>
  </si>
  <si>
    <t>M8 SOKET</t>
  </si>
  <si>
    <t xml:space="preserve">VEGA ÇAKMA KOL </t>
  </si>
  <si>
    <t>SENRON MEKANİZMA</t>
  </si>
  <si>
    <t>TORNA AYAK</t>
  </si>
  <si>
    <t>PİMLİ TEKER 60 LIK BEYAZ</t>
  </si>
  <si>
    <t>YARASA ŞASE KUYRUKLU</t>
  </si>
  <si>
    <t xml:space="preserve">YARASA ŞASE </t>
  </si>
  <si>
    <t>PİMLİ TEKER 50 LIK SLİKONLU</t>
  </si>
  <si>
    <t>YENİ SİNM. KISA KAPAK</t>
  </si>
  <si>
    <t>TK</t>
  </si>
  <si>
    <t>TELLY KUYRUKLU ŞASE</t>
  </si>
  <si>
    <t>ZIMBA  TELİ 8014</t>
  </si>
  <si>
    <t>ZIMBA TELİ 8008</t>
  </si>
  <si>
    <t>ZIMBA  TELİ 9240 / KOLİ</t>
  </si>
  <si>
    <t>AYAK TASI KROM</t>
  </si>
  <si>
    <t>AYAK TASI  SİYAH</t>
  </si>
  <si>
    <t>EKO SEKRETER KÖRÜK</t>
  </si>
  <si>
    <t xml:space="preserve">AMT. SEKRETER KÖRÜK </t>
  </si>
  <si>
    <t xml:space="preserve">NİSAN </t>
  </si>
  <si>
    <t>MAYIS</t>
  </si>
  <si>
    <t>HAZİRAN</t>
  </si>
  <si>
    <t>TEMMUZ</t>
  </si>
  <si>
    <t>AĞUSTOS</t>
  </si>
  <si>
    <t>EYLÜL</t>
  </si>
  <si>
    <t xml:space="preserve"> SİNEMA KISA KAPAK</t>
  </si>
  <si>
    <t>EKİM</t>
  </si>
  <si>
    <t>iade olacak</t>
  </si>
  <si>
    <t>KASIM</t>
  </si>
  <si>
    <t>ARALIK</t>
  </si>
  <si>
    <t>OCAK</t>
  </si>
  <si>
    <t>ŞUBAT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</si>
</sst>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164" fontId="1" fillId="0" borderId="1" xfId="0" applyNumberFormat="1" applyFont="1" applyBorder="1"/>
    <xf numFmtId="164" fontId="3" fillId="0" borderId="1" xfId="0" applyNumberFormat="1" applyFont="1" applyBorder="1"/>
    <xf numFmtId="164" fontId="1" fillId="2" borderId="1" xfId="0" applyNumberFormat="1" applyFont="1" applyFill="1" applyBorder="1"/>
    <xf numFmtId="164" fontId="3" fillId="2" borderId="1" xfId="0" applyNumberFormat="1" applyFont="1" applyFill="1" applyBorder="1"/>
    <xf numFmtId="0" fontId="1" fillId="2" borderId="1" xfId="0" applyFont="1" applyFill="1" applyBorder="1"/>
    <xf numFmtId="0" fontId="1" fillId="0" borderId="1" xfId="0" applyFont="1" applyFill="1" applyBorder="1"/>
    <xf numFmtId="0" fontId="1" fillId="0" borderId="4" xfId="0" applyFont="1" applyFill="1" applyBorder="1"/>
    <xf numFmtId="164" fontId="2" fillId="0" borderId="4" xfId="0" applyNumberFormat="1" applyFont="1" applyBorder="1"/>
    <xf numFmtId="0" fontId="0" fillId="0" borderId="4" xfId="0" applyBorder="1"/>
    <xf numFmtId="164" fontId="0" fillId="0" borderId="4" xfId="0" applyNumberFormat="1" applyBorder="1" applyAlignment="1">
      <alignment horizontal="center"/>
    </xf>
    <xf numFmtId="0" fontId="1" fillId="2" borderId="4" xfId="0" applyFont="1" applyFill="1" applyBorder="1"/>
    <xf numFmtId="0" fontId="1" fillId="0" borderId="4" xfId="0" applyFont="1" applyBorder="1"/>
    <xf numFmtId="3" fontId="1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17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/>
    <xf numFmtId="0" fontId="0" fillId="5" borderId="4" xfId="0" applyFill="1" applyBorder="1"/>
    <xf numFmtId="0" fontId="0" fillId="4" borderId="4" xfId="0" applyFill="1" applyBorder="1"/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4" fontId="0" fillId="0" borderId="0" xfId="0" applyNumberFormat="1"/>
    <xf numFmtId="0" fontId="0" fillId="5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0DBF-8AFE-4E4B-9255-B2A90D702D2C}">
  <dimension ref="A1:Q37"/>
  <sheetViews>
    <sheetView topLeftCell="A24" workbookViewId="0">
      <selection activeCell="M34" sqref="M3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77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45905</v>
      </c>
      <c r="J2" s="6">
        <v>45912</v>
      </c>
      <c r="K2" s="6">
        <v>45919</v>
      </c>
      <c r="L2" s="6">
        <v>45926</v>
      </c>
      <c r="M2" s="6">
        <v>45930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1950</v>
      </c>
      <c r="G3" s="1"/>
      <c r="H3" s="8">
        <v>5000</v>
      </c>
      <c r="I3" s="8">
        <v>0</v>
      </c>
      <c r="J3" s="8">
        <v>0</v>
      </c>
      <c r="K3" s="8">
        <v>500</v>
      </c>
      <c r="L3" s="8">
        <v>500</v>
      </c>
      <c r="M3" s="8">
        <v>500</v>
      </c>
      <c r="N3" s="14">
        <f t="shared" ref="N3:N37" si="0">+F3-I3-J3-K3-L3-M3+H3</f>
        <v>5450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6500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1500</v>
      </c>
      <c r="N4" s="14">
        <f t="shared" si="0"/>
        <v>5000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750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150</v>
      </c>
      <c r="N5" s="14">
        <f t="shared" si="0"/>
        <v>600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3000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500</v>
      </c>
      <c r="N6" s="14">
        <f t="shared" si="0"/>
        <v>2500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1000</v>
      </c>
      <c r="G9" s="1"/>
      <c r="H9" s="8">
        <v>1000</v>
      </c>
      <c r="I9" s="8">
        <v>0</v>
      </c>
      <c r="J9" s="8">
        <v>0</v>
      </c>
      <c r="K9" s="8">
        <v>0</v>
      </c>
      <c r="L9" s="8">
        <v>0</v>
      </c>
      <c r="M9" s="8">
        <v>500</v>
      </c>
      <c r="N9" s="14">
        <f t="shared" si="0"/>
        <v>1500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12000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2000</v>
      </c>
      <c r="N10" s="14">
        <f t="shared" si="0"/>
        <v>10000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5000</v>
      </c>
      <c r="G11" s="1">
        <v>0</v>
      </c>
      <c r="H11" s="8">
        <v>15000</v>
      </c>
      <c r="I11" s="8">
        <v>1000</v>
      </c>
      <c r="J11" s="8">
        <v>1800</v>
      </c>
      <c r="K11" s="8">
        <v>1750</v>
      </c>
      <c r="L11" s="8">
        <v>1000</v>
      </c>
      <c r="M11" s="8">
        <v>850</v>
      </c>
      <c r="N11" s="14">
        <f t="shared" si="0"/>
        <v>13600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1187</v>
      </c>
      <c r="G12" s="1"/>
      <c r="H12" s="8">
        <v>0</v>
      </c>
      <c r="I12" s="8">
        <v>0</v>
      </c>
      <c r="J12" s="8">
        <v>4</v>
      </c>
      <c r="K12" s="8">
        <v>0</v>
      </c>
      <c r="L12" s="8">
        <v>0</v>
      </c>
      <c r="M12" s="8">
        <v>4</v>
      </c>
      <c r="N12" s="14">
        <f t="shared" si="0"/>
        <v>1179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51</v>
      </c>
      <c r="M14" s="8">
        <v>0</v>
      </c>
      <c r="N14" s="15">
        <f t="shared" si="0"/>
        <v>449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1650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1650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250</v>
      </c>
      <c r="G17" s="1">
        <v>165</v>
      </c>
      <c r="H17" s="8">
        <v>0</v>
      </c>
      <c r="I17" s="8">
        <v>0</v>
      </c>
      <c r="J17" s="8">
        <v>40</v>
      </c>
      <c r="K17" s="8">
        <v>40</v>
      </c>
      <c r="L17" s="8">
        <v>0</v>
      </c>
      <c r="M17" s="8">
        <v>0</v>
      </c>
      <c r="N17" s="15">
        <f t="shared" si="0"/>
        <v>170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4500</v>
      </c>
      <c r="G18" s="1">
        <v>500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4500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66</v>
      </c>
      <c r="G19" s="1"/>
      <c r="H19" s="8">
        <v>100</v>
      </c>
      <c r="I19" s="8">
        <v>0</v>
      </c>
      <c r="J19" s="8">
        <v>0</v>
      </c>
      <c r="K19" s="8">
        <v>30</v>
      </c>
      <c r="L19" s="8">
        <v>0</v>
      </c>
      <c r="M19" s="8">
        <v>0</v>
      </c>
      <c r="N19" s="15">
        <f t="shared" si="0"/>
        <v>136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50</v>
      </c>
      <c r="G20" s="1"/>
      <c r="H20" s="8">
        <v>50</v>
      </c>
      <c r="I20" s="8">
        <v>0</v>
      </c>
      <c r="J20" s="8">
        <v>0</v>
      </c>
      <c r="K20" s="8">
        <v>70</v>
      </c>
      <c r="L20" s="8">
        <v>0</v>
      </c>
      <c r="M20" s="8">
        <v>0</v>
      </c>
      <c r="N20" s="15">
        <f t="shared" si="0"/>
        <v>30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1409</v>
      </c>
      <c r="G22" s="1"/>
      <c r="H22" s="8">
        <v>0</v>
      </c>
      <c r="I22" s="8">
        <v>0</v>
      </c>
      <c r="J22" s="8">
        <v>32</v>
      </c>
      <c r="K22" s="8">
        <v>44</v>
      </c>
      <c r="L22" s="8">
        <v>8</v>
      </c>
      <c r="M22" s="8">
        <v>0</v>
      </c>
      <c r="N22" s="15">
        <f t="shared" si="0"/>
        <v>1325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1451</v>
      </c>
      <c r="G23" s="1"/>
      <c r="H23" s="8">
        <v>1000</v>
      </c>
      <c r="I23" s="8">
        <v>0</v>
      </c>
      <c r="J23" s="8">
        <v>360</v>
      </c>
      <c r="K23" s="8">
        <v>240</v>
      </c>
      <c r="L23" s="8">
        <v>320</v>
      </c>
      <c r="M23" s="8">
        <v>1000</v>
      </c>
      <c r="N23" s="15">
        <f t="shared" si="0"/>
        <v>531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120</v>
      </c>
      <c r="G24" s="1"/>
      <c r="H24" s="8">
        <v>100</v>
      </c>
      <c r="I24" s="8">
        <v>0</v>
      </c>
      <c r="J24" s="8">
        <v>0</v>
      </c>
      <c r="K24" s="8">
        <v>30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305</v>
      </c>
      <c r="G25" s="1"/>
      <c r="H25" s="8">
        <v>657</v>
      </c>
      <c r="I25" s="8">
        <v>150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812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9200</v>
      </c>
      <c r="G26" s="1"/>
      <c r="H26" s="8">
        <v>0</v>
      </c>
      <c r="I26" s="8">
        <v>0</v>
      </c>
      <c r="J26" s="8">
        <v>600</v>
      </c>
      <c r="K26" s="8">
        <v>2400</v>
      </c>
      <c r="L26" s="8">
        <v>0</v>
      </c>
      <c r="M26" s="8">
        <v>1000</v>
      </c>
      <c r="N26" s="15">
        <f t="shared" si="0"/>
        <v>5200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368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30</v>
      </c>
      <c r="M27" s="8">
        <v>30</v>
      </c>
      <c r="N27" s="15">
        <f t="shared" si="0"/>
        <v>308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703</v>
      </c>
      <c r="G29" s="1"/>
      <c r="H29" s="8">
        <v>0</v>
      </c>
      <c r="I29" s="8">
        <v>0</v>
      </c>
      <c r="J29" s="8">
        <v>4</v>
      </c>
      <c r="K29" s="8">
        <v>0</v>
      </c>
      <c r="L29" s="8">
        <v>0</v>
      </c>
      <c r="M29" s="8">
        <v>0</v>
      </c>
      <c r="N29" s="15">
        <f t="shared" si="0"/>
        <v>699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0</v>
      </c>
      <c r="G30" s="1"/>
      <c r="H30" s="8">
        <v>504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15">
        <f t="shared" si="0"/>
        <v>504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0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0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2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2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450</v>
      </c>
      <c r="G34" s="1"/>
      <c r="H34" s="8">
        <v>1000</v>
      </c>
      <c r="I34" s="8">
        <v>0</v>
      </c>
      <c r="J34" s="8">
        <v>40</v>
      </c>
      <c r="K34" s="8">
        <v>257</v>
      </c>
      <c r="L34" s="8">
        <v>153</v>
      </c>
      <c r="M34" s="8">
        <v>0</v>
      </c>
      <c r="N34" s="48">
        <f t="shared" si="0"/>
        <v>1000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1000</v>
      </c>
      <c r="G35" s="1"/>
      <c r="H35" s="8">
        <v>0</v>
      </c>
      <c r="I35" s="8">
        <v>0</v>
      </c>
      <c r="J35" s="8">
        <v>40</v>
      </c>
      <c r="K35" s="8">
        <v>40</v>
      </c>
      <c r="L35" s="8">
        <v>0</v>
      </c>
      <c r="M35" s="8">
        <v>0</v>
      </c>
      <c r="N35" s="48">
        <f t="shared" si="0"/>
        <v>920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workbookViewId="0">
      <selection activeCell="A15" sqref="A15"/>
    </sheetView>
  </sheetViews>
  <sheetFormatPr defaultRowHeight="15" x14ac:dyDescent="0.25"/>
  <cols>
    <col min="1" max="1" width="26.85546875" customWidth="1"/>
    <col min="2" max="2" width="0.140625" customWidth="1"/>
    <col min="3" max="3" width="9" hidden="1" customWidth="1"/>
    <col min="4" max="4" width="9.140625" hidden="1" customWidth="1"/>
    <col min="5" max="5" width="9.42578125" customWidth="1"/>
    <col min="6" max="6" width="0.140625" customWidth="1"/>
    <col min="8" max="9" width="10.140625" bestFit="1" customWidth="1"/>
    <col min="10" max="10" width="9.85546875" customWidth="1"/>
    <col min="11" max="12" width="10.140625" bestFit="1" customWidth="1"/>
    <col min="14" max="14" width="21.140625" customWidth="1"/>
  </cols>
  <sheetData>
    <row r="2" spans="1:14" ht="23.25" customHeight="1" x14ac:dyDescent="0.25">
      <c r="A2" s="2" t="s">
        <v>9</v>
      </c>
      <c r="B2" s="3"/>
      <c r="C2" s="3"/>
      <c r="D2" s="3"/>
      <c r="E2" s="4"/>
      <c r="F2" s="5" t="s">
        <v>19</v>
      </c>
      <c r="G2" s="7" t="s">
        <v>11</v>
      </c>
      <c r="H2" s="6">
        <v>44830</v>
      </c>
      <c r="I2" s="6">
        <v>44831</v>
      </c>
      <c r="J2" s="6">
        <v>44832</v>
      </c>
      <c r="K2" s="6">
        <v>44833</v>
      </c>
      <c r="L2" s="6">
        <v>44834</v>
      </c>
      <c r="M2" s="2" t="s">
        <v>10</v>
      </c>
      <c r="N2" s="2" t="s">
        <v>13</v>
      </c>
    </row>
    <row r="3" spans="1:14" ht="23.25" customHeight="1" x14ac:dyDescent="0.25">
      <c r="A3" s="2" t="s">
        <v>0</v>
      </c>
      <c r="E3" s="9">
        <v>10000</v>
      </c>
      <c r="F3" s="1"/>
      <c r="G3" s="8">
        <v>0</v>
      </c>
      <c r="H3" s="1">
        <v>0</v>
      </c>
      <c r="I3" s="1"/>
      <c r="J3" s="1"/>
      <c r="K3" s="1"/>
      <c r="L3" s="1"/>
      <c r="M3" s="11">
        <f>+E3-H3-I3-J3-K3-L3+G3</f>
        <v>10000</v>
      </c>
      <c r="N3" s="1"/>
    </row>
    <row r="4" spans="1:14" ht="23.25" customHeight="1" x14ac:dyDescent="0.25">
      <c r="A4" s="2" t="s">
        <v>1</v>
      </c>
      <c r="E4" s="9">
        <v>27238</v>
      </c>
      <c r="F4" s="1"/>
      <c r="G4" s="8">
        <v>0</v>
      </c>
      <c r="H4" s="1"/>
      <c r="I4" s="1"/>
      <c r="J4" s="1"/>
      <c r="K4" s="1"/>
      <c r="L4" s="1">
        <v>0</v>
      </c>
      <c r="M4" s="12">
        <f t="shared" ref="M4:M20" si="0">+E4-H4-I4-J4-K4-L4+G4</f>
        <v>27238</v>
      </c>
      <c r="N4" s="1"/>
    </row>
    <row r="5" spans="1:14" ht="23.25" customHeight="1" x14ac:dyDescent="0.25">
      <c r="A5" s="2" t="s">
        <v>2</v>
      </c>
      <c r="E5" s="9">
        <v>153</v>
      </c>
      <c r="F5" s="1"/>
      <c r="G5" s="8">
        <v>0</v>
      </c>
      <c r="H5" s="1"/>
      <c r="I5" s="1"/>
      <c r="J5" s="1">
        <v>0</v>
      </c>
      <c r="K5" s="1"/>
      <c r="L5" s="1"/>
      <c r="M5" s="12">
        <f t="shared" si="0"/>
        <v>153</v>
      </c>
      <c r="N5" s="1" t="s">
        <v>17</v>
      </c>
    </row>
    <row r="6" spans="1:14" ht="23.25" customHeight="1" x14ac:dyDescent="0.25">
      <c r="A6" s="2" t="s">
        <v>3</v>
      </c>
      <c r="E6" s="9">
        <v>1644</v>
      </c>
      <c r="F6" s="1"/>
      <c r="G6" s="8">
        <v>0</v>
      </c>
      <c r="H6" s="1"/>
      <c r="I6" s="1"/>
      <c r="J6" s="1">
        <v>0</v>
      </c>
      <c r="K6" s="1"/>
      <c r="L6" s="1">
        <v>0</v>
      </c>
      <c r="M6" s="12">
        <f t="shared" si="0"/>
        <v>1644</v>
      </c>
      <c r="N6" s="1" t="s">
        <v>17</v>
      </c>
    </row>
    <row r="7" spans="1:14" ht="23.25" customHeight="1" x14ac:dyDescent="0.25">
      <c r="A7" s="2" t="s">
        <v>4</v>
      </c>
      <c r="E7" s="9">
        <v>400</v>
      </c>
      <c r="F7" s="1"/>
      <c r="G7" s="8">
        <v>0</v>
      </c>
      <c r="H7" s="10">
        <v>0</v>
      </c>
      <c r="I7" s="1"/>
      <c r="J7" s="1">
        <v>31</v>
      </c>
      <c r="K7" s="1">
        <v>26</v>
      </c>
      <c r="L7" s="1">
        <v>0</v>
      </c>
      <c r="M7" s="12">
        <f t="shared" si="0"/>
        <v>343</v>
      </c>
      <c r="N7" s="1" t="s">
        <v>14</v>
      </c>
    </row>
    <row r="8" spans="1:14" ht="23.25" customHeight="1" x14ac:dyDescent="0.25">
      <c r="A8" s="2" t="s">
        <v>3</v>
      </c>
      <c r="E8" s="9">
        <v>1656</v>
      </c>
      <c r="F8" s="1"/>
      <c r="G8" s="8">
        <v>0</v>
      </c>
      <c r="H8" s="1"/>
      <c r="I8" s="1"/>
      <c r="J8" s="1"/>
      <c r="K8" s="1">
        <v>100</v>
      </c>
      <c r="L8" s="1"/>
      <c r="M8" s="12">
        <f t="shared" si="0"/>
        <v>1556</v>
      </c>
      <c r="N8" s="1" t="s">
        <v>16</v>
      </c>
    </row>
    <row r="9" spans="1:14" ht="23.25" customHeight="1" x14ac:dyDescent="0.25">
      <c r="A9" s="2" t="s">
        <v>5</v>
      </c>
      <c r="E9" s="9">
        <v>1760</v>
      </c>
      <c r="F9" s="1"/>
      <c r="G9" s="8">
        <v>0</v>
      </c>
      <c r="H9" s="1"/>
      <c r="I9" s="1"/>
      <c r="J9" s="1"/>
      <c r="K9" s="1"/>
      <c r="L9" s="1"/>
      <c r="M9" s="12">
        <f t="shared" si="0"/>
        <v>1760</v>
      </c>
      <c r="N9" s="1" t="s">
        <v>15</v>
      </c>
    </row>
    <row r="10" spans="1:14" ht="23.25" customHeight="1" x14ac:dyDescent="0.25">
      <c r="A10" s="2" t="s">
        <v>6</v>
      </c>
      <c r="E10" s="9">
        <v>163000</v>
      </c>
      <c r="F10" s="1"/>
      <c r="G10" s="8">
        <v>0</v>
      </c>
      <c r="H10" s="1"/>
      <c r="I10" s="10"/>
      <c r="J10" s="10">
        <v>0</v>
      </c>
      <c r="K10" s="10">
        <v>0</v>
      </c>
      <c r="L10" s="1">
        <v>0</v>
      </c>
      <c r="M10" s="12">
        <f t="shared" si="0"/>
        <v>163000</v>
      </c>
      <c r="N10" s="1"/>
    </row>
    <row r="11" spans="1:14" ht="23.25" customHeight="1" x14ac:dyDescent="0.25">
      <c r="A11" s="2" t="s">
        <v>7</v>
      </c>
      <c r="E11" s="9">
        <v>62380</v>
      </c>
      <c r="F11" s="1">
        <v>0</v>
      </c>
      <c r="G11" s="8">
        <v>0</v>
      </c>
      <c r="H11" s="1">
        <v>1260</v>
      </c>
      <c r="I11" s="10">
        <v>260</v>
      </c>
      <c r="J11" s="10">
        <v>620</v>
      </c>
      <c r="K11" s="10">
        <v>0</v>
      </c>
      <c r="L11" s="1">
        <v>0</v>
      </c>
      <c r="M11" s="12">
        <f t="shared" si="0"/>
        <v>60240</v>
      </c>
      <c r="N11" s="1"/>
    </row>
    <row r="12" spans="1:14" ht="23.25" customHeight="1" x14ac:dyDescent="0.25">
      <c r="A12" s="2" t="s">
        <v>8</v>
      </c>
      <c r="E12" s="9">
        <v>820</v>
      </c>
      <c r="F12" s="1"/>
      <c r="G12" s="8">
        <v>0</v>
      </c>
      <c r="H12" s="1"/>
      <c r="I12" s="10"/>
      <c r="J12" s="10"/>
      <c r="K12" s="10"/>
      <c r="L12" s="1"/>
      <c r="M12" s="12">
        <f t="shared" si="0"/>
        <v>820</v>
      </c>
      <c r="N12" s="1"/>
    </row>
    <row r="13" spans="1:14" ht="23.25" customHeight="1" x14ac:dyDescent="0.25">
      <c r="A13" s="2" t="s">
        <v>12</v>
      </c>
      <c r="E13" s="11">
        <v>7430</v>
      </c>
      <c r="F13" s="1"/>
      <c r="G13" s="1"/>
      <c r="H13" s="1"/>
      <c r="I13" s="10"/>
      <c r="J13" s="10"/>
      <c r="K13" s="10">
        <v>0</v>
      </c>
      <c r="L13" s="1">
        <v>0</v>
      </c>
      <c r="M13" s="12">
        <f t="shared" si="0"/>
        <v>7430</v>
      </c>
      <c r="N13" s="1"/>
    </row>
    <row r="14" spans="1:14" ht="23.25" customHeight="1" x14ac:dyDescent="0.25">
      <c r="A14" s="2" t="s">
        <v>24</v>
      </c>
      <c r="B14" s="3"/>
      <c r="C14" s="3"/>
      <c r="D14" s="3"/>
      <c r="E14" s="11">
        <v>0</v>
      </c>
      <c r="F14" s="2"/>
      <c r="G14" s="10">
        <v>2000</v>
      </c>
      <c r="H14" s="1"/>
      <c r="I14" s="10">
        <v>0</v>
      </c>
      <c r="J14" s="10">
        <v>0</v>
      </c>
      <c r="K14" s="10"/>
      <c r="L14" s="1"/>
      <c r="M14" s="2">
        <f t="shared" si="0"/>
        <v>2000</v>
      </c>
      <c r="N14" s="1"/>
    </row>
    <row r="15" spans="1:14" ht="23.25" customHeight="1" x14ac:dyDescent="0.25">
      <c r="A15" s="2" t="s">
        <v>18</v>
      </c>
      <c r="E15" s="11">
        <v>500</v>
      </c>
      <c r="F15" s="1"/>
      <c r="G15" s="1"/>
      <c r="H15" s="1"/>
      <c r="I15" s="1"/>
      <c r="J15" s="1"/>
      <c r="K15" s="1"/>
      <c r="L15" s="1"/>
      <c r="M15" s="2">
        <f t="shared" si="0"/>
        <v>500</v>
      </c>
      <c r="N15" s="1"/>
    </row>
    <row r="16" spans="1:14" ht="23.25" customHeight="1" x14ac:dyDescent="0.25">
      <c r="A16" s="2" t="s">
        <v>20</v>
      </c>
      <c r="B16" s="3">
        <v>350</v>
      </c>
      <c r="C16" s="3"/>
      <c r="D16" s="3"/>
      <c r="E16" s="11">
        <v>3500</v>
      </c>
      <c r="F16" s="1"/>
      <c r="G16" s="1">
        <v>0</v>
      </c>
      <c r="H16" s="1"/>
      <c r="I16" s="1"/>
      <c r="J16" s="1"/>
      <c r="K16" s="1"/>
      <c r="L16" s="1"/>
      <c r="M16" s="2">
        <f t="shared" si="0"/>
        <v>3500</v>
      </c>
      <c r="N16" s="1"/>
    </row>
    <row r="17" spans="1:14" ht="23.25" customHeight="1" x14ac:dyDescent="0.25">
      <c r="A17" s="2" t="s">
        <v>21</v>
      </c>
      <c r="B17" s="3"/>
      <c r="C17" s="3"/>
      <c r="D17" s="3"/>
      <c r="E17" s="11">
        <v>10000</v>
      </c>
      <c r="F17" s="1"/>
      <c r="G17" s="1"/>
      <c r="H17" s="1"/>
      <c r="I17" s="1"/>
      <c r="J17" s="1"/>
      <c r="K17" s="1"/>
      <c r="L17" s="1"/>
      <c r="M17" s="2">
        <f t="shared" si="0"/>
        <v>10000</v>
      </c>
      <c r="N17" s="1"/>
    </row>
    <row r="18" spans="1:14" ht="23.25" customHeight="1" x14ac:dyDescent="0.25">
      <c r="A18" s="2" t="s">
        <v>22</v>
      </c>
      <c r="B18" s="3"/>
      <c r="C18" s="3"/>
      <c r="D18" s="3"/>
      <c r="E18" s="2">
        <v>300</v>
      </c>
      <c r="F18" s="1"/>
      <c r="G18" s="1"/>
      <c r="H18" s="1"/>
      <c r="I18" s="1"/>
      <c r="J18" s="1"/>
      <c r="K18" s="1"/>
      <c r="L18" s="1"/>
      <c r="M18" s="2">
        <f t="shared" si="0"/>
        <v>300</v>
      </c>
      <c r="N18" s="1"/>
    </row>
    <row r="19" spans="1:14" ht="23.25" customHeight="1" x14ac:dyDescent="0.25">
      <c r="A19" s="2" t="s">
        <v>23</v>
      </c>
      <c r="B19" s="3"/>
      <c r="C19" s="3"/>
      <c r="D19" s="3"/>
      <c r="E19" s="2">
        <v>400</v>
      </c>
      <c r="F19" s="1"/>
      <c r="G19" s="1"/>
      <c r="H19" s="1"/>
      <c r="I19" s="1"/>
      <c r="J19" s="1"/>
      <c r="K19" s="1"/>
      <c r="L19" s="1"/>
      <c r="M19" s="2">
        <f t="shared" si="0"/>
        <v>400</v>
      </c>
      <c r="N19" s="1"/>
    </row>
    <row r="20" spans="1:14" ht="23.25" customHeight="1" x14ac:dyDescent="0.25">
      <c r="A20" s="1" t="s">
        <v>25</v>
      </c>
      <c r="E20" s="1">
        <v>500</v>
      </c>
      <c r="F20" s="1"/>
      <c r="G20" s="1"/>
      <c r="H20" s="1"/>
      <c r="I20" s="1"/>
      <c r="J20" s="1">
        <v>75</v>
      </c>
      <c r="K20" s="1"/>
      <c r="L20" s="1"/>
      <c r="M20" s="2">
        <f t="shared" si="0"/>
        <v>425</v>
      </c>
      <c r="N2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1"/>
  <sheetViews>
    <sheetView topLeftCell="A4" workbookViewId="0">
      <selection activeCell="A21" sqref="A21:N21"/>
    </sheetView>
  </sheetViews>
  <sheetFormatPr defaultRowHeight="15" x14ac:dyDescent="0.25"/>
  <cols>
    <col min="1" max="1" width="26.85546875" customWidth="1"/>
    <col min="2" max="2" width="0.140625" customWidth="1"/>
    <col min="3" max="3" width="9" hidden="1" customWidth="1"/>
    <col min="4" max="4" width="9.140625" hidden="1" customWidth="1"/>
    <col min="5" max="5" width="9.42578125" customWidth="1"/>
    <col min="6" max="6" width="0.140625" customWidth="1"/>
    <col min="8" max="9" width="10.140625" bestFit="1" customWidth="1"/>
    <col min="10" max="10" width="9.85546875" customWidth="1"/>
    <col min="11" max="12" width="10.140625" bestFit="1" customWidth="1"/>
    <col min="14" max="14" width="21.140625" customWidth="1"/>
  </cols>
  <sheetData>
    <row r="2" spans="1:14" ht="23.25" customHeight="1" x14ac:dyDescent="0.25">
      <c r="A2" s="2" t="s">
        <v>9</v>
      </c>
      <c r="B2" s="3"/>
      <c r="C2" s="3"/>
      <c r="D2" s="3"/>
      <c r="E2" s="4"/>
      <c r="F2" s="5" t="s">
        <v>19</v>
      </c>
      <c r="G2" s="7" t="s">
        <v>11</v>
      </c>
      <c r="H2" s="6">
        <v>44837</v>
      </c>
      <c r="I2" s="6">
        <v>44838</v>
      </c>
      <c r="J2" s="6">
        <v>44839</v>
      </c>
      <c r="K2" s="6">
        <v>44840</v>
      </c>
      <c r="L2" s="6">
        <v>44841</v>
      </c>
      <c r="M2" s="2" t="s">
        <v>10</v>
      </c>
      <c r="N2" s="2" t="s">
        <v>13</v>
      </c>
    </row>
    <row r="3" spans="1:14" ht="23.25" customHeight="1" x14ac:dyDescent="0.25">
      <c r="A3" s="2" t="s">
        <v>0</v>
      </c>
      <c r="E3" s="9">
        <v>10000</v>
      </c>
      <c r="F3" s="1"/>
      <c r="G3" s="8">
        <v>0</v>
      </c>
      <c r="H3" s="8">
        <v>0</v>
      </c>
      <c r="I3" s="8">
        <v>2000</v>
      </c>
      <c r="J3" s="8">
        <v>0</v>
      </c>
      <c r="K3" s="8">
        <v>0</v>
      </c>
      <c r="L3" s="8">
        <v>0</v>
      </c>
      <c r="M3" s="13">
        <f>+E3-H3-I3-J3-K3-L3+G3</f>
        <v>8000</v>
      </c>
      <c r="N3" s="1"/>
    </row>
    <row r="4" spans="1:14" ht="23.25" customHeight="1" x14ac:dyDescent="0.25">
      <c r="A4" s="2" t="s">
        <v>1</v>
      </c>
      <c r="E4" s="9">
        <v>27238</v>
      </c>
      <c r="F4" s="1"/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14">
        <f t="shared" ref="M4:M21" si="0">+E4-H4-I4-J4-K4-L4+G4</f>
        <v>27238</v>
      </c>
      <c r="N4" s="1"/>
    </row>
    <row r="5" spans="1:14" ht="23.25" customHeight="1" x14ac:dyDescent="0.25">
      <c r="A5" s="2" t="s">
        <v>2</v>
      </c>
      <c r="E5" s="9">
        <v>153</v>
      </c>
      <c r="F5" s="1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4">
        <f t="shared" si="0"/>
        <v>153</v>
      </c>
      <c r="N5" s="1" t="s">
        <v>17</v>
      </c>
    </row>
    <row r="6" spans="1:14" ht="23.25" customHeight="1" x14ac:dyDescent="0.25">
      <c r="A6" s="2" t="s">
        <v>3</v>
      </c>
      <c r="E6" s="9">
        <v>1644</v>
      </c>
      <c r="F6" s="1"/>
      <c r="G6" s="8">
        <v>0</v>
      </c>
      <c r="H6" s="8">
        <v>0</v>
      </c>
      <c r="I6" s="8">
        <v>0</v>
      </c>
      <c r="J6" s="8">
        <v>900</v>
      </c>
      <c r="K6" s="8">
        <v>0</v>
      </c>
      <c r="L6" s="8">
        <v>0</v>
      </c>
      <c r="M6" s="14">
        <f t="shared" si="0"/>
        <v>744</v>
      </c>
      <c r="N6" s="1" t="s">
        <v>17</v>
      </c>
    </row>
    <row r="7" spans="1:14" ht="23.25" customHeight="1" x14ac:dyDescent="0.25">
      <c r="A7" s="2" t="s">
        <v>4</v>
      </c>
      <c r="E7" s="9">
        <v>343</v>
      </c>
      <c r="F7" s="1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10</v>
      </c>
      <c r="M7" s="14">
        <f t="shared" si="0"/>
        <v>333</v>
      </c>
      <c r="N7" s="1" t="s">
        <v>14</v>
      </c>
    </row>
    <row r="8" spans="1:14" ht="23.25" customHeight="1" x14ac:dyDescent="0.25">
      <c r="A8" s="2" t="s">
        <v>3</v>
      </c>
      <c r="E8" s="9">
        <v>1556</v>
      </c>
      <c r="F8" s="1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14">
        <f t="shared" si="0"/>
        <v>1556</v>
      </c>
      <c r="N8" s="1" t="s">
        <v>16</v>
      </c>
    </row>
    <row r="9" spans="1:14" ht="23.25" customHeight="1" x14ac:dyDescent="0.25">
      <c r="A9" s="2" t="s">
        <v>5</v>
      </c>
      <c r="E9" s="9">
        <v>1760</v>
      </c>
      <c r="F9" s="1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4">
        <f t="shared" si="0"/>
        <v>1760</v>
      </c>
      <c r="N9" s="1" t="s">
        <v>15</v>
      </c>
    </row>
    <row r="10" spans="1:14" ht="23.25" customHeight="1" x14ac:dyDescent="0.25">
      <c r="A10" s="2" t="s">
        <v>6</v>
      </c>
      <c r="E10" s="9">
        <v>163000</v>
      </c>
      <c r="F10" s="1"/>
      <c r="G10" s="8">
        <v>0</v>
      </c>
      <c r="H10" s="8">
        <v>0</v>
      </c>
      <c r="I10" s="8">
        <v>2000</v>
      </c>
      <c r="J10" s="8">
        <v>0</v>
      </c>
      <c r="K10" s="8">
        <v>0</v>
      </c>
      <c r="L10" s="8">
        <v>0</v>
      </c>
      <c r="M10" s="14">
        <f t="shared" si="0"/>
        <v>161000</v>
      </c>
      <c r="N10" s="1"/>
    </row>
    <row r="11" spans="1:14" ht="23.25" customHeight="1" x14ac:dyDescent="0.25">
      <c r="A11" s="2" t="s">
        <v>7</v>
      </c>
      <c r="E11" s="9">
        <v>60240</v>
      </c>
      <c r="F11" s="1">
        <v>0</v>
      </c>
      <c r="G11" s="8">
        <v>0</v>
      </c>
      <c r="H11" s="8">
        <v>0</v>
      </c>
      <c r="I11" s="8">
        <v>200</v>
      </c>
      <c r="J11" s="8">
        <v>1300</v>
      </c>
      <c r="K11" s="8">
        <v>520</v>
      </c>
      <c r="L11" s="8">
        <v>1320</v>
      </c>
      <c r="M11" s="14">
        <f t="shared" si="0"/>
        <v>56900</v>
      </c>
      <c r="N11" s="1"/>
    </row>
    <row r="12" spans="1:14" ht="23.25" customHeight="1" x14ac:dyDescent="0.25">
      <c r="A12" s="2" t="s">
        <v>8</v>
      </c>
      <c r="E12" s="9">
        <v>820</v>
      </c>
      <c r="F12" s="1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4">
        <f t="shared" si="0"/>
        <v>820</v>
      </c>
      <c r="N12" s="1"/>
    </row>
    <row r="13" spans="1:14" ht="23.25" customHeight="1" x14ac:dyDescent="0.25">
      <c r="A13" s="2" t="s">
        <v>12</v>
      </c>
      <c r="E13" s="11">
        <v>7430</v>
      </c>
      <c r="F13" s="1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14">
        <f t="shared" si="0"/>
        <v>7430</v>
      </c>
      <c r="N13" s="1"/>
    </row>
    <row r="14" spans="1:14" ht="23.25" customHeight="1" x14ac:dyDescent="0.25">
      <c r="A14" s="2" t="s">
        <v>24</v>
      </c>
      <c r="B14" s="3"/>
      <c r="C14" s="3"/>
      <c r="D14" s="3"/>
      <c r="E14" s="11">
        <v>900</v>
      </c>
      <c r="F14" s="2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15">
        <f t="shared" si="0"/>
        <v>900</v>
      </c>
      <c r="N14" s="1"/>
    </row>
    <row r="15" spans="1:14" ht="23.25" customHeight="1" x14ac:dyDescent="0.25">
      <c r="A15" s="2" t="s">
        <v>18</v>
      </c>
      <c r="E15" s="11">
        <v>500</v>
      </c>
      <c r="F15" s="1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15">
        <f t="shared" si="0"/>
        <v>500</v>
      </c>
      <c r="N15" s="1"/>
    </row>
    <row r="16" spans="1:14" ht="23.25" customHeight="1" x14ac:dyDescent="0.25">
      <c r="A16" s="2" t="s">
        <v>20</v>
      </c>
      <c r="B16" s="3">
        <v>350</v>
      </c>
      <c r="C16" s="3"/>
      <c r="D16" s="3"/>
      <c r="E16" s="11">
        <v>3500</v>
      </c>
      <c r="F16" s="1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15">
        <f t="shared" si="0"/>
        <v>3500</v>
      </c>
      <c r="N16" s="1"/>
    </row>
    <row r="17" spans="1:14" ht="23.25" customHeight="1" x14ac:dyDescent="0.25">
      <c r="A17" s="2" t="s">
        <v>21</v>
      </c>
      <c r="B17" s="3"/>
      <c r="C17" s="3"/>
      <c r="D17" s="3"/>
      <c r="E17" s="11">
        <v>10000</v>
      </c>
      <c r="F17" s="1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15">
        <f t="shared" si="0"/>
        <v>10000</v>
      </c>
      <c r="N17" s="1"/>
    </row>
    <row r="18" spans="1:14" ht="23.25" customHeight="1" x14ac:dyDescent="0.25">
      <c r="A18" s="2" t="s">
        <v>22</v>
      </c>
      <c r="B18" s="3"/>
      <c r="C18" s="3"/>
      <c r="D18" s="3"/>
      <c r="E18" s="2">
        <v>300</v>
      </c>
      <c r="F18" s="1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15">
        <f t="shared" si="0"/>
        <v>300</v>
      </c>
      <c r="N18" s="1"/>
    </row>
    <row r="19" spans="1:14" ht="23.25" customHeight="1" x14ac:dyDescent="0.25">
      <c r="A19" s="2" t="s">
        <v>23</v>
      </c>
      <c r="B19" s="3"/>
      <c r="C19" s="3"/>
      <c r="D19" s="3"/>
      <c r="E19" s="2">
        <v>400</v>
      </c>
      <c r="F19" s="1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15">
        <f t="shared" si="0"/>
        <v>400</v>
      </c>
      <c r="N19" s="1"/>
    </row>
    <row r="20" spans="1:14" ht="23.25" customHeight="1" x14ac:dyDescent="0.25">
      <c r="A20" s="2" t="s">
        <v>25</v>
      </c>
      <c r="B20" s="3"/>
      <c r="C20" s="3"/>
      <c r="D20" s="3"/>
      <c r="E20" s="2">
        <v>425</v>
      </c>
      <c r="F20" s="1">
        <v>425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15">
        <f t="shared" si="0"/>
        <v>425</v>
      </c>
      <c r="N20" s="1"/>
    </row>
    <row r="21" spans="1:14" ht="26.25" customHeight="1" x14ac:dyDescent="0.25">
      <c r="A21" s="16" t="s">
        <v>26</v>
      </c>
      <c r="E21" s="16">
        <v>0</v>
      </c>
      <c r="F21" s="1"/>
      <c r="G21" s="1">
        <v>504</v>
      </c>
      <c r="H21" s="1"/>
      <c r="I21" s="1"/>
      <c r="J21" s="1"/>
      <c r="K21" s="1"/>
      <c r="L21" s="1"/>
      <c r="M21" s="15">
        <f t="shared" si="0"/>
        <v>504</v>
      </c>
      <c r="N21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21"/>
  <sheetViews>
    <sheetView workbookViewId="0">
      <selection activeCell="L12" sqref="L12"/>
    </sheetView>
  </sheetViews>
  <sheetFormatPr defaultRowHeight="15" x14ac:dyDescent="0.25"/>
  <cols>
    <col min="1" max="1" width="26.85546875" customWidth="1"/>
    <col min="2" max="2" width="0.140625" customWidth="1"/>
    <col min="3" max="3" width="9" hidden="1" customWidth="1"/>
    <col min="4" max="4" width="9.140625" hidden="1" customWidth="1"/>
    <col min="5" max="5" width="9.42578125" customWidth="1"/>
    <col min="6" max="6" width="0.140625" customWidth="1"/>
    <col min="8" max="9" width="10.140625" bestFit="1" customWidth="1"/>
    <col min="10" max="10" width="9.85546875" customWidth="1"/>
    <col min="11" max="12" width="10.140625" bestFit="1" customWidth="1"/>
    <col min="14" max="14" width="21.140625" customWidth="1"/>
  </cols>
  <sheetData>
    <row r="2" spans="1:14" ht="23.25" customHeight="1" x14ac:dyDescent="0.25">
      <c r="A2" s="2" t="s">
        <v>9</v>
      </c>
      <c r="B2" s="3"/>
      <c r="C2" s="3"/>
      <c r="D2" s="3"/>
      <c r="E2" s="4"/>
      <c r="F2" s="5" t="s">
        <v>19</v>
      </c>
      <c r="G2" s="7" t="s">
        <v>11</v>
      </c>
      <c r="H2" s="6">
        <v>44844</v>
      </c>
      <c r="I2" s="6">
        <v>44845</v>
      </c>
      <c r="J2" s="6">
        <v>44846</v>
      </c>
      <c r="K2" s="6">
        <v>44847</v>
      </c>
      <c r="L2" s="6">
        <v>44848</v>
      </c>
      <c r="M2" s="2" t="s">
        <v>10</v>
      </c>
      <c r="N2" s="2" t="s">
        <v>13</v>
      </c>
    </row>
    <row r="3" spans="1:14" ht="23.25" customHeight="1" x14ac:dyDescent="0.25">
      <c r="A3" s="2" t="s">
        <v>0</v>
      </c>
      <c r="E3" s="9">
        <v>8000</v>
      </c>
      <c r="F3" s="1"/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1000</v>
      </c>
      <c r="M3" s="13">
        <f>+E3-H3-I3-J3-K3-L3+G3</f>
        <v>7000</v>
      </c>
      <c r="N3" s="1"/>
    </row>
    <row r="4" spans="1:14" ht="23.25" customHeight="1" x14ac:dyDescent="0.25">
      <c r="A4" s="2" t="s">
        <v>1</v>
      </c>
      <c r="E4" s="9">
        <v>27238</v>
      </c>
      <c r="F4" s="1"/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14">
        <f t="shared" ref="M4:M21" si="0">+E4-H4-I4-J4-K4-L4+G4</f>
        <v>27238</v>
      </c>
      <c r="N4" s="1"/>
    </row>
    <row r="5" spans="1:14" ht="23.25" customHeight="1" x14ac:dyDescent="0.25">
      <c r="A5" s="2" t="s">
        <v>2</v>
      </c>
      <c r="E5" s="9">
        <v>153</v>
      </c>
      <c r="F5" s="1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4">
        <f t="shared" si="0"/>
        <v>153</v>
      </c>
      <c r="N5" s="1" t="s">
        <v>17</v>
      </c>
    </row>
    <row r="6" spans="1:14" ht="23.25" customHeight="1" x14ac:dyDescent="0.25">
      <c r="A6" s="2" t="s">
        <v>3</v>
      </c>
      <c r="E6" s="9">
        <v>744</v>
      </c>
      <c r="F6" s="1"/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14">
        <f t="shared" si="0"/>
        <v>744</v>
      </c>
      <c r="N6" s="1" t="s">
        <v>17</v>
      </c>
    </row>
    <row r="7" spans="1:14" ht="23.25" customHeight="1" x14ac:dyDescent="0.25">
      <c r="A7" s="2" t="s">
        <v>4</v>
      </c>
      <c r="E7" s="9">
        <v>333</v>
      </c>
      <c r="F7" s="1"/>
      <c r="G7" s="8">
        <v>1000</v>
      </c>
      <c r="H7" s="8">
        <v>0</v>
      </c>
      <c r="I7" s="8">
        <v>0</v>
      </c>
      <c r="J7" s="8">
        <v>0</v>
      </c>
      <c r="K7" s="8">
        <v>333</v>
      </c>
      <c r="L7" s="8">
        <v>0</v>
      </c>
      <c r="M7" s="14">
        <f t="shared" si="0"/>
        <v>1000</v>
      </c>
      <c r="N7" s="1" t="s">
        <v>14</v>
      </c>
    </row>
    <row r="8" spans="1:14" ht="23.25" customHeight="1" x14ac:dyDescent="0.25">
      <c r="A8" s="2" t="s">
        <v>3</v>
      </c>
      <c r="E8" s="9">
        <v>1556</v>
      </c>
      <c r="F8" s="1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14">
        <f t="shared" si="0"/>
        <v>1556</v>
      </c>
      <c r="N8" s="1" t="s">
        <v>16</v>
      </c>
    </row>
    <row r="9" spans="1:14" ht="23.25" customHeight="1" x14ac:dyDescent="0.25">
      <c r="A9" s="2" t="s">
        <v>5</v>
      </c>
      <c r="E9" s="9">
        <v>1760</v>
      </c>
      <c r="F9" s="1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4">
        <f t="shared" si="0"/>
        <v>1760</v>
      </c>
      <c r="N9" s="1" t="s">
        <v>15</v>
      </c>
    </row>
    <row r="10" spans="1:14" ht="23.25" customHeight="1" x14ac:dyDescent="0.25">
      <c r="A10" s="2" t="s">
        <v>6</v>
      </c>
      <c r="E10" s="9">
        <v>161000</v>
      </c>
      <c r="F10" s="1"/>
      <c r="G10" s="8">
        <v>0</v>
      </c>
      <c r="H10" s="8">
        <v>0</v>
      </c>
      <c r="I10" s="8">
        <v>0</v>
      </c>
      <c r="J10" s="8">
        <v>10000</v>
      </c>
      <c r="K10" s="8">
        <v>0</v>
      </c>
      <c r="L10" s="8">
        <v>10000</v>
      </c>
      <c r="M10" s="14">
        <f t="shared" si="0"/>
        <v>141000</v>
      </c>
      <c r="N10" s="1"/>
    </row>
    <row r="11" spans="1:14" ht="23.25" customHeight="1" x14ac:dyDescent="0.25">
      <c r="A11" s="2" t="s">
        <v>7</v>
      </c>
      <c r="E11" s="9">
        <v>56900</v>
      </c>
      <c r="F11" s="1">
        <v>0</v>
      </c>
      <c r="G11" s="8">
        <v>0</v>
      </c>
      <c r="H11" s="8">
        <v>1434</v>
      </c>
      <c r="I11" s="8">
        <v>780</v>
      </c>
      <c r="J11" s="8">
        <v>260</v>
      </c>
      <c r="K11" s="8">
        <v>260</v>
      </c>
      <c r="L11" s="8">
        <v>520</v>
      </c>
      <c r="M11" s="14">
        <f t="shared" si="0"/>
        <v>53646</v>
      </c>
      <c r="N11" s="1"/>
    </row>
    <row r="12" spans="1:14" ht="23.25" customHeight="1" x14ac:dyDescent="0.25">
      <c r="A12" s="2" t="s">
        <v>8</v>
      </c>
      <c r="E12" s="9">
        <v>820</v>
      </c>
      <c r="F12" s="1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4">
        <f t="shared" si="0"/>
        <v>820</v>
      </c>
      <c r="N12" s="1"/>
    </row>
    <row r="13" spans="1:14" ht="23.25" customHeight="1" x14ac:dyDescent="0.25">
      <c r="A13" s="2" t="s">
        <v>12</v>
      </c>
      <c r="E13" s="11">
        <v>7430</v>
      </c>
      <c r="F13" s="1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14">
        <f t="shared" si="0"/>
        <v>7430</v>
      </c>
      <c r="N13" s="1"/>
    </row>
    <row r="14" spans="1:14" ht="23.25" customHeight="1" x14ac:dyDescent="0.25">
      <c r="A14" s="2" t="s">
        <v>24</v>
      </c>
      <c r="B14" s="3"/>
      <c r="C14" s="3"/>
      <c r="D14" s="3"/>
      <c r="E14" s="11">
        <v>900</v>
      </c>
      <c r="F14" s="2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15">
        <f t="shared" si="0"/>
        <v>900</v>
      </c>
      <c r="N14" s="1"/>
    </row>
    <row r="15" spans="1:14" ht="23.25" customHeight="1" x14ac:dyDescent="0.25">
      <c r="A15" s="2" t="s">
        <v>18</v>
      </c>
      <c r="E15" s="11">
        <v>500</v>
      </c>
      <c r="F15" s="1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15">
        <f t="shared" si="0"/>
        <v>500</v>
      </c>
      <c r="N15" s="1"/>
    </row>
    <row r="16" spans="1:14" ht="23.25" customHeight="1" x14ac:dyDescent="0.25">
      <c r="A16" s="2" t="s">
        <v>20</v>
      </c>
      <c r="B16" s="3">
        <v>350</v>
      </c>
      <c r="C16" s="3"/>
      <c r="D16" s="3"/>
      <c r="E16" s="11">
        <v>3500</v>
      </c>
      <c r="F16" s="1"/>
      <c r="G16" s="8">
        <v>0</v>
      </c>
      <c r="H16" s="8">
        <v>0</v>
      </c>
      <c r="I16" s="8">
        <v>0</v>
      </c>
      <c r="J16" s="8">
        <v>350</v>
      </c>
      <c r="K16" s="8">
        <v>0</v>
      </c>
      <c r="L16" s="8">
        <v>0</v>
      </c>
      <c r="M16" s="15">
        <f t="shared" si="0"/>
        <v>3150</v>
      </c>
      <c r="N16" s="1"/>
    </row>
    <row r="17" spans="1:14" ht="23.25" customHeight="1" x14ac:dyDescent="0.25">
      <c r="A17" s="2" t="s">
        <v>21</v>
      </c>
      <c r="B17" s="3"/>
      <c r="C17" s="3"/>
      <c r="D17" s="3"/>
      <c r="E17" s="11">
        <v>10000</v>
      </c>
      <c r="F17" s="1"/>
      <c r="G17" s="8">
        <v>0</v>
      </c>
      <c r="H17" s="8">
        <v>0</v>
      </c>
      <c r="I17" s="8">
        <v>0</v>
      </c>
      <c r="J17" s="8">
        <v>2000</v>
      </c>
      <c r="K17" s="8">
        <v>0</v>
      </c>
      <c r="L17" s="8">
        <v>1000</v>
      </c>
      <c r="M17" s="15">
        <f t="shared" si="0"/>
        <v>7000</v>
      </c>
      <c r="N17" s="1"/>
    </row>
    <row r="18" spans="1:14" ht="23.25" customHeight="1" x14ac:dyDescent="0.25">
      <c r="A18" s="2" t="s">
        <v>22</v>
      </c>
      <c r="B18" s="3"/>
      <c r="C18" s="3"/>
      <c r="D18" s="3"/>
      <c r="E18" s="2">
        <v>300</v>
      </c>
      <c r="F18" s="1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15">
        <f t="shared" si="0"/>
        <v>300</v>
      </c>
      <c r="N18" s="1"/>
    </row>
    <row r="19" spans="1:14" ht="23.25" customHeight="1" x14ac:dyDescent="0.25">
      <c r="A19" s="2" t="s">
        <v>23</v>
      </c>
      <c r="B19" s="3"/>
      <c r="C19" s="3"/>
      <c r="D19" s="3"/>
      <c r="E19" s="2">
        <v>400</v>
      </c>
      <c r="F19" s="1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15">
        <f t="shared" si="0"/>
        <v>400</v>
      </c>
      <c r="N19" s="1"/>
    </row>
    <row r="20" spans="1:14" ht="23.25" customHeight="1" x14ac:dyDescent="0.25">
      <c r="A20" s="2" t="s">
        <v>25</v>
      </c>
      <c r="B20" s="3"/>
      <c r="C20" s="3"/>
      <c r="D20" s="3"/>
      <c r="E20" s="2">
        <v>425</v>
      </c>
      <c r="F20" s="1">
        <v>425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15">
        <f t="shared" si="0"/>
        <v>425</v>
      </c>
      <c r="N20" s="1"/>
    </row>
    <row r="21" spans="1:14" ht="21" customHeight="1" x14ac:dyDescent="0.25">
      <c r="A21" s="16" t="s">
        <v>26</v>
      </c>
      <c r="E21" s="16">
        <v>504</v>
      </c>
      <c r="F21" s="1"/>
      <c r="G21" s="10">
        <v>0</v>
      </c>
      <c r="H21" s="10">
        <v>2</v>
      </c>
      <c r="I21" s="10">
        <v>3</v>
      </c>
      <c r="J21" s="10">
        <v>6</v>
      </c>
      <c r="K21" s="10">
        <v>6</v>
      </c>
      <c r="L21" s="10"/>
      <c r="M21" s="15">
        <f t="shared" si="0"/>
        <v>487</v>
      </c>
      <c r="N21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2"/>
  <sheetViews>
    <sheetView workbookViewId="0">
      <selection activeCell="I14" sqref="I14"/>
    </sheetView>
  </sheetViews>
  <sheetFormatPr defaultRowHeight="15" x14ac:dyDescent="0.25"/>
  <cols>
    <col min="1" max="1" width="26.85546875" customWidth="1"/>
    <col min="2" max="2" width="0.140625" customWidth="1"/>
    <col min="3" max="3" width="9" hidden="1" customWidth="1"/>
    <col min="4" max="4" width="9.140625" hidden="1" customWidth="1"/>
    <col min="5" max="5" width="9.42578125" customWidth="1"/>
    <col min="6" max="6" width="0.140625" customWidth="1"/>
    <col min="8" max="9" width="10.140625" bestFit="1" customWidth="1"/>
    <col min="10" max="10" width="9.85546875" customWidth="1"/>
    <col min="11" max="12" width="10.140625" bestFit="1" customWidth="1"/>
    <col min="14" max="14" width="21.140625" customWidth="1"/>
  </cols>
  <sheetData>
    <row r="2" spans="1:14" ht="23.25" customHeight="1" x14ac:dyDescent="0.25">
      <c r="A2" s="2" t="s">
        <v>9</v>
      </c>
      <c r="B2" s="3"/>
      <c r="C2" s="3"/>
      <c r="D2" s="3"/>
      <c r="E2" s="4"/>
      <c r="F2" s="5" t="s">
        <v>19</v>
      </c>
      <c r="G2" s="7" t="s">
        <v>11</v>
      </c>
      <c r="H2" s="6">
        <v>44851</v>
      </c>
      <c r="I2" s="6">
        <v>44852</v>
      </c>
      <c r="J2" s="6">
        <v>44853</v>
      </c>
      <c r="K2" s="6">
        <v>44854</v>
      </c>
      <c r="L2" s="6">
        <v>44855</v>
      </c>
      <c r="M2" s="2" t="s">
        <v>10</v>
      </c>
      <c r="N2" s="2" t="s">
        <v>13</v>
      </c>
    </row>
    <row r="3" spans="1:14" ht="23.25" customHeight="1" x14ac:dyDescent="0.25">
      <c r="A3" s="2" t="s">
        <v>0</v>
      </c>
      <c r="E3" s="9">
        <f>'ekim 2 hafta '!M3</f>
        <v>7000</v>
      </c>
      <c r="F3" s="1"/>
      <c r="G3" s="8">
        <v>0</v>
      </c>
      <c r="H3" s="8">
        <v>1500</v>
      </c>
      <c r="I3" s="8">
        <v>0</v>
      </c>
      <c r="J3" s="8">
        <v>0</v>
      </c>
      <c r="K3" s="8">
        <v>0</v>
      </c>
      <c r="L3" s="8">
        <v>1500</v>
      </c>
      <c r="M3" s="14">
        <f t="shared" ref="M3:M22" si="0">+E3-H3-I3-J3-K3-L3+G3</f>
        <v>4000</v>
      </c>
      <c r="N3" s="1"/>
    </row>
    <row r="4" spans="1:14" ht="23.25" customHeight="1" x14ac:dyDescent="0.25">
      <c r="A4" s="2" t="s">
        <v>1</v>
      </c>
      <c r="E4" s="9">
        <f>'ekim 2 hafta '!M4</f>
        <v>27238</v>
      </c>
      <c r="F4" s="1"/>
      <c r="G4" s="8">
        <v>0</v>
      </c>
      <c r="H4" s="8">
        <v>5000</v>
      </c>
      <c r="I4" s="8">
        <v>0</v>
      </c>
      <c r="J4" s="8">
        <v>0</v>
      </c>
      <c r="K4" s="8">
        <v>0</v>
      </c>
      <c r="L4" s="8">
        <v>0</v>
      </c>
      <c r="M4" s="14">
        <f t="shared" si="0"/>
        <v>22238</v>
      </c>
      <c r="N4" s="1"/>
    </row>
    <row r="5" spans="1:14" ht="23.25" customHeight="1" x14ac:dyDescent="0.25">
      <c r="A5" s="2" t="s">
        <v>2</v>
      </c>
      <c r="E5" s="9">
        <f>'ekim 2 hafta '!M5</f>
        <v>153</v>
      </c>
      <c r="F5" s="1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4">
        <f t="shared" si="0"/>
        <v>153</v>
      </c>
      <c r="N5" s="1" t="s">
        <v>17</v>
      </c>
    </row>
    <row r="6" spans="1:14" ht="23.25" customHeight="1" x14ac:dyDescent="0.25">
      <c r="A6" s="2" t="s">
        <v>3</v>
      </c>
      <c r="E6" s="9">
        <f>'ekim 2 hafta '!M6</f>
        <v>744</v>
      </c>
      <c r="F6" s="1"/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14">
        <f t="shared" si="0"/>
        <v>744</v>
      </c>
      <c r="N6" s="1" t="s">
        <v>17</v>
      </c>
    </row>
    <row r="7" spans="1:14" ht="23.25" customHeight="1" x14ac:dyDescent="0.25">
      <c r="A7" s="2" t="s">
        <v>4</v>
      </c>
      <c r="E7" s="9">
        <f>'ekim 2 hafta '!M7</f>
        <v>1000</v>
      </c>
      <c r="F7" s="1"/>
      <c r="G7" s="8">
        <v>0</v>
      </c>
      <c r="H7" s="8">
        <v>0</v>
      </c>
      <c r="I7" s="8">
        <v>500</v>
      </c>
      <c r="J7" s="8">
        <v>0</v>
      </c>
      <c r="K7" s="8">
        <v>0</v>
      </c>
      <c r="L7" s="8">
        <v>0</v>
      </c>
      <c r="M7" s="14">
        <f t="shared" si="0"/>
        <v>500</v>
      </c>
      <c r="N7" s="1" t="s">
        <v>14</v>
      </c>
    </row>
    <row r="8" spans="1:14" ht="23.25" customHeight="1" x14ac:dyDescent="0.25">
      <c r="A8" s="2" t="s">
        <v>3</v>
      </c>
      <c r="E8" s="9">
        <f>'ekim 2 hafta '!M8</f>
        <v>1556</v>
      </c>
      <c r="F8" s="1"/>
      <c r="G8" s="8">
        <v>0</v>
      </c>
      <c r="H8" s="8">
        <v>500</v>
      </c>
      <c r="I8" s="8">
        <v>0</v>
      </c>
      <c r="J8" s="8">
        <v>0</v>
      </c>
      <c r="K8" s="8">
        <v>0</v>
      </c>
      <c r="L8" s="8">
        <v>0</v>
      </c>
      <c r="M8" s="14">
        <f t="shared" si="0"/>
        <v>1056</v>
      </c>
      <c r="N8" s="1" t="s">
        <v>16</v>
      </c>
    </row>
    <row r="9" spans="1:14" ht="23.25" customHeight="1" x14ac:dyDescent="0.25">
      <c r="A9" s="2" t="s">
        <v>5</v>
      </c>
      <c r="E9" s="9">
        <f>'ekim 2 hafta '!M9</f>
        <v>1760</v>
      </c>
      <c r="F9" s="1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4">
        <f t="shared" si="0"/>
        <v>1760</v>
      </c>
      <c r="N9" s="1" t="s">
        <v>15</v>
      </c>
    </row>
    <row r="10" spans="1:14" ht="23.25" customHeight="1" x14ac:dyDescent="0.25">
      <c r="A10" s="2" t="s">
        <v>6</v>
      </c>
      <c r="E10" s="9">
        <f>'ekim 2 hafta '!M10</f>
        <v>141000</v>
      </c>
      <c r="F10" s="1"/>
      <c r="G10" s="8">
        <v>0</v>
      </c>
      <c r="H10" s="8">
        <v>4000</v>
      </c>
      <c r="I10" s="8">
        <v>0</v>
      </c>
      <c r="J10" s="8">
        <v>0</v>
      </c>
      <c r="K10" s="8">
        <v>0</v>
      </c>
      <c r="L10" s="8">
        <v>0</v>
      </c>
      <c r="M10" s="14">
        <f t="shared" si="0"/>
        <v>137000</v>
      </c>
      <c r="N10" s="1"/>
    </row>
    <row r="11" spans="1:14" ht="23.25" customHeight="1" x14ac:dyDescent="0.25">
      <c r="A11" s="2" t="s">
        <v>7</v>
      </c>
      <c r="E11" s="9">
        <f>'ekim 2 hafta '!M11</f>
        <v>53646</v>
      </c>
      <c r="F11" s="1">
        <v>0</v>
      </c>
      <c r="G11" s="8">
        <v>0</v>
      </c>
      <c r="H11" s="8">
        <v>525</v>
      </c>
      <c r="I11" s="8">
        <v>150</v>
      </c>
      <c r="J11" s="8">
        <v>1920</v>
      </c>
      <c r="K11" s="8">
        <v>260</v>
      </c>
      <c r="L11" s="8">
        <v>0</v>
      </c>
      <c r="M11" s="14">
        <f t="shared" si="0"/>
        <v>50791</v>
      </c>
      <c r="N11" s="1"/>
    </row>
    <row r="12" spans="1:14" ht="23.25" customHeight="1" x14ac:dyDescent="0.25">
      <c r="A12" s="2" t="s">
        <v>8</v>
      </c>
      <c r="E12" s="9">
        <f>'ekim 2 hafta '!M12</f>
        <v>820</v>
      </c>
      <c r="F12" s="1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4">
        <f t="shared" si="0"/>
        <v>820</v>
      </c>
      <c r="N12" s="1"/>
    </row>
    <row r="13" spans="1:14" ht="23.25" customHeight="1" x14ac:dyDescent="0.25">
      <c r="A13" s="2" t="s">
        <v>12</v>
      </c>
      <c r="E13" s="9">
        <f>'ekim 2 hafta '!M13</f>
        <v>7430</v>
      </c>
      <c r="F13" s="1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14">
        <f t="shared" si="0"/>
        <v>7430</v>
      </c>
      <c r="N13" s="1"/>
    </row>
    <row r="14" spans="1:14" ht="23.25" customHeight="1" x14ac:dyDescent="0.25">
      <c r="A14" s="2" t="s">
        <v>24</v>
      </c>
      <c r="B14" s="3"/>
      <c r="C14" s="3"/>
      <c r="D14" s="3"/>
      <c r="E14" s="9">
        <f>'ekim 2 hafta '!M14</f>
        <v>900</v>
      </c>
      <c r="F14" s="2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15">
        <f t="shared" si="0"/>
        <v>900</v>
      </c>
      <c r="N14" s="1"/>
    </row>
    <row r="15" spans="1:14" ht="23.25" customHeight="1" x14ac:dyDescent="0.25">
      <c r="A15" s="2" t="s">
        <v>18</v>
      </c>
      <c r="E15" s="9">
        <v>1500</v>
      </c>
      <c r="F15" s="1"/>
      <c r="G15" s="8">
        <v>0</v>
      </c>
      <c r="H15" s="8">
        <v>0</v>
      </c>
      <c r="I15" s="8">
        <v>0</v>
      </c>
      <c r="J15" s="8">
        <v>700</v>
      </c>
      <c r="K15" s="8">
        <v>0</v>
      </c>
      <c r="L15" s="8">
        <v>0</v>
      </c>
      <c r="M15" s="15">
        <f t="shared" si="0"/>
        <v>800</v>
      </c>
      <c r="N15" s="1"/>
    </row>
    <row r="16" spans="1:14" ht="23.25" customHeight="1" x14ac:dyDescent="0.25">
      <c r="A16" s="2" t="s">
        <v>20</v>
      </c>
      <c r="B16" s="3">
        <v>350</v>
      </c>
      <c r="C16" s="3"/>
      <c r="D16" s="3"/>
      <c r="E16" s="9">
        <f>'ekim 2 hafta '!M16</f>
        <v>3150</v>
      </c>
      <c r="F16" s="1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15">
        <f t="shared" si="0"/>
        <v>3150</v>
      </c>
      <c r="N16" s="1"/>
    </row>
    <row r="17" spans="1:14" ht="23.25" customHeight="1" x14ac:dyDescent="0.25">
      <c r="A17" s="2" t="s">
        <v>21</v>
      </c>
      <c r="B17" s="3"/>
      <c r="C17" s="3"/>
      <c r="D17" s="3"/>
      <c r="E17" s="9">
        <f>'ekim 2 hafta '!M17</f>
        <v>7000</v>
      </c>
      <c r="F17" s="1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15">
        <f t="shared" si="0"/>
        <v>7000</v>
      </c>
      <c r="N17" s="1"/>
    </row>
    <row r="18" spans="1:14" ht="23.25" customHeight="1" x14ac:dyDescent="0.25">
      <c r="A18" s="2" t="s">
        <v>22</v>
      </c>
      <c r="B18" s="3"/>
      <c r="C18" s="3"/>
      <c r="D18" s="3"/>
      <c r="E18" s="9">
        <f>'ekim 2 hafta '!M18</f>
        <v>300</v>
      </c>
      <c r="F18" s="1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15">
        <f t="shared" si="0"/>
        <v>300</v>
      </c>
      <c r="N18" s="1"/>
    </row>
    <row r="19" spans="1:14" ht="23.25" customHeight="1" x14ac:dyDescent="0.25">
      <c r="A19" s="2" t="s">
        <v>23</v>
      </c>
      <c r="B19" s="3"/>
      <c r="C19" s="3"/>
      <c r="D19" s="3"/>
      <c r="E19" s="9">
        <f>'ekim 2 hafta '!M19</f>
        <v>400</v>
      </c>
      <c r="F19" s="1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15">
        <f t="shared" si="0"/>
        <v>400</v>
      </c>
      <c r="N19" s="1"/>
    </row>
    <row r="20" spans="1:14" ht="23.25" customHeight="1" x14ac:dyDescent="0.25">
      <c r="A20" s="2" t="s">
        <v>25</v>
      </c>
      <c r="B20" s="3"/>
      <c r="C20" s="3"/>
      <c r="D20" s="3"/>
      <c r="E20" s="9">
        <f>'ekim 2 hafta '!M20</f>
        <v>425</v>
      </c>
      <c r="F20" s="1">
        <v>425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15">
        <f t="shared" si="0"/>
        <v>425</v>
      </c>
      <c r="N20" s="1"/>
    </row>
    <row r="21" spans="1:14" ht="21" customHeight="1" x14ac:dyDescent="0.25">
      <c r="A21" s="17" t="s">
        <v>26</v>
      </c>
      <c r="E21" s="18">
        <f>'ekim 2 hafta '!M21</f>
        <v>487</v>
      </c>
      <c r="F21" s="19"/>
      <c r="G21" s="20">
        <v>0</v>
      </c>
      <c r="H21" s="20">
        <v>6</v>
      </c>
      <c r="I21" s="20">
        <v>0</v>
      </c>
      <c r="J21" s="20">
        <v>0</v>
      </c>
      <c r="K21" s="20">
        <v>0</v>
      </c>
      <c r="L21" s="20">
        <v>0</v>
      </c>
      <c r="M21" s="21">
        <f t="shared" si="0"/>
        <v>481</v>
      </c>
      <c r="N21" s="19"/>
    </row>
    <row r="22" spans="1:14" ht="21" customHeight="1" x14ac:dyDescent="0.25">
      <c r="A22" s="2" t="s">
        <v>27</v>
      </c>
      <c r="B22" s="1"/>
      <c r="C22" s="1"/>
      <c r="D22" s="1"/>
      <c r="E22" s="2">
        <v>520</v>
      </c>
      <c r="F22" s="1"/>
      <c r="G22" s="10"/>
      <c r="H22" s="10"/>
      <c r="I22" s="10"/>
      <c r="J22" s="10">
        <v>80</v>
      </c>
      <c r="K22" s="10"/>
      <c r="L22" s="10"/>
      <c r="M22" s="21">
        <f t="shared" si="0"/>
        <v>440</v>
      </c>
      <c r="N22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2"/>
  <sheetViews>
    <sheetView topLeftCell="A4" workbookViewId="0">
      <selection activeCell="L11" sqref="L11"/>
    </sheetView>
  </sheetViews>
  <sheetFormatPr defaultRowHeight="15" x14ac:dyDescent="0.25"/>
  <cols>
    <col min="1" max="1" width="26.85546875" customWidth="1"/>
    <col min="2" max="2" width="0.140625" customWidth="1"/>
    <col min="3" max="3" width="9" hidden="1" customWidth="1"/>
    <col min="4" max="4" width="9.140625" hidden="1" customWidth="1"/>
    <col min="5" max="5" width="9.42578125" customWidth="1"/>
    <col min="6" max="6" width="0.140625" customWidth="1"/>
    <col min="8" max="9" width="10.140625" bestFit="1" customWidth="1"/>
    <col min="10" max="10" width="9.85546875" customWidth="1"/>
    <col min="11" max="12" width="10.140625" bestFit="1" customWidth="1"/>
    <col min="14" max="14" width="21.140625" customWidth="1"/>
  </cols>
  <sheetData>
    <row r="2" spans="1:14" ht="23.25" customHeight="1" x14ac:dyDescent="0.25">
      <c r="A2" s="2" t="s">
        <v>9</v>
      </c>
      <c r="B2" s="3"/>
      <c r="C2" s="3"/>
      <c r="D2" s="3"/>
      <c r="E2" s="4"/>
      <c r="F2" s="5" t="s">
        <v>19</v>
      </c>
      <c r="G2" s="7" t="s">
        <v>11</v>
      </c>
      <c r="H2" s="6">
        <v>44858</v>
      </c>
      <c r="I2" s="6">
        <v>44859</v>
      </c>
      <c r="J2" s="6">
        <v>44860</v>
      </c>
      <c r="K2" s="6">
        <v>44861</v>
      </c>
      <c r="L2" s="6">
        <v>44862</v>
      </c>
      <c r="M2" s="2" t="s">
        <v>10</v>
      </c>
      <c r="N2" s="2" t="s">
        <v>13</v>
      </c>
    </row>
    <row r="3" spans="1:14" ht="23.25" customHeight="1" x14ac:dyDescent="0.25">
      <c r="A3" s="2" t="s">
        <v>0</v>
      </c>
      <c r="E3" s="9">
        <f>'ekim 3 hafta'!M3</f>
        <v>4000</v>
      </c>
      <c r="F3" s="1"/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13">
        <v>7000</v>
      </c>
      <c r="N3" s="1"/>
    </row>
    <row r="4" spans="1:14" ht="23.25" customHeight="1" x14ac:dyDescent="0.25">
      <c r="A4" s="2" t="s">
        <v>1</v>
      </c>
      <c r="E4" s="9">
        <f>'ekim 3 hafta'!M4</f>
        <v>22238</v>
      </c>
      <c r="F4" s="1"/>
      <c r="G4" s="8">
        <v>0</v>
      </c>
      <c r="H4" s="8">
        <v>0</v>
      </c>
      <c r="I4" s="8">
        <v>5000</v>
      </c>
      <c r="J4" s="8">
        <v>0</v>
      </c>
      <c r="K4" s="8">
        <v>0</v>
      </c>
      <c r="L4" s="8">
        <v>0</v>
      </c>
      <c r="M4" s="14">
        <f t="shared" ref="M4:M22" si="0">+E4-H4-I4-J4-K4-L4+G4</f>
        <v>17238</v>
      </c>
      <c r="N4" s="1"/>
    </row>
    <row r="5" spans="1:14" ht="23.25" customHeight="1" x14ac:dyDescent="0.25">
      <c r="A5" s="2" t="s">
        <v>2</v>
      </c>
      <c r="E5" s="9">
        <f>'ekim 3 hafta'!M5</f>
        <v>153</v>
      </c>
      <c r="F5" s="1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4">
        <f t="shared" si="0"/>
        <v>153</v>
      </c>
      <c r="N5" s="1" t="s">
        <v>17</v>
      </c>
    </row>
    <row r="6" spans="1:14" ht="23.25" customHeight="1" x14ac:dyDescent="0.25">
      <c r="A6" s="2" t="s">
        <v>3</v>
      </c>
      <c r="E6" s="9">
        <f>'ekim 3 hafta'!M6</f>
        <v>744</v>
      </c>
      <c r="F6" s="1"/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14">
        <f t="shared" si="0"/>
        <v>744</v>
      </c>
      <c r="N6" s="1" t="s">
        <v>17</v>
      </c>
    </row>
    <row r="7" spans="1:14" ht="23.25" customHeight="1" x14ac:dyDescent="0.25">
      <c r="A7" s="2" t="s">
        <v>4</v>
      </c>
      <c r="E7" s="9">
        <f>'ekim 3 hafta'!M7</f>
        <v>500</v>
      </c>
      <c r="F7" s="1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14">
        <f t="shared" si="0"/>
        <v>500</v>
      </c>
      <c r="N7" s="1" t="s">
        <v>14</v>
      </c>
    </row>
    <row r="8" spans="1:14" ht="23.25" customHeight="1" x14ac:dyDescent="0.25">
      <c r="A8" s="2" t="s">
        <v>3</v>
      </c>
      <c r="E8" s="9">
        <f>'ekim 3 hafta'!M8</f>
        <v>1056</v>
      </c>
      <c r="F8" s="1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14">
        <f t="shared" si="0"/>
        <v>1056</v>
      </c>
      <c r="N8" s="1" t="s">
        <v>16</v>
      </c>
    </row>
    <row r="9" spans="1:14" ht="23.25" customHeight="1" x14ac:dyDescent="0.25">
      <c r="A9" s="2" t="s">
        <v>5</v>
      </c>
      <c r="E9" s="9">
        <f>'ekim 3 hafta'!M9</f>
        <v>1760</v>
      </c>
      <c r="F9" s="1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4">
        <f t="shared" si="0"/>
        <v>1760</v>
      </c>
      <c r="N9" s="1" t="s">
        <v>15</v>
      </c>
    </row>
    <row r="10" spans="1:14" ht="23.25" customHeight="1" x14ac:dyDescent="0.25">
      <c r="A10" s="2" t="s">
        <v>6</v>
      </c>
      <c r="E10" s="9">
        <f>'ekim 3 hafta'!M10</f>
        <v>137000</v>
      </c>
      <c r="F10" s="1"/>
      <c r="G10" s="8">
        <v>0</v>
      </c>
      <c r="H10" s="8">
        <v>0</v>
      </c>
      <c r="I10" s="8">
        <v>0</v>
      </c>
      <c r="J10" s="8">
        <v>10000</v>
      </c>
      <c r="K10" s="8">
        <v>0</v>
      </c>
      <c r="L10" s="8">
        <v>0</v>
      </c>
      <c r="M10" s="14">
        <f t="shared" si="0"/>
        <v>127000</v>
      </c>
      <c r="N10" s="1"/>
    </row>
    <row r="11" spans="1:14" ht="23.25" customHeight="1" x14ac:dyDescent="0.25">
      <c r="A11" s="2" t="s">
        <v>7</v>
      </c>
      <c r="E11" s="9">
        <f>'ekim 3 hafta'!M11</f>
        <v>50791</v>
      </c>
      <c r="F11" s="1">
        <v>0</v>
      </c>
      <c r="G11" s="8">
        <v>0</v>
      </c>
      <c r="H11" s="8">
        <v>0</v>
      </c>
      <c r="I11" s="8">
        <v>260</v>
      </c>
      <c r="J11" s="8">
        <v>1180</v>
      </c>
      <c r="K11" s="8">
        <v>0</v>
      </c>
      <c r="L11" s="8">
        <v>520</v>
      </c>
      <c r="M11" s="14">
        <f t="shared" si="0"/>
        <v>48831</v>
      </c>
      <c r="N11" s="1"/>
    </row>
    <row r="12" spans="1:14" ht="23.25" customHeight="1" x14ac:dyDescent="0.25">
      <c r="A12" s="2" t="s">
        <v>8</v>
      </c>
      <c r="E12" s="9">
        <f>'ekim 3 hafta'!M12</f>
        <v>820</v>
      </c>
      <c r="F12" s="1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4">
        <f t="shared" si="0"/>
        <v>820</v>
      </c>
      <c r="N12" s="1"/>
    </row>
    <row r="13" spans="1:14" ht="23.25" customHeight="1" x14ac:dyDescent="0.25">
      <c r="A13" s="2" t="s">
        <v>12</v>
      </c>
      <c r="E13" s="9">
        <f>'ekim 3 hafta'!M13</f>
        <v>7430</v>
      </c>
      <c r="F13" s="1"/>
      <c r="G13" s="8">
        <v>0</v>
      </c>
      <c r="H13" s="8">
        <v>0</v>
      </c>
      <c r="I13" s="8">
        <v>300</v>
      </c>
      <c r="J13" s="8">
        <v>0</v>
      </c>
      <c r="K13" s="8">
        <v>0</v>
      </c>
      <c r="L13" s="8">
        <v>0</v>
      </c>
      <c r="M13" s="14">
        <f t="shared" si="0"/>
        <v>7130</v>
      </c>
      <c r="N13" s="1"/>
    </row>
    <row r="14" spans="1:14" ht="23.25" customHeight="1" x14ac:dyDescent="0.25">
      <c r="A14" s="2" t="s">
        <v>24</v>
      </c>
      <c r="B14" s="3"/>
      <c r="C14" s="3"/>
      <c r="D14" s="3"/>
      <c r="E14" s="9">
        <f>'ekim 3 hafta'!M14</f>
        <v>900</v>
      </c>
      <c r="F14" s="2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15">
        <f t="shared" si="0"/>
        <v>900</v>
      </c>
      <c r="N14" s="1"/>
    </row>
    <row r="15" spans="1:14" ht="23.25" customHeight="1" x14ac:dyDescent="0.25">
      <c r="A15" s="2" t="s">
        <v>18</v>
      </c>
      <c r="E15" s="9">
        <f>'ekim 3 hafta'!M15</f>
        <v>800</v>
      </c>
      <c r="F15" s="1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15">
        <f t="shared" si="0"/>
        <v>800</v>
      </c>
      <c r="N15" s="1"/>
    </row>
    <row r="16" spans="1:14" ht="23.25" customHeight="1" x14ac:dyDescent="0.25">
      <c r="A16" s="2" t="s">
        <v>20</v>
      </c>
      <c r="B16" s="3">
        <v>350</v>
      </c>
      <c r="C16" s="3"/>
      <c r="D16" s="3"/>
      <c r="E16" s="9">
        <f>'ekim 3 hafta'!M16</f>
        <v>3150</v>
      </c>
      <c r="F16" s="1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15">
        <f t="shared" si="0"/>
        <v>3150</v>
      </c>
      <c r="N16" s="1"/>
    </row>
    <row r="17" spans="1:14" ht="23.25" customHeight="1" x14ac:dyDescent="0.25">
      <c r="A17" s="2" t="s">
        <v>21</v>
      </c>
      <c r="B17" s="3"/>
      <c r="C17" s="3"/>
      <c r="D17" s="3"/>
      <c r="E17" s="9">
        <f>'ekim 3 hafta'!M17</f>
        <v>7000</v>
      </c>
      <c r="F17" s="1"/>
      <c r="G17" s="8">
        <v>0</v>
      </c>
      <c r="H17" s="8">
        <v>0</v>
      </c>
      <c r="I17" s="8">
        <v>0</v>
      </c>
      <c r="J17" s="8">
        <v>500</v>
      </c>
      <c r="K17" s="8">
        <v>500</v>
      </c>
      <c r="L17" s="8">
        <v>0</v>
      </c>
      <c r="M17" s="15">
        <f t="shared" si="0"/>
        <v>6000</v>
      </c>
      <c r="N17" s="1"/>
    </row>
    <row r="18" spans="1:14" ht="23.25" customHeight="1" x14ac:dyDescent="0.25">
      <c r="A18" s="2" t="s">
        <v>22</v>
      </c>
      <c r="B18" s="3"/>
      <c r="C18" s="3"/>
      <c r="D18" s="3"/>
      <c r="E18" s="9">
        <f>'ekim 3 hafta'!M18</f>
        <v>300</v>
      </c>
      <c r="F18" s="1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15">
        <f t="shared" si="0"/>
        <v>300</v>
      </c>
      <c r="N18" s="1"/>
    </row>
    <row r="19" spans="1:14" ht="23.25" customHeight="1" x14ac:dyDescent="0.25">
      <c r="A19" s="2" t="s">
        <v>23</v>
      </c>
      <c r="B19" s="3"/>
      <c r="C19" s="3"/>
      <c r="D19" s="3"/>
      <c r="E19" s="9">
        <f>'ekim 3 hafta'!M19</f>
        <v>400</v>
      </c>
      <c r="F19" s="1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15">
        <f t="shared" si="0"/>
        <v>400</v>
      </c>
      <c r="N19" s="1"/>
    </row>
    <row r="20" spans="1:14" ht="23.25" customHeight="1" x14ac:dyDescent="0.25">
      <c r="A20" s="22" t="s">
        <v>25</v>
      </c>
      <c r="B20" s="3"/>
      <c r="C20" s="3"/>
      <c r="D20" s="3"/>
      <c r="E20" s="18">
        <f>'ekim 3 hafta'!M20</f>
        <v>425</v>
      </c>
      <c r="F20" s="19">
        <v>425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1">
        <f t="shared" si="0"/>
        <v>425</v>
      </c>
      <c r="N20" s="19"/>
    </row>
    <row r="21" spans="1:14" ht="21" customHeight="1" x14ac:dyDescent="0.25">
      <c r="A21" s="16" t="s">
        <v>26</v>
      </c>
      <c r="B21" s="1"/>
      <c r="C21" s="1"/>
      <c r="D21" s="1"/>
      <c r="E21" s="9">
        <f>'ekim 3 hafta'!M21</f>
        <v>481</v>
      </c>
      <c r="F21" s="1"/>
      <c r="G21" s="8">
        <v>0</v>
      </c>
      <c r="H21" s="8">
        <v>15</v>
      </c>
      <c r="I21" s="8">
        <v>24</v>
      </c>
      <c r="J21" s="8">
        <v>6</v>
      </c>
      <c r="K21" s="8">
        <v>0</v>
      </c>
      <c r="L21" s="8">
        <v>1</v>
      </c>
      <c r="M21" s="15">
        <f t="shared" si="0"/>
        <v>435</v>
      </c>
      <c r="N21" s="1"/>
    </row>
    <row r="22" spans="1:14" ht="18.75" customHeight="1" x14ac:dyDescent="0.25">
      <c r="A22" s="2" t="s">
        <v>28</v>
      </c>
      <c r="B22" s="1"/>
      <c r="C22" s="1"/>
      <c r="D22" s="1"/>
      <c r="E22" s="23">
        <v>2100</v>
      </c>
      <c r="F22" s="1"/>
      <c r="G22" s="1"/>
      <c r="H22" s="1"/>
      <c r="I22" s="1"/>
      <c r="J22" s="1"/>
      <c r="K22" s="1"/>
      <c r="L22" s="1"/>
      <c r="M22" s="15">
        <f t="shared" si="0"/>
        <v>2100</v>
      </c>
      <c r="N22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22"/>
  <sheetViews>
    <sheetView workbookViewId="0">
      <selection activeCell="K3" sqref="K3"/>
    </sheetView>
  </sheetViews>
  <sheetFormatPr defaultRowHeight="15" x14ac:dyDescent="0.25"/>
  <cols>
    <col min="1" max="1" width="26.85546875" customWidth="1"/>
    <col min="2" max="2" width="0.140625" customWidth="1"/>
    <col min="3" max="3" width="9" hidden="1" customWidth="1"/>
    <col min="4" max="4" width="9.140625" hidden="1" customWidth="1"/>
    <col min="5" max="5" width="9.42578125" customWidth="1"/>
    <col min="6" max="6" width="0.140625" customWidth="1"/>
    <col min="8" max="9" width="10.140625" bestFit="1" customWidth="1"/>
    <col min="10" max="10" width="9.85546875" customWidth="1"/>
    <col min="11" max="12" width="10.140625" bestFit="1" customWidth="1"/>
    <col min="14" max="14" width="21.140625" customWidth="1"/>
  </cols>
  <sheetData>
    <row r="2" spans="1:14" ht="23.25" customHeight="1" x14ac:dyDescent="0.25">
      <c r="A2" s="2" t="s">
        <v>9</v>
      </c>
      <c r="B2" s="3"/>
      <c r="C2" s="3"/>
      <c r="D2" s="3"/>
      <c r="E2" s="4"/>
      <c r="F2" s="5" t="s">
        <v>19</v>
      </c>
      <c r="G2" s="7" t="s">
        <v>11</v>
      </c>
      <c r="H2" s="6">
        <v>44865</v>
      </c>
      <c r="I2" s="6">
        <v>44866</v>
      </c>
      <c r="J2" s="6">
        <v>44867</v>
      </c>
      <c r="K2" s="6">
        <v>44868</v>
      </c>
      <c r="L2" s="6">
        <v>44869</v>
      </c>
      <c r="M2" s="2" t="s">
        <v>10</v>
      </c>
      <c r="N2" s="2" t="s">
        <v>13</v>
      </c>
    </row>
    <row r="3" spans="1:14" ht="23.25" customHeight="1" x14ac:dyDescent="0.25">
      <c r="A3" s="2" t="s">
        <v>0</v>
      </c>
      <c r="E3" s="9">
        <f>'ekim 4 hafta '!M3</f>
        <v>7000</v>
      </c>
      <c r="F3" s="1"/>
      <c r="G3" s="8">
        <v>0</v>
      </c>
      <c r="H3" s="8">
        <v>0</v>
      </c>
      <c r="I3" s="8">
        <v>0</v>
      </c>
      <c r="J3" s="8">
        <v>0</v>
      </c>
      <c r="K3" s="8">
        <v>1000</v>
      </c>
      <c r="L3" s="8">
        <v>0</v>
      </c>
      <c r="M3" s="13">
        <v>7000</v>
      </c>
      <c r="N3" s="1"/>
    </row>
    <row r="4" spans="1:14" ht="23.25" customHeight="1" x14ac:dyDescent="0.25">
      <c r="A4" s="2" t="s">
        <v>1</v>
      </c>
      <c r="E4" s="9">
        <f>'ekim 4 hafta '!M4</f>
        <v>17238</v>
      </c>
      <c r="F4" s="1"/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14">
        <f t="shared" ref="M4:M22" si="0">+E4-H4-I4-J4-K4-L4+G4</f>
        <v>17238</v>
      </c>
      <c r="N4" s="1"/>
    </row>
    <row r="5" spans="1:14" ht="23.25" customHeight="1" x14ac:dyDescent="0.25">
      <c r="A5" s="2" t="s">
        <v>2</v>
      </c>
      <c r="E5" s="9">
        <f>'ekim 4 hafta '!M5</f>
        <v>153</v>
      </c>
      <c r="F5" s="1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4">
        <f t="shared" si="0"/>
        <v>153</v>
      </c>
      <c r="N5" s="1" t="s">
        <v>17</v>
      </c>
    </row>
    <row r="6" spans="1:14" ht="23.25" customHeight="1" x14ac:dyDescent="0.25">
      <c r="A6" s="2" t="s">
        <v>3</v>
      </c>
      <c r="E6" s="9">
        <f>'ekim 4 hafta '!M6</f>
        <v>744</v>
      </c>
      <c r="F6" s="1"/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14">
        <f t="shared" si="0"/>
        <v>744</v>
      </c>
      <c r="N6" s="1" t="s">
        <v>17</v>
      </c>
    </row>
    <row r="7" spans="1:14" ht="23.25" customHeight="1" x14ac:dyDescent="0.25">
      <c r="A7" s="2" t="s">
        <v>4</v>
      </c>
      <c r="E7" s="9">
        <f>'ekim 4 hafta '!M7</f>
        <v>500</v>
      </c>
      <c r="F7" s="1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14">
        <f t="shared" si="0"/>
        <v>500</v>
      </c>
      <c r="N7" s="1" t="s">
        <v>14</v>
      </c>
    </row>
    <row r="8" spans="1:14" ht="23.25" customHeight="1" x14ac:dyDescent="0.25">
      <c r="A8" s="2" t="s">
        <v>3</v>
      </c>
      <c r="E8" s="9">
        <f>'ekim 4 hafta '!M8</f>
        <v>1056</v>
      </c>
      <c r="F8" s="1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14">
        <f t="shared" si="0"/>
        <v>1056</v>
      </c>
      <c r="N8" s="1" t="s">
        <v>16</v>
      </c>
    </row>
    <row r="9" spans="1:14" ht="23.25" customHeight="1" x14ac:dyDescent="0.25">
      <c r="A9" s="2" t="s">
        <v>5</v>
      </c>
      <c r="E9" s="9">
        <f>'ekim 4 hafta '!M9</f>
        <v>1760</v>
      </c>
      <c r="F9" s="1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4">
        <f t="shared" si="0"/>
        <v>1760</v>
      </c>
      <c r="N9" s="1" t="s">
        <v>15</v>
      </c>
    </row>
    <row r="10" spans="1:14" ht="23.25" customHeight="1" x14ac:dyDescent="0.25">
      <c r="A10" s="2" t="s">
        <v>6</v>
      </c>
      <c r="E10" s="9">
        <f>'ekim 4 hafta '!M10</f>
        <v>127000</v>
      </c>
      <c r="F10" s="1"/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14">
        <f t="shared" si="0"/>
        <v>127000</v>
      </c>
      <c r="N10" s="1"/>
    </row>
    <row r="11" spans="1:14" ht="23.25" customHeight="1" x14ac:dyDescent="0.25">
      <c r="A11" s="2" t="s">
        <v>7</v>
      </c>
      <c r="E11" s="9">
        <f>'ekim 4 hafta '!M11</f>
        <v>48831</v>
      </c>
      <c r="F11" s="1">
        <v>0</v>
      </c>
      <c r="G11" s="8">
        <v>0</v>
      </c>
      <c r="H11" s="8">
        <v>500</v>
      </c>
      <c r="I11" s="8">
        <v>0</v>
      </c>
      <c r="J11" s="8">
        <v>500</v>
      </c>
      <c r="K11" s="8">
        <v>0</v>
      </c>
      <c r="L11" s="8">
        <v>0</v>
      </c>
      <c r="M11" s="14">
        <f t="shared" si="0"/>
        <v>47831</v>
      </c>
      <c r="N11" s="1"/>
    </row>
    <row r="12" spans="1:14" ht="23.25" customHeight="1" x14ac:dyDescent="0.25">
      <c r="A12" s="2" t="s">
        <v>8</v>
      </c>
      <c r="E12" s="9">
        <f>'ekim 4 hafta '!M12</f>
        <v>820</v>
      </c>
      <c r="F12" s="1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4">
        <f t="shared" si="0"/>
        <v>820</v>
      </c>
      <c r="N12" s="1"/>
    </row>
    <row r="13" spans="1:14" ht="23.25" customHeight="1" x14ac:dyDescent="0.25">
      <c r="A13" s="2" t="s">
        <v>12</v>
      </c>
      <c r="E13" s="9">
        <f>'ekim 4 hafta '!M13</f>
        <v>7130</v>
      </c>
      <c r="F13" s="1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14">
        <f t="shared" si="0"/>
        <v>7130</v>
      </c>
      <c r="N13" s="1"/>
    </row>
    <row r="14" spans="1:14" ht="23.25" customHeight="1" x14ac:dyDescent="0.25">
      <c r="A14" s="2" t="s">
        <v>24</v>
      </c>
      <c r="B14" s="3"/>
      <c r="C14" s="3"/>
      <c r="D14" s="3"/>
      <c r="E14" s="9">
        <f>'ekim 4 hafta '!M14</f>
        <v>900</v>
      </c>
      <c r="F14" s="2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15">
        <f t="shared" si="0"/>
        <v>900</v>
      </c>
      <c r="N14" s="1"/>
    </row>
    <row r="15" spans="1:14" ht="23.25" customHeight="1" x14ac:dyDescent="0.25">
      <c r="A15" s="2" t="s">
        <v>18</v>
      </c>
      <c r="E15" s="9">
        <f>'ekim 4 hafta '!M15</f>
        <v>800</v>
      </c>
      <c r="F15" s="1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15">
        <f t="shared" si="0"/>
        <v>800</v>
      </c>
      <c r="N15" s="1"/>
    </row>
    <row r="16" spans="1:14" ht="23.25" customHeight="1" x14ac:dyDescent="0.25">
      <c r="A16" s="2" t="s">
        <v>20</v>
      </c>
      <c r="B16" s="3">
        <v>350</v>
      </c>
      <c r="C16" s="3"/>
      <c r="D16" s="3"/>
      <c r="E16" s="9">
        <f>'ekim 4 hafta '!M16</f>
        <v>3150</v>
      </c>
      <c r="F16" s="1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15">
        <f t="shared" si="0"/>
        <v>3150</v>
      </c>
      <c r="N16" s="1"/>
    </row>
    <row r="17" spans="1:14" ht="23.25" customHeight="1" x14ac:dyDescent="0.25">
      <c r="A17" s="2" t="s">
        <v>21</v>
      </c>
      <c r="B17" s="3"/>
      <c r="C17" s="3"/>
      <c r="D17" s="3"/>
      <c r="E17" s="9">
        <f>'ekim 4 hafta '!M17</f>
        <v>6000</v>
      </c>
      <c r="F17" s="1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15">
        <f t="shared" si="0"/>
        <v>6000</v>
      </c>
      <c r="N17" s="1"/>
    </row>
    <row r="18" spans="1:14" ht="23.25" customHeight="1" x14ac:dyDescent="0.25">
      <c r="A18" s="2" t="s">
        <v>22</v>
      </c>
      <c r="B18" s="3"/>
      <c r="C18" s="3"/>
      <c r="D18" s="3"/>
      <c r="E18" s="9">
        <f>'ekim 4 hafta '!M18</f>
        <v>300</v>
      </c>
      <c r="F18" s="1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15">
        <f t="shared" si="0"/>
        <v>300</v>
      </c>
      <c r="N18" s="1"/>
    </row>
    <row r="19" spans="1:14" ht="23.25" customHeight="1" x14ac:dyDescent="0.25">
      <c r="A19" s="2" t="s">
        <v>23</v>
      </c>
      <c r="B19" s="3"/>
      <c r="C19" s="3"/>
      <c r="D19" s="3"/>
      <c r="E19" s="9">
        <f>'ekim 4 hafta '!M19</f>
        <v>400</v>
      </c>
      <c r="F19" s="1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15">
        <f t="shared" si="0"/>
        <v>400</v>
      </c>
      <c r="N19" s="1"/>
    </row>
    <row r="20" spans="1:14" ht="23.25" customHeight="1" x14ac:dyDescent="0.25">
      <c r="A20" s="22" t="s">
        <v>25</v>
      </c>
      <c r="B20" s="3"/>
      <c r="C20" s="3"/>
      <c r="D20" s="3"/>
      <c r="E20" s="9">
        <f>'ekim 4 hafta '!M20</f>
        <v>425</v>
      </c>
      <c r="F20" s="19">
        <v>425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21">
        <f t="shared" si="0"/>
        <v>425</v>
      </c>
      <c r="N20" s="19"/>
    </row>
    <row r="21" spans="1:14" ht="21" customHeight="1" x14ac:dyDescent="0.25">
      <c r="A21" s="16" t="s">
        <v>26</v>
      </c>
      <c r="B21" s="1"/>
      <c r="C21" s="1"/>
      <c r="D21" s="1"/>
      <c r="E21" s="9">
        <f>'ekim 4 hafta '!M21</f>
        <v>435</v>
      </c>
      <c r="F21" s="1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15">
        <f t="shared" si="0"/>
        <v>435</v>
      </c>
      <c r="N21" s="1"/>
    </row>
    <row r="22" spans="1:14" ht="18.75" customHeight="1" x14ac:dyDescent="0.25">
      <c r="A22" s="2" t="s">
        <v>28</v>
      </c>
      <c r="B22" s="1"/>
      <c r="C22" s="1"/>
      <c r="D22" s="1"/>
      <c r="E22" s="9">
        <f>'ekim 4 hafta '!M22</f>
        <v>2100</v>
      </c>
      <c r="F22" s="1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15">
        <f t="shared" si="0"/>
        <v>2100</v>
      </c>
      <c r="N22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23"/>
  <sheetViews>
    <sheetView workbookViewId="0">
      <selection activeCell="I17" sqref="I17"/>
    </sheetView>
  </sheetViews>
  <sheetFormatPr defaultRowHeight="15" x14ac:dyDescent="0.25"/>
  <cols>
    <col min="1" max="1" width="7.1406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21.140625" customWidth="1"/>
    <col min="16" max="16" width="9.85546875" customWidth="1"/>
    <col min="17" max="17" width="10.42578125" customWidth="1"/>
  </cols>
  <sheetData>
    <row r="2" spans="1:17" ht="23.25" customHeight="1" x14ac:dyDescent="0.25">
      <c r="A2" s="2" t="s">
        <v>29</v>
      </c>
      <c r="B2" s="2" t="s">
        <v>9</v>
      </c>
      <c r="C2" s="3"/>
      <c r="D2" s="3"/>
      <c r="E2" s="3"/>
      <c r="F2" s="4"/>
      <c r="G2" s="5" t="s">
        <v>19</v>
      </c>
      <c r="H2" s="7" t="s">
        <v>11</v>
      </c>
      <c r="I2" s="6">
        <v>44872</v>
      </c>
      <c r="J2" s="6">
        <v>44873</v>
      </c>
      <c r="K2" s="6">
        <v>44874</v>
      </c>
      <c r="L2" s="6">
        <v>44875</v>
      </c>
      <c r="M2" s="6">
        <v>44876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">
        <v>1</v>
      </c>
      <c r="B3" s="2" t="s">
        <v>0</v>
      </c>
      <c r="F3" s="9">
        <f>'KASIM 1 HAFTA'!M3</f>
        <v>7000</v>
      </c>
      <c r="G3" s="1"/>
      <c r="H3" s="8">
        <v>15000</v>
      </c>
      <c r="I3" s="8">
        <v>2000</v>
      </c>
      <c r="J3" s="8">
        <v>0</v>
      </c>
      <c r="K3" s="8">
        <v>0</v>
      </c>
      <c r="L3" s="8">
        <v>0</v>
      </c>
      <c r="M3" s="8">
        <v>0</v>
      </c>
      <c r="N3" s="14">
        <f t="shared" ref="N3:N23" si="0">+F3-I3-J3-K3-L3-M3+H3</f>
        <v>20000</v>
      </c>
      <c r="O3" s="1"/>
      <c r="P3" s="25">
        <v>1000</v>
      </c>
      <c r="Q3" s="27">
        <v>10000</v>
      </c>
    </row>
    <row r="4" spans="1:17" ht="23.25" customHeight="1" x14ac:dyDescent="0.25">
      <c r="A4" s="1">
        <v>2</v>
      </c>
      <c r="B4" s="2" t="s">
        <v>1</v>
      </c>
      <c r="F4" s="9">
        <f>'KASIM 1 HAFTA'!M4</f>
        <v>17238</v>
      </c>
      <c r="G4" s="1"/>
      <c r="H4" s="8">
        <v>0</v>
      </c>
      <c r="I4" s="8">
        <v>2000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">
        <v>3</v>
      </c>
      <c r="B5" s="2" t="s">
        <v>2</v>
      </c>
      <c r="F5" s="9">
        <f>'KASIM 1 HAFTA'!M5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">
        <v>4</v>
      </c>
      <c r="B6" s="2" t="s">
        <v>3</v>
      </c>
      <c r="F6" s="9">
        <f>'KASIM 1 HAFTA'!M6</f>
        <v>744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744</v>
      </c>
      <c r="O6" s="1" t="s">
        <v>17</v>
      </c>
      <c r="P6" s="25">
        <v>0</v>
      </c>
      <c r="Q6" s="28"/>
    </row>
    <row r="7" spans="1:17" ht="23.25" customHeight="1" x14ac:dyDescent="0.25">
      <c r="A7" s="1">
        <v>5</v>
      </c>
      <c r="B7" s="2" t="s">
        <v>4</v>
      </c>
      <c r="F7" s="9">
        <f>'KASIM 1 HAFTA'!M7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">
        <v>6</v>
      </c>
      <c r="B8" s="2" t="s">
        <v>3</v>
      </c>
      <c r="F8" s="9">
        <f>'KASIM 1 HAFTA'!M8</f>
        <v>1056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1056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">
        <v>7</v>
      </c>
      <c r="B9" s="2" t="s">
        <v>5</v>
      </c>
      <c r="F9" s="9">
        <f>'KASIM 1 HAFTA'!M9</f>
        <v>1760</v>
      </c>
      <c r="G9" s="1"/>
      <c r="H9" s="8">
        <v>0</v>
      </c>
      <c r="I9" s="8">
        <v>0</v>
      </c>
      <c r="J9" s="8">
        <v>1000</v>
      </c>
      <c r="K9" s="8">
        <v>0</v>
      </c>
      <c r="L9" s="8">
        <v>0</v>
      </c>
      <c r="M9" s="8">
        <v>0</v>
      </c>
      <c r="N9" s="14">
        <f t="shared" si="0"/>
        <v>760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">
        <v>8</v>
      </c>
      <c r="B10" s="2" t="s">
        <v>6</v>
      </c>
      <c r="F10" s="9">
        <v>27000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5000</v>
      </c>
      <c r="N10" s="14">
        <f t="shared" si="0"/>
        <v>22000</v>
      </c>
      <c r="O10" s="1"/>
      <c r="P10" s="25">
        <v>10000</v>
      </c>
      <c r="Q10" s="27">
        <v>50000</v>
      </c>
    </row>
    <row r="11" spans="1:17" ht="23.25" customHeight="1" x14ac:dyDescent="0.25">
      <c r="A11" s="1">
        <v>9</v>
      </c>
      <c r="B11" s="2" t="s">
        <v>7</v>
      </c>
      <c r="F11" s="9">
        <f>'KASIM 1 HAFTA'!M11</f>
        <v>47831</v>
      </c>
      <c r="G11" s="1">
        <v>0</v>
      </c>
      <c r="H11" s="8">
        <v>0</v>
      </c>
      <c r="I11" s="8">
        <v>780</v>
      </c>
      <c r="J11" s="8">
        <v>400</v>
      </c>
      <c r="K11" s="8">
        <v>100</v>
      </c>
      <c r="L11" s="8">
        <v>0</v>
      </c>
      <c r="M11" s="8">
        <v>400</v>
      </c>
      <c r="N11" s="14">
        <f t="shared" si="0"/>
        <v>46151</v>
      </c>
      <c r="O11" s="1"/>
      <c r="P11" s="25">
        <v>5000</v>
      </c>
      <c r="Q11" s="27">
        <v>30000</v>
      </c>
    </row>
    <row r="12" spans="1:17" ht="23.25" customHeight="1" x14ac:dyDescent="0.25">
      <c r="A12" s="1">
        <v>10</v>
      </c>
      <c r="B12" s="2" t="s">
        <v>8</v>
      </c>
      <c r="F12" s="9">
        <f>'KASIM 1 HAFTA'!M12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">
        <v>11</v>
      </c>
      <c r="B13" s="2" t="s">
        <v>12</v>
      </c>
      <c r="F13" s="9">
        <f>'KASIM 1 HAFTA'!M13</f>
        <v>7130</v>
      </c>
      <c r="G13" s="1"/>
      <c r="H13" s="8">
        <v>0</v>
      </c>
      <c r="I13" s="8">
        <v>0</v>
      </c>
      <c r="J13" s="8">
        <v>0</v>
      </c>
      <c r="K13" s="8">
        <v>55</v>
      </c>
      <c r="L13" s="8">
        <v>0</v>
      </c>
      <c r="M13" s="8">
        <v>0</v>
      </c>
      <c r="N13" s="14">
        <f t="shared" si="0"/>
        <v>7075</v>
      </c>
      <c r="O13" s="1"/>
      <c r="P13" s="25">
        <v>1000</v>
      </c>
      <c r="Q13" s="27">
        <v>5000</v>
      </c>
    </row>
    <row r="14" spans="1:17" ht="23.25" customHeight="1" x14ac:dyDescent="0.25">
      <c r="A14" s="1">
        <v>12</v>
      </c>
      <c r="B14" s="2" t="s">
        <v>24</v>
      </c>
      <c r="C14" s="3"/>
      <c r="D14" s="3"/>
      <c r="E14" s="3"/>
      <c r="F14" s="9">
        <f>'KASIM 1 HAFTA'!M14</f>
        <v>900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900</v>
      </c>
      <c r="O14" s="1"/>
      <c r="P14" s="25">
        <v>250</v>
      </c>
      <c r="Q14" s="27">
        <v>1000</v>
      </c>
    </row>
    <row r="15" spans="1:17" ht="23.25" customHeight="1" x14ac:dyDescent="0.25">
      <c r="A15" s="1">
        <v>13</v>
      </c>
      <c r="B15" s="2" t="s">
        <v>18</v>
      </c>
      <c r="F15" s="9">
        <f>'KASIM 1 HAFTA'!M15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">
        <v>14</v>
      </c>
      <c r="B16" s="2" t="s">
        <v>20</v>
      </c>
      <c r="C16" s="3">
        <v>350</v>
      </c>
      <c r="D16" s="3"/>
      <c r="E16" s="3"/>
      <c r="F16" s="9">
        <f>'KASIM 1 HAFTA'!M16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">
        <v>15</v>
      </c>
      <c r="B17" s="2" t="s">
        <v>32</v>
      </c>
      <c r="C17" s="3"/>
      <c r="D17" s="3"/>
      <c r="E17" s="3"/>
      <c r="F17" s="9">
        <v>300</v>
      </c>
      <c r="G17" s="1"/>
      <c r="H17" s="8"/>
      <c r="I17" s="8">
        <v>50</v>
      </c>
      <c r="J17" s="8"/>
      <c r="K17" s="8"/>
      <c r="L17" s="8"/>
      <c r="M17" s="8"/>
      <c r="N17" s="15">
        <f t="shared" si="0"/>
        <v>250</v>
      </c>
      <c r="O17" s="1"/>
      <c r="P17" s="25">
        <v>100</v>
      </c>
      <c r="Q17" s="27">
        <v>500</v>
      </c>
    </row>
    <row r="18" spans="1:17" ht="23.25" customHeight="1" x14ac:dyDescent="0.25">
      <c r="A18" s="1">
        <v>16</v>
      </c>
      <c r="B18" s="2" t="s">
        <v>21</v>
      </c>
      <c r="C18" s="3"/>
      <c r="D18" s="3"/>
      <c r="E18" s="3"/>
      <c r="F18" s="9">
        <f>'KASIM 1 HAFTA'!M17</f>
        <v>6000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5">
        <f t="shared" si="0"/>
        <v>6000</v>
      </c>
      <c r="O18" s="1"/>
      <c r="P18" s="25">
        <v>1000</v>
      </c>
      <c r="Q18" s="27">
        <v>5000</v>
      </c>
    </row>
    <row r="19" spans="1:17" ht="23.25" customHeight="1" x14ac:dyDescent="0.25">
      <c r="A19" s="1">
        <v>17</v>
      </c>
      <c r="B19" s="2" t="s">
        <v>22</v>
      </c>
      <c r="C19" s="3"/>
      <c r="D19" s="3"/>
      <c r="E19" s="3"/>
      <c r="F19" s="9">
        <f>'KASIM 1 HAFTA'!M18</f>
        <v>300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300</v>
      </c>
      <c r="O19" s="1"/>
      <c r="P19" s="25">
        <v>100</v>
      </c>
      <c r="Q19" s="27">
        <v>300</v>
      </c>
    </row>
    <row r="20" spans="1:17" ht="23.25" customHeight="1" x14ac:dyDescent="0.25">
      <c r="A20" s="1">
        <v>18</v>
      </c>
      <c r="B20" s="2" t="s">
        <v>23</v>
      </c>
      <c r="C20" s="3"/>
      <c r="D20" s="3"/>
      <c r="E20" s="3"/>
      <c r="F20" s="9">
        <f>'KASIM 1 HAFTA'!M19</f>
        <v>400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400</v>
      </c>
      <c r="O20" s="1"/>
      <c r="P20" s="25">
        <v>100</v>
      </c>
      <c r="Q20" s="27">
        <v>300</v>
      </c>
    </row>
    <row r="21" spans="1:17" ht="21" customHeight="1" x14ac:dyDescent="0.25">
      <c r="A21" s="1">
        <v>19</v>
      </c>
      <c r="B21" s="22" t="s">
        <v>25</v>
      </c>
      <c r="C21" s="3"/>
      <c r="D21" s="3"/>
      <c r="E21" s="3"/>
      <c r="F21" s="9">
        <f>'KASIM 1 HAFTA'!M20</f>
        <v>425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85</v>
      </c>
      <c r="N21" s="21">
        <f t="shared" si="0"/>
        <v>340</v>
      </c>
      <c r="O21" s="19"/>
      <c r="P21" s="25">
        <v>200</v>
      </c>
      <c r="Q21" s="27">
        <v>500</v>
      </c>
    </row>
    <row r="22" spans="1:17" ht="25.5" customHeight="1" x14ac:dyDescent="0.25">
      <c r="A22" s="1">
        <v>20</v>
      </c>
      <c r="B22" s="16" t="s">
        <v>26</v>
      </c>
      <c r="C22" s="1"/>
      <c r="D22" s="1"/>
      <c r="E22" s="1"/>
      <c r="F22" s="9">
        <f>'KASIM 1 HAFTA'!M21</f>
        <v>435</v>
      </c>
      <c r="G22" s="1"/>
      <c r="H22" s="8">
        <v>0</v>
      </c>
      <c r="I22" s="8">
        <v>0</v>
      </c>
      <c r="J22" s="8">
        <v>0</v>
      </c>
      <c r="K22" s="8">
        <v>0</v>
      </c>
      <c r="L22" s="8">
        <v>6</v>
      </c>
      <c r="M22" s="8">
        <v>2</v>
      </c>
      <c r="N22" s="15">
        <f t="shared" si="0"/>
        <v>427</v>
      </c>
      <c r="O22" s="1"/>
      <c r="P22" s="25">
        <v>100</v>
      </c>
      <c r="Q22" s="27">
        <v>300</v>
      </c>
    </row>
    <row r="23" spans="1:17" ht="23.25" customHeight="1" x14ac:dyDescent="0.25">
      <c r="A23" s="1">
        <v>21</v>
      </c>
      <c r="B23" s="2" t="s">
        <v>28</v>
      </c>
      <c r="C23" s="1"/>
      <c r="D23" s="1"/>
      <c r="E23" s="1"/>
      <c r="F23" s="9">
        <f>'KASIM 1 HAFTA'!M22</f>
        <v>2100</v>
      </c>
      <c r="G23" s="1"/>
      <c r="H23" s="8">
        <v>0</v>
      </c>
      <c r="I23" s="8">
        <v>0</v>
      </c>
      <c r="J23" s="8">
        <v>100</v>
      </c>
      <c r="K23" s="8">
        <v>600</v>
      </c>
      <c r="L23" s="8">
        <v>0</v>
      </c>
      <c r="M23" s="8">
        <v>0</v>
      </c>
      <c r="N23" s="15">
        <f t="shared" si="0"/>
        <v>1400</v>
      </c>
      <c r="O23" s="1"/>
      <c r="P23" s="25">
        <v>100</v>
      </c>
      <c r="Q23" s="27">
        <v>500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Q24"/>
  <sheetViews>
    <sheetView workbookViewId="0">
      <selection activeCell="P2" sqref="P2:Q23"/>
    </sheetView>
  </sheetViews>
  <sheetFormatPr defaultRowHeight="15" x14ac:dyDescent="0.25"/>
  <cols>
    <col min="1" max="1" width="6.8554687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9.85546875" customWidth="1"/>
    <col min="17" max="17" width="10.140625" customWidth="1"/>
  </cols>
  <sheetData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34</v>
      </c>
      <c r="G2" s="5" t="s">
        <v>19</v>
      </c>
      <c r="H2" s="7" t="s">
        <v>11</v>
      </c>
      <c r="I2" s="6">
        <v>44879</v>
      </c>
      <c r="J2" s="6">
        <v>44880</v>
      </c>
      <c r="K2" s="6">
        <v>44881</v>
      </c>
      <c r="L2" s="6">
        <v>44882</v>
      </c>
      <c r="M2" s="6">
        <v>44883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f>'KASIM 2 HAFTA '!N3</f>
        <v>20000</v>
      </c>
      <c r="G3" s="1"/>
      <c r="H3" s="8">
        <v>15000</v>
      </c>
      <c r="I3" s="8">
        <v>0</v>
      </c>
      <c r="J3" s="8">
        <v>500</v>
      </c>
      <c r="K3" s="8">
        <v>0</v>
      </c>
      <c r="L3" s="8">
        <v>0</v>
      </c>
      <c r="M3" s="8">
        <v>0</v>
      </c>
      <c r="N3" s="14">
        <f t="shared" ref="N3:N23" si="0">+F3-I3-J3-K3-L3-M3+H3</f>
        <v>34500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2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2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f>'KASIM 2 HAFTA '!N6</f>
        <v>744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744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2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f>'KASIM 2 HAFTA '!N8</f>
        <v>1056</v>
      </c>
      <c r="G8" s="1"/>
      <c r="H8" s="8">
        <v>0</v>
      </c>
      <c r="I8" s="8">
        <v>0</v>
      </c>
      <c r="J8" s="8">
        <v>0</v>
      </c>
      <c r="K8" s="8">
        <v>520</v>
      </c>
      <c r="L8" s="8">
        <v>250</v>
      </c>
      <c r="M8" s="8">
        <v>0</v>
      </c>
      <c r="N8" s="14">
        <f t="shared" si="0"/>
        <v>286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f>'KASIM 2 HAFTA '!N9</f>
        <v>760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760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f>'KASIM 2 HAFTA '!N10</f>
        <v>22000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22000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f>'KASIM 2 HAFTA '!N11</f>
        <v>46151</v>
      </c>
      <c r="G11" s="1">
        <v>0</v>
      </c>
      <c r="H11" s="8">
        <v>0</v>
      </c>
      <c r="I11" s="8">
        <v>100</v>
      </c>
      <c r="J11" s="8">
        <v>400</v>
      </c>
      <c r="K11" s="8">
        <v>0</v>
      </c>
      <c r="L11" s="8">
        <v>260</v>
      </c>
      <c r="M11" s="8">
        <v>260</v>
      </c>
      <c r="N11" s="14">
        <f t="shared" si="0"/>
        <v>45131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2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f>'KASIM 2 HAFTA '!N13</f>
        <v>7075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7075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f>'KASIM 2 HAFTA '!N14</f>
        <v>900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900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2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2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f>'KASIM 2 HAFTA '!N17</f>
        <v>250</v>
      </c>
      <c r="G17" s="1"/>
      <c r="H17" s="8">
        <v>220</v>
      </c>
      <c r="I17" s="8"/>
      <c r="J17" s="8">
        <v>250</v>
      </c>
      <c r="K17" s="8"/>
      <c r="L17" s="8"/>
      <c r="M17" s="8"/>
      <c r="N17" s="15">
        <f t="shared" si="0"/>
        <v>220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f>'KASIM 2 HAFTA '!N18</f>
        <v>6000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500</v>
      </c>
      <c r="N18" s="15">
        <f t="shared" si="0"/>
        <v>5500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33</v>
      </c>
      <c r="C19" s="3"/>
      <c r="D19" s="3"/>
      <c r="E19" s="3"/>
      <c r="F19" s="9">
        <v>200</v>
      </c>
      <c r="G19" s="1"/>
      <c r="H19" s="8">
        <v>0</v>
      </c>
      <c r="I19" s="8">
        <v>0</v>
      </c>
      <c r="J19" s="8">
        <v>0</v>
      </c>
      <c r="K19" s="8">
        <v>72</v>
      </c>
      <c r="L19" s="8">
        <v>40</v>
      </c>
      <c r="M19" s="8">
        <v>0</v>
      </c>
      <c r="N19" s="15">
        <f t="shared" si="0"/>
        <v>88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23</v>
      </c>
      <c r="C20" s="3"/>
      <c r="D20" s="3"/>
      <c r="E20" s="3"/>
      <c r="F20" s="9">
        <f>'KASIM 2 HAFTA '!N20</f>
        <v>400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400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f>'KASIM 2 HAFTA '!N21</f>
        <v>340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340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f>'KASIM 2 HAFTA '!N22</f>
        <v>427</v>
      </c>
      <c r="G22" s="1"/>
      <c r="H22" s="8">
        <v>0</v>
      </c>
      <c r="I22" s="8">
        <v>0</v>
      </c>
      <c r="J22" s="8">
        <v>0</v>
      </c>
      <c r="K22" s="8">
        <v>6</v>
      </c>
      <c r="L22" s="8">
        <v>102</v>
      </c>
      <c r="M22" s="8">
        <v>0</v>
      </c>
      <c r="N22" s="15">
        <f t="shared" si="0"/>
        <v>319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f>'KASIM 2 HAFTA '!N23</f>
        <v>1400</v>
      </c>
      <c r="G23" s="1"/>
      <c r="H23" s="8">
        <v>300</v>
      </c>
      <c r="I23" s="8">
        <v>0</v>
      </c>
      <c r="J23" s="8">
        <v>900</v>
      </c>
      <c r="K23" s="8">
        <v>0</v>
      </c>
      <c r="L23" s="8">
        <v>0</v>
      </c>
      <c r="M23" s="8">
        <v>0</v>
      </c>
      <c r="N23" s="15">
        <f t="shared" si="0"/>
        <v>800</v>
      </c>
      <c r="O23" s="1"/>
      <c r="P23" s="25">
        <v>100</v>
      </c>
      <c r="Q23" s="27">
        <v>500</v>
      </c>
    </row>
    <row r="24" spans="1:17" ht="15.75" x14ac:dyDescent="0.25">
      <c r="E24" s="9">
        <f>'KASIM 2 HAFTA '!N24</f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26"/>
  <sheetViews>
    <sheetView workbookViewId="0">
      <selection activeCell="M1" sqref="M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44886</v>
      </c>
      <c r="J2" s="6">
        <v>44887</v>
      </c>
      <c r="K2" s="6">
        <v>44888</v>
      </c>
      <c r="L2" s="6">
        <v>44889</v>
      </c>
      <c r="M2" s="6">
        <v>44890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f>'KASIM 3 HAFTA '!N3</f>
        <v>34500</v>
      </c>
      <c r="G3" s="1"/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4">
        <f t="shared" ref="N3:N25" si="0">+F3-I3-J3-K3-L3-M3+H3</f>
        <v>34500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f>'KASIM 3 HAFTA '!N6</f>
        <v>744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500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f>'KASIM 3 HAFTA '!N8</f>
        <v>286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f>'KASIM 3 HAFTA '!N9</f>
        <v>760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760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f>'KASIM 3 HAFTA '!N10</f>
        <v>22000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5000</v>
      </c>
      <c r="M10" s="8">
        <v>5000</v>
      </c>
      <c r="N10" s="14">
        <f t="shared" si="0"/>
        <v>12000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f>'KASIM 3 HAFTA '!N11</f>
        <v>45131</v>
      </c>
      <c r="G11" s="1">
        <v>0</v>
      </c>
      <c r="H11" s="8">
        <v>0</v>
      </c>
      <c r="I11" s="8">
        <v>0</v>
      </c>
      <c r="J11" s="8">
        <v>1040</v>
      </c>
      <c r="K11" s="8">
        <v>100</v>
      </c>
      <c r="L11" s="8">
        <v>200</v>
      </c>
      <c r="M11" s="8">
        <v>1020</v>
      </c>
      <c r="N11" s="14">
        <f t="shared" si="0"/>
        <v>42771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f>'KASIM 3 HAFTA '!N13</f>
        <v>7075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7075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1000</v>
      </c>
      <c r="G14" s="2"/>
      <c r="H14" s="8">
        <v>2000</v>
      </c>
      <c r="I14" s="8">
        <v>0</v>
      </c>
      <c r="J14" s="8">
        <v>0</v>
      </c>
      <c r="K14" s="8">
        <v>500</v>
      </c>
      <c r="L14" s="8">
        <v>0</v>
      </c>
      <c r="M14" s="8">
        <v>0</v>
      </c>
      <c r="N14" s="15">
        <f t="shared" si="0"/>
        <v>2500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f>'KASIM 3 HAFTA '!N17</f>
        <v>220</v>
      </c>
      <c r="G17" s="1">
        <v>0</v>
      </c>
      <c r="H17" s="8">
        <v>280</v>
      </c>
      <c r="I17" s="8"/>
      <c r="J17" s="8">
        <v>0</v>
      </c>
      <c r="K17" s="8"/>
      <c r="L17" s="8"/>
      <c r="M17" s="8"/>
      <c r="N17" s="15">
        <f t="shared" si="0"/>
        <v>500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f>'KASIM 3 HAFTA '!N18</f>
        <v>5500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5">
        <f t="shared" si="0"/>
        <v>5500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f>'KASIM 3 HAFTA '!N19</f>
        <v>88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88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23</v>
      </c>
      <c r="C20" s="3"/>
      <c r="D20" s="3"/>
      <c r="E20" s="3"/>
      <c r="F20" s="9">
        <f>'KASIM 3 HAFTA '!N20</f>
        <v>400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400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f>'KASIM 3 HAFTA '!N21</f>
        <v>340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74</v>
      </c>
      <c r="N21" s="21">
        <f t="shared" si="0"/>
        <v>266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f>'KASIM 3 HAFTA '!N22</f>
        <v>319</v>
      </c>
      <c r="G22" s="1"/>
      <c r="H22" s="8">
        <v>0</v>
      </c>
      <c r="I22" s="8">
        <v>0</v>
      </c>
      <c r="J22" s="8">
        <v>6</v>
      </c>
      <c r="K22" s="8">
        <v>0</v>
      </c>
      <c r="L22" s="8">
        <v>3</v>
      </c>
      <c r="M22" s="8">
        <v>0</v>
      </c>
      <c r="N22" s="15">
        <f t="shared" si="0"/>
        <v>310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800</v>
      </c>
      <c r="G23" s="1"/>
      <c r="H23" s="8">
        <v>0</v>
      </c>
      <c r="I23" s="8">
        <v>0</v>
      </c>
      <c r="J23" s="8">
        <v>0</v>
      </c>
      <c r="K23" s="8">
        <v>50</v>
      </c>
      <c r="L23" s="8">
        <v>0</v>
      </c>
      <c r="M23" s="8">
        <v>0</v>
      </c>
      <c r="N23" s="15">
        <f t="shared" si="0"/>
        <v>750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/>
      <c r="G24" s="1"/>
      <c r="H24" s="10">
        <v>5000</v>
      </c>
      <c r="I24" s="1"/>
      <c r="J24" s="1"/>
      <c r="K24" s="1"/>
      <c r="L24" s="1"/>
      <c r="M24" s="1"/>
      <c r="N24" s="15">
        <f t="shared" si="0"/>
        <v>5000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2"/>
      <c r="G25" s="1"/>
      <c r="H25" s="10">
        <v>5000</v>
      </c>
      <c r="I25" s="1"/>
      <c r="J25" s="1"/>
      <c r="K25" s="1"/>
      <c r="L25" s="1"/>
      <c r="M25" s="1"/>
      <c r="N25" s="15">
        <f t="shared" si="0"/>
        <v>5000</v>
      </c>
      <c r="O25" s="1"/>
      <c r="P25" s="1"/>
      <c r="Q25" s="1"/>
    </row>
    <row r="26" spans="1:17" x14ac:dyDescent="0.25">
      <c r="A26" s="3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26"/>
  <sheetViews>
    <sheetView workbookViewId="0">
      <selection activeCell="M1" sqref="M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44893</v>
      </c>
      <c r="J2" s="6">
        <v>44894</v>
      </c>
      <c r="K2" s="6">
        <v>44895</v>
      </c>
      <c r="L2" s="6">
        <v>44896</v>
      </c>
      <c r="M2" s="6">
        <v>44897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f>'KASIM 3 HAFTA '!N3</f>
        <v>34500</v>
      </c>
      <c r="G3" s="1"/>
      <c r="H3" s="8">
        <v>0</v>
      </c>
      <c r="I3" s="8">
        <v>500</v>
      </c>
      <c r="J3" s="8">
        <v>0</v>
      </c>
      <c r="K3" s="8">
        <v>0</v>
      </c>
      <c r="L3" s="8">
        <v>0</v>
      </c>
      <c r="M3" s="8">
        <v>0</v>
      </c>
      <c r="N3" s="14">
        <f t="shared" ref="N3:N25" si="0">+F3-I3-J3-K3-L3-M3+H3</f>
        <v>34000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f>'KASIM 3 HAFTA '!N8</f>
        <v>286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f>'KASIM 3 HAFTA '!N9</f>
        <v>760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760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12000</v>
      </c>
      <c r="G10" s="1"/>
      <c r="H10" s="8">
        <v>10000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22000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42771</v>
      </c>
      <c r="G11" s="1">
        <v>0</v>
      </c>
      <c r="H11" s="8">
        <v>0</v>
      </c>
      <c r="I11" s="8">
        <v>50</v>
      </c>
      <c r="J11" s="8">
        <v>200</v>
      </c>
      <c r="K11" s="8">
        <v>2160</v>
      </c>
      <c r="L11" s="8">
        <v>0</v>
      </c>
      <c r="M11" s="8">
        <v>400</v>
      </c>
      <c r="N11" s="14">
        <f t="shared" si="0"/>
        <v>39961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f>'KASIM 3 HAFTA '!N13</f>
        <v>7075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500</v>
      </c>
      <c r="M13" s="8">
        <v>0</v>
      </c>
      <c r="N13" s="14">
        <f t="shared" si="0"/>
        <v>6575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2500</v>
      </c>
      <c r="G14" s="2"/>
      <c r="H14" s="8">
        <v>0</v>
      </c>
      <c r="I14" s="8">
        <v>0</v>
      </c>
      <c r="J14" s="8">
        <v>1296</v>
      </c>
      <c r="K14" s="8">
        <v>500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500</v>
      </c>
      <c r="G17" s="1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15">
        <f t="shared" si="0"/>
        <v>500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f>'KASIM 3 HAFTA '!N18</f>
        <v>5500</v>
      </c>
      <c r="G18" s="1"/>
      <c r="H18" s="8">
        <v>0</v>
      </c>
      <c r="I18" s="8">
        <v>500</v>
      </c>
      <c r="J18" s="8">
        <v>0</v>
      </c>
      <c r="K18" s="8">
        <v>0</v>
      </c>
      <c r="L18" s="8">
        <v>0</v>
      </c>
      <c r="M18" s="8">
        <v>0</v>
      </c>
      <c r="N18" s="15">
        <f t="shared" si="0"/>
        <v>5000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f>'KASIM 3 HAFTA '!N19</f>
        <v>88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88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23</v>
      </c>
      <c r="C20" s="3"/>
      <c r="D20" s="3"/>
      <c r="E20" s="3"/>
      <c r="F20" s="9">
        <f>'KASIM 3 HAFTA '!N20</f>
        <v>400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400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266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266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310</v>
      </c>
      <c r="G22" s="1"/>
      <c r="H22" s="8">
        <v>0</v>
      </c>
      <c r="I22" s="8">
        <v>8</v>
      </c>
      <c r="J22" s="8">
        <v>12</v>
      </c>
      <c r="K22" s="8">
        <v>0</v>
      </c>
      <c r="L22" s="8">
        <v>12</v>
      </c>
      <c r="M22" s="8">
        <v>24</v>
      </c>
      <c r="N22" s="15">
        <f t="shared" si="0"/>
        <v>254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750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750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5000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5000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2">
        <v>5000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5000</v>
      </c>
      <c r="O25" s="1"/>
      <c r="P25" s="1"/>
      <c r="Q25" s="1"/>
    </row>
    <row r="26" spans="1:17" x14ac:dyDescent="0.25">
      <c r="A26" s="3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7"/>
  <sheetViews>
    <sheetView workbookViewId="0">
      <selection activeCell="M1" sqref="M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38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44900</v>
      </c>
      <c r="J2" s="6">
        <v>44901</v>
      </c>
      <c r="K2" s="6">
        <v>44902</v>
      </c>
      <c r="L2" s="6">
        <v>44903</v>
      </c>
      <c r="M2" s="6">
        <v>44904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v>34000</v>
      </c>
      <c r="G3" s="1"/>
      <c r="H3" s="8">
        <v>0</v>
      </c>
      <c r="I3" s="8">
        <v>0</v>
      </c>
      <c r="J3" s="8">
        <v>0</v>
      </c>
      <c r="K3" s="8">
        <v>500</v>
      </c>
      <c r="L3" s="8">
        <v>0</v>
      </c>
      <c r="M3" s="8">
        <v>0</v>
      </c>
      <c r="N3" s="14">
        <f t="shared" ref="N3:N27" si="0">+F3-I3-J3-K3-L3-M3+H3</f>
        <v>33500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f>'KASIM 3 HAFTA '!N8</f>
        <v>286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f>'KASIM 3 HAFTA '!N9</f>
        <v>760</v>
      </c>
      <c r="G9" s="1"/>
      <c r="H9" s="8">
        <v>1000</v>
      </c>
      <c r="I9" s="8">
        <v>0</v>
      </c>
      <c r="J9" s="8">
        <v>760</v>
      </c>
      <c r="K9" s="8">
        <v>0</v>
      </c>
      <c r="L9" s="8">
        <v>500</v>
      </c>
      <c r="M9" s="8">
        <v>0</v>
      </c>
      <c r="N9" s="14">
        <f t="shared" si="0"/>
        <v>500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22000</v>
      </c>
      <c r="G10" s="1"/>
      <c r="H10" s="8">
        <v>0</v>
      </c>
      <c r="I10" s="8">
        <v>0</v>
      </c>
      <c r="J10" s="8">
        <v>0</v>
      </c>
      <c r="K10" s="8">
        <v>1000</v>
      </c>
      <c r="L10" s="8">
        <v>0</v>
      </c>
      <c r="M10" s="8">
        <v>5000</v>
      </c>
      <c r="N10" s="14">
        <f t="shared" si="0"/>
        <v>16000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39961</v>
      </c>
      <c r="G11" s="1">
        <v>0</v>
      </c>
      <c r="H11" s="8">
        <v>0</v>
      </c>
      <c r="I11" s="8">
        <v>0</v>
      </c>
      <c r="J11" s="8">
        <v>260</v>
      </c>
      <c r="K11" s="8">
        <v>260</v>
      </c>
      <c r="L11" s="8">
        <v>400</v>
      </c>
      <c r="M11" s="8">
        <v>1040</v>
      </c>
      <c r="N11" s="14">
        <f t="shared" si="0"/>
        <v>38001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6575</v>
      </c>
      <c r="G13" s="1"/>
      <c r="H13" s="8">
        <v>0</v>
      </c>
      <c r="I13" s="8">
        <v>0</v>
      </c>
      <c r="J13" s="8">
        <v>0</v>
      </c>
      <c r="K13" s="8">
        <v>500</v>
      </c>
      <c r="L13" s="8">
        <v>0</v>
      </c>
      <c r="M13" s="8">
        <v>0</v>
      </c>
      <c r="N13" s="14">
        <f t="shared" si="0"/>
        <v>6075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704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500</v>
      </c>
      <c r="G17" s="1">
        <v>0</v>
      </c>
      <c r="H17" s="8">
        <v>0</v>
      </c>
      <c r="I17" s="8">
        <v>0</v>
      </c>
      <c r="J17" s="8">
        <v>0</v>
      </c>
      <c r="K17" s="8">
        <v>100</v>
      </c>
      <c r="L17" s="8">
        <v>0</v>
      </c>
      <c r="M17" s="8">
        <v>0</v>
      </c>
      <c r="N17" s="15">
        <f t="shared" si="0"/>
        <v>400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5000</v>
      </c>
      <c r="G18" s="1"/>
      <c r="H18" s="8">
        <v>0</v>
      </c>
      <c r="I18" s="8">
        <v>0</v>
      </c>
      <c r="J18" s="8">
        <v>0</v>
      </c>
      <c r="K18" s="8">
        <v>500</v>
      </c>
      <c r="L18" s="8">
        <v>0</v>
      </c>
      <c r="M18" s="8">
        <v>0</v>
      </c>
      <c r="N18" s="15">
        <f t="shared" si="0"/>
        <v>4500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f>'KASIM 3 HAFTA '!N19</f>
        <v>88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88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f>'KASIM 3 HAFTA '!N20</f>
        <v>400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76</v>
      </c>
      <c r="M20" s="8">
        <v>0</v>
      </c>
      <c r="N20" s="15">
        <f t="shared" si="0"/>
        <v>324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266</v>
      </c>
      <c r="G21" s="19">
        <v>425</v>
      </c>
      <c r="H21" s="8">
        <v>500</v>
      </c>
      <c r="I21" s="8">
        <v>266</v>
      </c>
      <c r="J21" s="8">
        <v>0</v>
      </c>
      <c r="K21" s="8">
        <v>0</v>
      </c>
      <c r="L21" s="8">
        <v>0</v>
      </c>
      <c r="M21" s="8">
        <v>112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254</v>
      </c>
      <c r="G22" s="1"/>
      <c r="H22" s="8">
        <v>0</v>
      </c>
      <c r="I22" s="8">
        <v>0</v>
      </c>
      <c r="J22" s="8">
        <v>12</v>
      </c>
      <c r="K22" s="8">
        <v>0</v>
      </c>
      <c r="L22" s="8">
        <v>0</v>
      </c>
      <c r="M22" s="8">
        <v>0</v>
      </c>
      <c r="N22" s="15">
        <f t="shared" si="0"/>
        <v>242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750</v>
      </c>
      <c r="G23" s="1"/>
      <c r="H23" s="8">
        <v>0</v>
      </c>
      <c r="I23" s="8">
        <v>0</v>
      </c>
      <c r="J23" s="8">
        <v>400</v>
      </c>
      <c r="K23" s="8">
        <v>150</v>
      </c>
      <c r="L23" s="8">
        <v>0</v>
      </c>
      <c r="M23" s="8">
        <v>0</v>
      </c>
      <c r="N23" s="15">
        <f t="shared" si="0"/>
        <v>200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5000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1000</v>
      </c>
      <c r="N24" s="15">
        <f t="shared" si="0"/>
        <v>4000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2">
        <v>5000</v>
      </c>
      <c r="G25" s="1"/>
      <c r="H25" s="8">
        <v>0</v>
      </c>
      <c r="I25" s="8">
        <v>0</v>
      </c>
      <c r="J25" s="8">
        <v>5000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x14ac:dyDescent="0.25">
      <c r="A26" s="10">
        <v>24</v>
      </c>
      <c r="B26" s="16" t="s">
        <v>39</v>
      </c>
      <c r="F26" s="1">
        <v>0</v>
      </c>
      <c r="G26" s="1"/>
      <c r="H26" s="10">
        <v>2000</v>
      </c>
      <c r="I26" s="10"/>
      <c r="J26" s="10"/>
      <c r="K26" s="10"/>
      <c r="L26" s="10">
        <v>79</v>
      </c>
      <c r="M26" s="10">
        <v>321</v>
      </c>
      <c r="N26" s="15">
        <f t="shared" si="0"/>
        <v>1600</v>
      </c>
      <c r="O26" s="1"/>
      <c r="P26" s="1"/>
      <c r="Q26" s="1"/>
    </row>
    <row r="27" spans="1:17" x14ac:dyDescent="0.25">
      <c r="A27" s="10">
        <v>25</v>
      </c>
      <c r="B27" s="31" t="s">
        <v>41</v>
      </c>
      <c r="C27" s="30"/>
      <c r="D27" s="30"/>
      <c r="E27" s="30"/>
      <c r="F27" s="10"/>
      <c r="G27" s="10"/>
      <c r="H27" s="10">
        <v>20</v>
      </c>
      <c r="I27" s="10"/>
      <c r="J27" s="10"/>
      <c r="K27" s="10"/>
      <c r="L27" s="10"/>
      <c r="M27" s="10"/>
      <c r="N27" s="15">
        <f t="shared" si="0"/>
        <v>20</v>
      </c>
      <c r="O27" s="10"/>
      <c r="P27" s="10"/>
      <c r="Q27" s="1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8"/>
  <sheetViews>
    <sheetView topLeftCell="A16" workbookViewId="0">
      <selection activeCell="M13" sqref="M13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42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44907</v>
      </c>
      <c r="J2" s="6">
        <v>44908</v>
      </c>
      <c r="K2" s="6">
        <v>44909</v>
      </c>
      <c r="L2" s="6">
        <v>44910</v>
      </c>
      <c r="M2" s="6">
        <v>44911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v>33500</v>
      </c>
      <c r="G3" s="1"/>
      <c r="H3" s="8">
        <v>0</v>
      </c>
      <c r="I3" s="8">
        <v>500</v>
      </c>
      <c r="J3" s="8">
        <v>0</v>
      </c>
      <c r="K3" s="8">
        <v>0</v>
      </c>
      <c r="L3" s="8">
        <v>0</v>
      </c>
      <c r="M3" s="8">
        <v>0</v>
      </c>
      <c r="N3" s="14">
        <f t="shared" ref="N3:N28" si="0">+F3-I3-J3-K3-L3-M3+H3</f>
        <v>33000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f>'KASIM 3 HAFTA '!N8</f>
        <v>286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100</v>
      </c>
      <c r="N8" s="14">
        <f t="shared" si="0"/>
        <v>186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500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500</v>
      </c>
      <c r="N9" s="14">
        <f t="shared" si="0"/>
        <v>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16000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5000</v>
      </c>
      <c r="N10" s="14">
        <f t="shared" si="0"/>
        <v>11000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38000</v>
      </c>
      <c r="G11" s="1">
        <v>0</v>
      </c>
      <c r="H11" s="8">
        <v>0</v>
      </c>
      <c r="I11" s="8">
        <v>0</v>
      </c>
      <c r="J11" s="8">
        <v>400</v>
      </c>
      <c r="K11" s="8">
        <v>12700</v>
      </c>
      <c r="L11" s="8">
        <v>0</v>
      </c>
      <c r="M11" s="8">
        <v>0</v>
      </c>
      <c r="N11" s="14">
        <f t="shared" si="0"/>
        <v>24900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6075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6075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704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400</v>
      </c>
      <c r="G17" s="1">
        <v>0</v>
      </c>
      <c r="H17" s="8">
        <v>0</v>
      </c>
      <c r="I17" s="8">
        <v>0</v>
      </c>
      <c r="J17" s="8">
        <v>40</v>
      </c>
      <c r="K17" s="8">
        <v>0</v>
      </c>
      <c r="L17" s="8">
        <v>0</v>
      </c>
      <c r="M17" s="8">
        <v>0</v>
      </c>
      <c r="N17" s="15">
        <f t="shared" si="0"/>
        <v>360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4500</v>
      </c>
      <c r="G18" s="1"/>
      <c r="H18" s="8">
        <v>0</v>
      </c>
      <c r="I18" s="8">
        <v>0</v>
      </c>
      <c r="J18" s="8">
        <v>0</v>
      </c>
      <c r="K18" s="8">
        <v>1000</v>
      </c>
      <c r="L18" s="8">
        <v>0</v>
      </c>
      <c r="M18" s="8">
        <v>0</v>
      </c>
      <c r="N18" s="15">
        <f t="shared" si="0"/>
        <v>3500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f>'KASIM 3 HAFTA '!N19</f>
        <v>88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88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324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324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242</v>
      </c>
      <c r="G22" s="1"/>
      <c r="H22" s="8">
        <v>0</v>
      </c>
      <c r="I22" s="8">
        <v>31</v>
      </c>
      <c r="J22" s="8">
        <v>6</v>
      </c>
      <c r="K22" s="8">
        <v>0</v>
      </c>
      <c r="L22" s="8">
        <v>3</v>
      </c>
      <c r="M22" s="8">
        <v>36</v>
      </c>
      <c r="N22" s="15">
        <f t="shared" si="0"/>
        <v>166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200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200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x14ac:dyDescent="0.25">
      <c r="A26" s="10">
        <v>24</v>
      </c>
      <c r="B26" s="16" t="s">
        <v>39</v>
      </c>
      <c r="F26" s="1">
        <v>1600</v>
      </c>
      <c r="G26" s="1"/>
      <c r="H26" s="8">
        <v>2000</v>
      </c>
      <c r="I26" s="8">
        <v>0</v>
      </c>
      <c r="J26" s="8">
        <v>0</v>
      </c>
      <c r="K26" s="8">
        <v>2500</v>
      </c>
      <c r="L26" s="8">
        <v>0</v>
      </c>
      <c r="M26" s="8">
        <v>37</v>
      </c>
      <c r="N26" s="15">
        <f t="shared" si="0"/>
        <v>1063</v>
      </c>
      <c r="O26" s="1"/>
      <c r="P26" s="1"/>
      <c r="Q26" s="1"/>
    </row>
    <row r="27" spans="1:17" x14ac:dyDescent="0.25">
      <c r="A27" s="10">
        <v>25</v>
      </c>
      <c r="B27" s="31" t="s">
        <v>41</v>
      </c>
      <c r="C27" s="30"/>
      <c r="D27" s="30"/>
      <c r="E27" s="30"/>
      <c r="F27" s="10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x14ac:dyDescent="0.25">
      <c r="A28" s="10">
        <v>26</v>
      </c>
      <c r="B28" s="2" t="s">
        <v>43</v>
      </c>
      <c r="F28" s="1"/>
      <c r="G28" s="1"/>
      <c r="H28" s="1">
        <v>5000</v>
      </c>
      <c r="I28" s="1"/>
      <c r="J28" s="1"/>
      <c r="K28" s="1"/>
      <c r="L28" s="1">
        <v>800</v>
      </c>
      <c r="M28" s="1"/>
      <c r="N28" s="15">
        <f t="shared" si="0"/>
        <v>4200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8"/>
  <sheetViews>
    <sheetView topLeftCell="A19" workbookViewId="0">
      <selection activeCell="M1" sqref="M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44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44914</v>
      </c>
      <c r="J2" s="6">
        <v>44915</v>
      </c>
      <c r="K2" s="6">
        <v>44916</v>
      </c>
      <c r="L2" s="6">
        <v>44917</v>
      </c>
      <c r="M2" s="6">
        <v>44918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v>33000</v>
      </c>
      <c r="G3" s="1"/>
      <c r="H3" s="8">
        <v>0</v>
      </c>
      <c r="I3" s="8">
        <v>0</v>
      </c>
      <c r="J3" s="8">
        <v>5000</v>
      </c>
      <c r="K3" s="8">
        <v>5000</v>
      </c>
      <c r="L3" s="8">
        <v>0</v>
      </c>
      <c r="M3" s="8">
        <v>0</v>
      </c>
      <c r="N3" s="14">
        <f t="shared" ref="N3:N28" si="0">+F3-I3-J3-K3-L3-M3+H3</f>
        <v>23000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v>186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186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11000</v>
      </c>
      <c r="G10" s="1"/>
      <c r="H10" s="8">
        <v>0</v>
      </c>
      <c r="I10" s="8">
        <v>5000</v>
      </c>
      <c r="J10" s="8">
        <v>0</v>
      </c>
      <c r="K10" s="8">
        <v>0</v>
      </c>
      <c r="L10" s="8">
        <v>5000</v>
      </c>
      <c r="M10" s="8">
        <v>0</v>
      </c>
      <c r="N10" s="14">
        <f t="shared" si="0"/>
        <v>1000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24900</v>
      </c>
      <c r="G11" s="1">
        <v>0</v>
      </c>
      <c r="H11" s="8">
        <v>0</v>
      </c>
      <c r="I11" s="8">
        <v>700</v>
      </c>
      <c r="J11" s="8">
        <v>20</v>
      </c>
      <c r="K11" s="8">
        <v>1700</v>
      </c>
      <c r="L11" s="8">
        <v>500</v>
      </c>
      <c r="M11" s="8">
        <v>1150</v>
      </c>
      <c r="N11" s="14">
        <f t="shared" si="0"/>
        <v>20830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6075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30</v>
      </c>
      <c r="N13" s="14">
        <f t="shared" si="0"/>
        <v>6045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704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360</v>
      </c>
      <c r="G17" s="1">
        <v>0</v>
      </c>
      <c r="H17" s="8">
        <v>0</v>
      </c>
      <c r="I17" s="8">
        <v>0</v>
      </c>
      <c r="J17" s="8">
        <v>40</v>
      </c>
      <c r="K17" s="8">
        <v>0</v>
      </c>
      <c r="L17" s="8">
        <v>0</v>
      </c>
      <c r="M17" s="8">
        <v>60</v>
      </c>
      <c r="N17" s="15">
        <f t="shared" si="0"/>
        <v>260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3500</v>
      </c>
      <c r="G18" s="1"/>
      <c r="H18" s="8">
        <v>0</v>
      </c>
      <c r="I18" s="8">
        <v>1000</v>
      </c>
      <c r="J18" s="8">
        <v>0</v>
      </c>
      <c r="K18" s="8">
        <v>1500</v>
      </c>
      <c r="L18" s="8">
        <v>0</v>
      </c>
      <c r="M18" s="8">
        <v>0</v>
      </c>
      <c r="N18" s="15">
        <f t="shared" si="0"/>
        <v>1000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f>'KASIM 3 HAFTA '!N19</f>
        <v>88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2</v>
      </c>
      <c r="N19" s="15">
        <f t="shared" si="0"/>
        <v>86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324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324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166</v>
      </c>
      <c r="G22" s="1"/>
      <c r="H22" s="8">
        <v>49</v>
      </c>
      <c r="I22" s="8">
        <v>166</v>
      </c>
      <c r="J22" s="8">
        <v>0</v>
      </c>
      <c r="K22" s="8">
        <v>0</v>
      </c>
      <c r="L22" s="8">
        <v>0</v>
      </c>
      <c r="M22" s="8">
        <v>49</v>
      </c>
      <c r="N22" s="15">
        <f t="shared" si="0"/>
        <v>0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200</v>
      </c>
      <c r="G23" s="1"/>
      <c r="H23" s="8">
        <v>0</v>
      </c>
      <c r="I23" s="8">
        <v>0</v>
      </c>
      <c r="J23" s="8">
        <v>200</v>
      </c>
      <c r="K23" s="8">
        <v>0</v>
      </c>
      <c r="L23" s="8">
        <v>0</v>
      </c>
      <c r="M23" s="8">
        <v>0</v>
      </c>
      <c r="N23" s="15">
        <f t="shared" si="0"/>
        <v>0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x14ac:dyDescent="0.25">
      <c r="A26" s="10">
        <v>24</v>
      </c>
      <c r="B26" s="16" t="s">
        <v>39</v>
      </c>
      <c r="F26" s="32">
        <v>1063</v>
      </c>
      <c r="G26" s="1"/>
      <c r="H26" s="8">
        <v>0</v>
      </c>
      <c r="I26" s="8">
        <v>0</v>
      </c>
      <c r="J26" s="8">
        <v>0</v>
      </c>
      <c r="K26" s="8">
        <v>0</v>
      </c>
      <c r="L26" s="8">
        <v>20</v>
      </c>
      <c r="M26" s="8">
        <v>0</v>
      </c>
      <c r="N26" s="15">
        <f t="shared" si="0"/>
        <v>1043</v>
      </c>
      <c r="O26" s="1"/>
      <c r="P26" s="1"/>
      <c r="Q26" s="1"/>
    </row>
    <row r="27" spans="1:17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x14ac:dyDescent="0.25">
      <c r="A28" s="10">
        <v>26</v>
      </c>
      <c r="B28" s="2" t="s">
        <v>43</v>
      </c>
      <c r="F28" s="32">
        <v>4200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4200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8"/>
  <sheetViews>
    <sheetView workbookViewId="0">
      <selection activeCell="H3" sqref="H3:M28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45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44921</v>
      </c>
      <c r="J2" s="6">
        <v>44922</v>
      </c>
      <c r="K2" s="6">
        <v>44923</v>
      </c>
      <c r="L2" s="6">
        <v>44924</v>
      </c>
      <c r="M2" s="6">
        <v>44925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v>23000</v>
      </c>
      <c r="G3" s="1"/>
      <c r="H3" s="8">
        <v>0</v>
      </c>
      <c r="I3" s="8">
        <v>0</v>
      </c>
      <c r="J3" s="8">
        <v>0</v>
      </c>
      <c r="K3" s="8">
        <v>5000</v>
      </c>
      <c r="L3" s="8">
        <v>0</v>
      </c>
      <c r="M3" s="8">
        <v>5000</v>
      </c>
      <c r="N3" s="14">
        <f t="shared" ref="N3:N28" si="0">+F3-I3-J3-K3-L3-M3+H3</f>
        <v>13000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3</v>
      </c>
      <c r="F8" s="9">
        <v>186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186</v>
      </c>
      <c r="O8" s="1" t="s">
        <v>16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600</v>
      </c>
      <c r="M10" s="8">
        <v>0</v>
      </c>
      <c r="N10" s="14">
        <f t="shared" si="0"/>
        <v>400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20830</v>
      </c>
      <c r="G11" s="1">
        <v>0</v>
      </c>
      <c r="H11" s="8">
        <v>0</v>
      </c>
      <c r="I11" s="8">
        <v>200</v>
      </c>
      <c r="J11" s="8">
        <v>200</v>
      </c>
      <c r="K11" s="8">
        <v>200</v>
      </c>
      <c r="L11" s="8">
        <v>0</v>
      </c>
      <c r="M11" s="8">
        <v>0</v>
      </c>
      <c r="N11" s="14">
        <f t="shared" si="0"/>
        <v>20230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6045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6045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704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260</v>
      </c>
      <c r="G17" s="1">
        <v>0</v>
      </c>
      <c r="H17" s="8">
        <v>640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15">
        <f t="shared" si="0"/>
        <v>900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1000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5">
        <f t="shared" si="0"/>
        <v>1000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v>86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86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324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324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0</v>
      </c>
      <c r="G22" s="1"/>
      <c r="H22" s="8">
        <v>203</v>
      </c>
      <c r="I22" s="8">
        <v>0</v>
      </c>
      <c r="J22" s="8">
        <v>0</v>
      </c>
      <c r="K22" s="8">
        <v>6</v>
      </c>
      <c r="L22" s="8">
        <v>0</v>
      </c>
      <c r="M22" s="8">
        <v>0</v>
      </c>
      <c r="N22" s="15">
        <f t="shared" si="0"/>
        <v>197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11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11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x14ac:dyDescent="0.25">
      <c r="A26" s="10">
        <v>24</v>
      </c>
      <c r="B26" s="16" t="s">
        <v>46</v>
      </c>
      <c r="F26" s="32">
        <v>1043</v>
      </c>
      <c r="G26" s="1"/>
      <c r="H26" s="8">
        <v>0</v>
      </c>
      <c r="I26" s="8">
        <v>28</v>
      </c>
      <c r="J26" s="8">
        <v>0</v>
      </c>
      <c r="K26" s="8">
        <v>14</v>
      </c>
      <c r="L26" s="8">
        <v>0</v>
      </c>
      <c r="M26" s="8">
        <v>0</v>
      </c>
      <c r="N26" s="15">
        <f t="shared" si="0"/>
        <v>1001</v>
      </c>
      <c r="O26" s="1"/>
      <c r="P26" s="1"/>
      <c r="Q26" s="1"/>
    </row>
    <row r="27" spans="1:17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x14ac:dyDescent="0.25">
      <c r="A28" s="10">
        <v>26</v>
      </c>
      <c r="B28" s="2" t="s">
        <v>43</v>
      </c>
      <c r="F28" s="32">
        <v>4200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4200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8"/>
  <sheetViews>
    <sheetView workbookViewId="0">
      <selection activeCell="L19" sqref="L19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47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44928</v>
      </c>
      <c r="J2" s="6">
        <v>44929</v>
      </c>
      <c r="K2" s="6">
        <v>44930</v>
      </c>
      <c r="L2" s="6">
        <v>44931</v>
      </c>
      <c r="M2" s="6">
        <v>44932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F3" s="9">
        <v>13000</v>
      </c>
      <c r="G3" s="1"/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500</v>
      </c>
      <c r="N3" s="14">
        <f t="shared" ref="N3:N28" si="0">+F3-I3-J3-K3-L3-M3+H3</f>
        <v>12500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f>'KASIM 3 HAFTA '!N5</f>
        <v>153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153</v>
      </c>
      <c r="O5" s="1" t="s">
        <v>17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244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f>'KASIM 3 HAFTA '!N7</f>
        <v>500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48</v>
      </c>
      <c r="F8" s="9">
        <v>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0</v>
      </c>
      <c r="G9" s="1"/>
      <c r="H9" s="8">
        <v>1000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1000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400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400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20230</v>
      </c>
      <c r="G11" s="1">
        <v>0</v>
      </c>
      <c r="H11" s="8">
        <v>12500</v>
      </c>
      <c r="I11" s="8">
        <v>600</v>
      </c>
      <c r="J11" s="8">
        <v>260</v>
      </c>
      <c r="K11" s="8">
        <v>200</v>
      </c>
      <c r="L11" s="8">
        <v>1000</v>
      </c>
      <c r="M11" s="8">
        <v>500</v>
      </c>
      <c r="N11" s="14">
        <f t="shared" si="0"/>
        <v>30170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6045</v>
      </c>
      <c r="G13" s="1"/>
      <c r="H13" s="8">
        <v>0</v>
      </c>
      <c r="I13" s="8">
        <v>100</v>
      </c>
      <c r="J13" s="8">
        <v>500</v>
      </c>
      <c r="K13" s="8">
        <v>0</v>
      </c>
      <c r="L13" s="8">
        <v>0</v>
      </c>
      <c r="M13" s="8">
        <v>0</v>
      </c>
      <c r="N13" s="14">
        <f t="shared" si="0"/>
        <v>5445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704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900</v>
      </c>
      <c r="G17" s="1">
        <v>0</v>
      </c>
      <c r="H17" s="8">
        <v>0</v>
      </c>
      <c r="I17" s="8">
        <v>0</v>
      </c>
      <c r="J17" s="8">
        <v>0</v>
      </c>
      <c r="K17" s="8">
        <v>60</v>
      </c>
      <c r="L17" s="8">
        <v>60</v>
      </c>
      <c r="M17" s="8">
        <v>0</v>
      </c>
      <c r="N17" s="15">
        <f t="shared" si="0"/>
        <v>780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1000</v>
      </c>
      <c r="G18" s="1"/>
      <c r="H18" s="8">
        <v>10000</v>
      </c>
      <c r="I18" s="8">
        <v>1000</v>
      </c>
      <c r="J18" s="8">
        <v>0</v>
      </c>
      <c r="K18" s="8">
        <v>500</v>
      </c>
      <c r="L18" s="8">
        <v>0</v>
      </c>
      <c r="M18" s="8">
        <v>0</v>
      </c>
      <c r="N18" s="13">
        <f t="shared" si="0"/>
        <v>9500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v>86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86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324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324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197</v>
      </c>
      <c r="G22" s="1"/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15">
        <f t="shared" si="0"/>
        <v>197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11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11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x14ac:dyDescent="0.25">
      <c r="A26" s="10">
        <v>24</v>
      </c>
      <c r="B26" s="16" t="s">
        <v>46</v>
      </c>
      <c r="F26" s="32">
        <v>1043</v>
      </c>
      <c r="G26" s="1"/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4</v>
      </c>
      <c r="N26" s="15">
        <f t="shared" si="0"/>
        <v>1039</v>
      </c>
      <c r="O26" s="1"/>
      <c r="P26" s="1"/>
      <c r="Q26" s="1"/>
    </row>
    <row r="27" spans="1:17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x14ac:dyDescent="0.25">
      <c r="A28" s="10">
        <v>26</v>
      </c>
      <c r="B28" s="2" t="s">
        <v>43</v>
      </c>
      <c r="F28" s="32">
        <v>4200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4200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8"/>
  <sheetViews>
    <sheetView topLeftCell="A4" workbookViewId="0">
      <selection activeCell="M19" sqref="M19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49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44935</v>
      </c>
      <c r="J2" s="6">
        <v>44936</v>
      </c>
      <c r="K2" s="6">
        <v>44937</v>
      </c>
      <c r="L2" s="6">
        <v>44938</v>
      </c>
      <c r="M2" s="6">
        <v>44939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12500</v>
      </c>
      <c r="G3" s="1"/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4">
        <f t="shared" ref="N3:N28" si="0">+F3-I3-J3-K3-L3-M3+H3</f>
        <v>12500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15238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500</v>
      </c>
      <c r="G5" s="1"/>
      <c r="H5" s="8">
        <v>0</v>
      </c>
      <c r="I5" s="8">
        <v>150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350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244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150</v>
      </c>
      <c r="N6" s="14">
        <f t="shared" si="0"/>
        <v>94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/>
      <c r="G7" s="1"/>
      <c r="H7" s="8">
        <v>2000</v>
      </c>
      <c r="I7" s="8">
        <v>0</v>
      </c>
      <c r="J7" s="8">
        <v>0</v>
      </c>
      <c r="K7" s="8">
        <v>500</v>
      </c>
      <c r="L7" s="8">
        <v>0</v>
      </c>
      <c r="M7" s="8">
        <v>0</v>
      </c>
      <c r="N7" s="14">
        <f t="shared" si="0"/>
        <v>1500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48</v>
      </c>
      <c r="F8" s="9">
        <v>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150</v>
      </c>
      <c r="N9" s="14">
        <f t="shared" si="0"/>
        <v>850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15000</v>
      </c>
      <c r="G10" s="1"/>
      <c r="H10" s="8">
        <v>15000</v>
      </c>
      <c r="I10" s="8">
        <v>0</v>
      </c>
      <c r="J10" s="8">
        <v>0</v>
      </c>
      <c r="K10" s="8">
        <v>0</v>
      </c>
      <c r="L10" s="8">
        <v>10000</v>
      </c>
      <c r="M10" s="8">
        <v>0</v>
      </c>
      <c r="N10" s="14">
        <f t="shared" si="0"/>
        <v>20000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30170</v>
      </c>
      <c r="G11" s="1">
        <v>0</v>
      </c>
      <c r="H11" s="8">
        <v>0</v>
      </c>
      <c r="I11" s="8">
        <v>825</v>
      </c>
      <c r="J11" s="8">
        <v>750</v>
      </c>
      <c r="K11" s="8">
        <v>100</v>
      </c>
      <c r="L11" s="8">
        <v>0</v>
      </c>
      <c r="M11" s="8">
        <v>200</v>
      </c>
      <c r="N11" s="14">
        <f t="shared" si="0"/>
        <v>28295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820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5445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5445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704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704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780</v>
      </c>
      <c r="G17" s="1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60</v>
      </c>
      <c r="N17" s="15">
        <f t="shared" si="0"/>
        <v>720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9500</v>
      </c>
      <c r="G18" s="1"/>
      <c r="H18" s="8">
        <v>0</v>
      </c>
      <c r="I18" s="8">
        <v>0</v>
      </c>
      <c r="J18" s="8">
        <v>0</v>
      </c>
      <c r="K18" s="8">
        <v>1500</v>
      </c>
      <c r="L18" s="8">
        <v>0</v>
      </c>
      <c r="M18" s="8">
        <v>0</v>
      </c>
      <c r="N18" s="13">
        <f t="shared" si="0"/>
        <v>8000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v>86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86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324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324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197</v>
      </c>
      <c r="G22" s="1"/>
      <c r="H22" s="8">
        <v>50</v>
      </c>
      <c r="I22" s="8">
        <v>0</v>
      </c>
      <c r="J22" s="8">
        <v>0</v>
      </c>
      <c r="K22" s="8">
        <v>4</v>
      </c>
      <c r="L22" s="8">
        <v>53</v>
      </c>
      <c r="M22" s="8">
        <v>0</v>
      </c>
      <c r="N22" s="15">
        <f t="shared" si="0"/>
        <v>190</v>
      </c>
      <c r="O22" s="1"/>
      <c r="P22" s="25">
        <v>100</v>
      </c>
      <c r="Q22" s="27">
        <v>300</v>
      </c>
    </row>
    <row r="23" spans="1:17" ht="18" customHeight="1" x14ac:dyDescent="0.25">
      <c r="A23" s="10">
        <v>21</v>
      </c>
      <c r="B23" s="2" t="s">
        <v>28</v>
      </c>
      <c r="C23" s="1"/>
      <c r="D23" s="1"/>
      <c r="E23" s="1"/>
      <c r="F23" s="9">
        <v>11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11</v>
      </c>
      <c r="O23" s="1"/>
      <c r="P23" s="25">
        <v>100</v>
      </c>
      <c r="Q23" s="27">
        <v>500</v>
      </c>
    </row>
    <row r="24" spans="1:17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x14ac:dyDescent="0.25">
      <c r="A26" s="10">
        <v>24</v>
      </c>
      <c r="B26" s="16" t="s">
        <v>46</v>
      </c>
      <c r="F26" s="32">
        <v>1043</v>
      </c>
      <c r="G26" s="1"/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15">
        <f t="shared" si="0"/>
        <v>1042</v>
      </c>
      <c r="O26" s="1"/>
      <c r="P26" s="1"/>
      <c r="Q26" s="1"/>
    </row>
    <row r="27" spans="1:17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x14ac:dyDescent="0.25">
      <c r="A28" s="10">
        <v>26</v>
      </c>
      <c r="B28" s="2" t="s">
        <v>43</v>
      </c>
      <c r="F28" s="32">
        <v>4200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4200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8"/>
  <sheetViews>
    <sheetView topLeftCell="A10" workbookViewId="0">
      <selection activeCell="B1" sqref="B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51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44942</v>
      </c>
      <c r="J2" s="6">
        <v>44943</v>
      </c>
      <c r="K2" s="6">
        <v>44944</v>
      </c>
      <c r="L2" s="6">
        <v>45072</v>
      </c>
      <c r="M2" s="6">
        <v>44946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15200</v>
      </c>
      <c r="G3" s="1"/>
      <c r="H3" s="8">
        <v>0</v>
      </c>
      <c r="I3" s="8">
        <v>500</v>
      </c>
      <c r="J3" s="8">
        <v>0</v>
      </c>
      <c r="K3" s="8">
        <v>1000</v>
      </c>
      <c r="L3" s="8">
        <v>0</v>
      </c>
      <c r="M3" s="8">
        <v>0</v>
      </c>
      <c r="N3" s="14">
        <f t="shared" ref="N3:N28" si="0">+F3-I3-J3-K3-L3-M3+H3</f>
        <v>13700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f>'KASIM 3 HAFTA '!N4</f>
        <v>15238</v>
      </c>
      <c r="G4" s="1"/>
      <c r="H4" s="8">
        <v>0</v>
      </c>
      <c r="I4" s="8">
        <v>5000</v>
      </c>
      <c r="J4" s="8">
        <v>0</v>
      </c>
      <c r="K4" s="8">
        <v>1000</v>
      </c>
      <c r="L4" s="8">
        <v>0</v>
      </c>
      <c r="M4" s="8">
        <v>0</v>
      </c>
      <c r="N4" s="14">
        <f t="shared" si="0"/>
        <v>9238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500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500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200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2000</v>
      </c>
      <c r="G7" s="1"/>
      <c r="H7" s="8">
        <v>0</v>
      </c>
      <c r="I7" s="8">
        <v>0</v>
      </c>
      <c r="J7" s="8">
        <v>0</v>
      </c>
      <c r="K7" s="8">
        <v>500</v>
      </c>
      <c r="L7" s="8">
        <v>0</v>
      </c>
      <c r="M7" s="8">
        <v>0</v>
      </c>
      <c r="N7" s="14">
        <f t="shared" si="0"/>
        <v>1500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48</v>
      </c>
      <c r="F8" s="9">
        <v>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850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850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90000</v>
      </c>
      <c r="G10" s="1"/>
      <c r="H10" s="8">
        <v>0</v>
      </c>
      <c r="I10" s="8">
        <v>0</v>
      </c>
      <c r="J10" s="8">
        <v>0</v>
      </c>
      <c r="K10" s="8">
        <v>10000</v>
      </c>
      <c r="L10" s="8">
        <v>0</v>
      </c>
      <c r="M10" s="8">
        <v>0</v>
      </c>
      <c r="N10" s="14">
        <f t="shared" si="0"/>
        <v>80000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28295</v>
      </c>
      <c r="G11" s="1">
        <v>0</v>
      </c>
      <c r="H11" s="8">
        <v>0</v>
      </c>
      <c r="I11" s="8">
        <v>750</v>
      </c>
      <c r="J11" s="8">
        <v>250</v>
      </c>
      <c r="K11" s="8">
        <v>3160</v>
      </c>
      <c r="L11" s="8">
        <v>0</v>
      </c>
      <c r="M11" s="8">
        <v>0</v>
      </c>
      <c r="N11" s="14">
        <f t="shared" si="0"/>
        <v>24135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f>'KASIM 3 HAFTA '!N12</f>
        <v>820</v>
      </c>
      <c r="G12" s="1"/>
      <c r="H12" s="8">
        <v>0</v>
      </c>
      <c r="I12" s="8">
        <v>0</v>
      </c>
      <c r="J12" s="8">
        <v>0</v>
      </c>
      <c r="K12" s="8">
        <v>100</v>
      </c>
      <c r="L12" s="8">
        <v>0</v>
      </c>
      <c r="M12" s="8">
        <v>0</v>
      </c>
      <c r="N12" s="14">
        <f t="shared" si="0"/>
        <v>720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4500</v>
      </c>
      <c r="G13" s="1"/>
      <c r="H13" s="8">
        <v>0</v>
      </c>
      <c r="I13" s="8">
        <v>1000</v>
      </c>
      <c r="J13" s="8">
        <v>0</v>
      </c>
      <c r="K13" s="8">
        <v>500</v>
      </c>
      <c r="L13" s="8">
        <v>200</v>
      </c>
      <c r="M13" s="8">
        <v>0</v>
      </c>
      <c r="N13" s="14">
        <f t="shared" si="0"/>
        <v>2800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150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150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f>'KASIM 3 HAFTA '!N16</f>
        <v>3150</v>
      </c>
      <c r="G16" s="1"/>
      <c r="H16" s="8">
        <v>0</v>
      </c>
      <c r="I16" s="8">
        <v>0</v>
      </c>
      <c r="J16" s="8">
        <v>0</v>
      </c>
      <c r="K16" s="8">
        <v>3000</v>
      </c>
      <c r="L16" s="8">
        <v>0</v>
      </c>
      <c r="M16" s="8">
        <v>0</v>
      </c>
      <c r="N16" s="15">
        <f t="shared" si="0"/>
        <v>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380</v>
      </c>
      <c r="G17" s="1">
        <v>0</v>
      </c>
      <c r="H17" s="8">
        <v>500</v>
      </c>
      <c r="I17" s="8">
        <v>0</v>
      </c>
      <c r="J17" s="8">
        <v>0</v>
      </c>
      <c r="K17" s="8">
        <v>350</v>
      </c>
      <c r="L17" s="8">
        <v>0</v>
      </c>
      <c r="M17" s="8">
        <v>0</v>
      </c>
      <c r="N17" s="15">
        <f t="shared" si="0"/>
        <v>530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8000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8000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v>150</v>
      </c>
      <c r="G19" s="1"/>
      <c r="H19" s="8">
        <v>0</v>
      </c>
      <c r="I19" s="8">
        <v>0</v>
      </c>
      <c r="J19" s="8">
        <v>0</v>
      </c>
      <c r="K19" s="8">
        <v>25</v>
      </c>
      <c r="L19" s="8">
        <v>0</v>
      </c>
      <c r="M19" s="8">
        <v>0</v>
      </c>
      <c r="N19" s="15">
        <f t="shared" si="0"/>
        <v>125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800</v>
      </c>
      <c r="G20" s="1"/>
      <c r="H20" s="8">
        <v>0</v>
      </c>
      <c r="I20" s="8">
        <v>0</v>
      </c>
      <c r="J20" s="8">
        <v>0</v>
      </c>
      <c r="K20" s="8">
        <v>25</v>
      </c>
      <c r="L20" s="8">
        <v>0</v>
      </c>
      <c r="M20" s="8">
        <v>0</v>
      </c>
      <c r="N20" s="15">
        <f t="shared" si="0"/>
        <v>775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137</v>
      </c>
      <c r="G22" s="1"/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15">
        <f t="shared" si="0"/>
        <v>137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10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10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ht="18.75" customHeight="1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976</v>
      </c>
      <c r="G26" s="1"/>
      <c r="H26" s="8">
        <v>2500</v>
      </c>
      <c r="I26" s="8">
        <v>1</v>
      </c>
      <c r="J26" s="8">
        <v>0</v>
      </c>
      <c r="K26" s="8">
        <v>510</v>
      </c>
      <c r="L26" s="8">
        <v>2500</v>
      </c>
      <c r="M26" s="8">
        <v>0</v>
      </c>
      <c r="N26" s="15">
        <f t="shared" si="0"/>
        <v>465</v>
      </c>
      <c r="O26" s="1"/>
      <c r="P26" s="1"/>
      <c r="Q26" s="1"/>
    </row>
    <row r="27" spans="1:17" ht="18.75" customHeight="1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4000</v>
      </c>
      <c r="G28" s="1"/>
      <c r="H28" s="8">
        <v>12500</v>
      </c>
      <c r="I28" s="8">
        <v>0</v>
      </c>
      <c r="J28" s="8">
        <v>0</v>
      </c>
      <c r="K28" s="8">
        <v>1400</v>
      </c>
      <c r="L28" s="8">
        <v>12500</v>
      </c>
      <c r="M28" s="8">
        <v>0</v>
      </c>
      <c r="N28" s="15">
        <f t="shared" si="0"/>
        <v>2600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8"/>
  <sheetViews>
    <sheetView topLeftCell="A7" workbookViewId="0">
      <selection activeCell="L28" sqref="L28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t="s">
        <v>52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45083</v>
      </c>
      <c r="J2" s="6">
        <v>45096</v>
      </c>
      <c r="K2" s="6">
        <v>45100</v>
      </c>
      <c r="L2" s="6">
        <v>45114</v>
      </c>
      <c r="M2" s="6">
        <v>45122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13500</v>
      </c>
      <c r="G3" s="1"/>
      <c r="H3" s="8">
        <v>0</v>
      </c>
      <c r="I3" s="8">
        <v>1000</v>
      </c>
      <c r="J3" s="8">
        <v>0</v>
      </c>
      <c r="K3" s="8">
        <v>0</v>
      </c>
      <c r="L3" s="8">
        <v>1500</v>
      </c>
      <c r="M3" s="8">
        <v>1500</v>
      </c>
      <c r="N3" s="14">
        <f t="shared" ref="N3:N28" si="0">+F3-I3-J3-K3-L3-M3+H3</f>
        <v>9500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9200</v>
      </c>
      <c r="G4" s="1"/>
      <c r="H4" s="8">
        <v>0</v>
      </c>
      <c r="I4" s="8">
        <v>1000</v>
      </c>
      <c r="J4" s="8">
        <v>1000</v>
      </c>
      <c r="K4" s="8">
        <v>0</v>
      </c>
      <c r="L4" s="8">
        <v>1200</v>
      </c>
      <c r="M4" s="8">
        <v>0</v>
      </c>
      <c r="N4" s="14">
        <f t="shared" si="0"/>
        <v>6000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500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500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200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1500</v>
      </c>
      <c r="G7" s="1"/>
      <c r="H7" s="8">
        <v>0</v>
      </c>
      <c r="I7" s="8">
        <v>120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1380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48</v>
      </c>
      <c r="F8" s="9">
        <v>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850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850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75000</v>
      </c>
      <c r="G10" s="1"/>
      <c r="H10" s="8">
        <v>0</v>
      </c>
      <c r="I10" s="8">
        <v>10000</v>
      </c>
      <c r="J10" s="8">
        <v>0</v>
      </c>
      <c r="K10" s="8">
        <v>0</v>
      </c>
      <c r="L10" s="8">
        <v>10000</v>
      </c>
      <c r="M10" s="8">
        <v>0</v>
      </c>
      <c r="N10" s="14">
        <f t="shared" si="0"/>
        <v>55000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24150</v>
      </c>
      <c r="G11" s="1">
        <v>0</v>
      </c>
      <c r="H11" s="8">
        <v>0</v>
      </c>
      <c r="I11" s="8">
        <v>500</v>
      </c>
      <c r="J11" s="8">
        <v>250</v>
      </c>
      <c r="K11" s="8">
        <v>500</v>
      </c>
      <c r="L11" s="8">
        <v>1000</v>
      </c>
      <c r="M11" s="8">
        <v>2000</v>
      </c>
      <c r="N11" s="14">
        <f t="shared" si="0"/>
        <v>19900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720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720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2800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2800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150</v>
      </c>
      <c r="G14" s="2"/>
      <c r="H14" s="8">
        <v>0</v>
      </c>
      <c r="I14" s="8">
        <v>0</v>
      </c>
      <c r="J14" s="8">
        <v>10</v>
      </c>
      <c r="K14" s="8">
        <v>0</v>
      </c>
      <c r="L14" s="8">
        <v>0</v>
      </c>
      <c r="M14" s="8">
        <v>0</v>
      </c>
      <c r="N14" s="15">
        <f t="shared" si="0"/>
        <v>140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150</v>
      </c>
      <c r="G16" s="1"/>
      <c r="H16" s="8">
        <v>3000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530</v>
      </c>
      <c r="G17" s="1">
        <v>0</v>
      </c>
      <c r="H17" s="8">
        <v>0</v>
      </c>
      <c r="I17" s="8">
        <v>50</v>
      </c>
      <c r="J17" s="8">
        <v>0</v>
      </c>
      <c r="K17" s="8">
        <v>0</v>
      </c>
      <c r="L17" s="8">
        <v>100</v>
      </c>
      <c r="M17" s="8">
        <v>0</v>
      </c>
      <c r="N17" s="15">
        <f t="shared" si="0"/>
        <v>380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8000</v>
      </c>
      <c r="G18" s="1"/>
      <c r="H18" s="8">
        <v>0</v>
      </c>
      <c r="I18" s="8">
        <v>500</v>
      </c>
      <c r="J18" s="8">
        <v>0</v>
      </c>
      <c r="K18" s="8">
        <v>1800</v>
      </c>
      <c r="L18" s="8">
        <v>1000</v>
      </c>
      <c r="M18" s="8">
        <v>0</v>
      </c>
      <c r="N18" s="13">
        <f t="shared" si="0"/>
        <v>4700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22</v>
      </c>
      <c r="C19" s="3"/>
      <c r="D19" s="3"/>
      <c r="E19" s="3"/>
      <c r="F19" s="9">
        <v>125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125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775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775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115</v>
      </c>
      <c r="G22" s="1"/>
      <c r="H22" s="8">
        <v>1000</v>
      </c>
      <c r="I22" s="8">
        <v>0</v>
      </c>
      <c r="J22" s="8">
        <v>20</v>
      </c>
      <c r="K22" s="8">
        <v>0</v>
      </c>
      <c r="L22" s="8">
        <v>15</v>
      </c>
      <c r="M22" s="8">
        <v>52</v>
      </c>
      <c r="N22" s="15">
        <f t="shared" si="0"/>
        <v>1028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250</v>
      </c>
      <c r="G23" s="1"/>
      <c r="H23" s="8">
        <v>0</v>
      </c>
      <c r="I23" s="8">
        <v>16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234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ht="18.75" customHeight="1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430</v>
      </c>
      <c r="G26" s="1"/>
      <c r="H26" s="8">
        <v>2496</v>
      </c>
      <c r="I26" s="8">
        <v>0</v>
      </c>
      <c r="J26" s="8">
        <v>20</v>
      </c>
      <c r="K26" s="8">
        <v>80</v>
      </c>
      <c r="L26" s="8">
        <v>69</v>
      </c>
      <c r="M26" s="8">
        <v>0</v>
      </c>
      <c r="N26" s="15">
        <f t="shared" si="0"/>
        <v>2757</v>
      </c>
      <c r="O26" s="1"/>
      <c r="P26" s="1"/>
      <c r="Q26" s="1"/>
    </row>
    <row r="27" spans="1:17" ht="18.75" customHeight="1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2600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2600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8"/>
  <sheetViews>
    <sheetView workbookViewId="0">
      <selection activeCell="B19" sqref="B19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45108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45128</v>
      </c>
      <c r="J2" s="6">
        <v>45133</v>
      </c>
      <c r="K2" s="6">
        <v>45130</v>
      </c>
      <c r="L2" s="6">
        <v>45132</v>
      </c>
      <c r="M2" s="6">
        <v>45138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9500</v>
      </c>
      <c r="G3" s="1"/>
      <c r="H3" s="8">
        <v>0</v>
      </c>
      <c r="I3" s="8">
        <v>1000</v>
      </c>
      <c r="J3" s="8">
        <v>0</v>
      </c>
      <c r="K3" s="8">
        <v>0</v>
      </c>
      <c r="L3" s="8">
        <v>0</v>
      </c>
      <c r="M3" s="8">
        <v>0</v>
      </c>
      <c r="N3" s="14">
        <f t="shared" ref="N3:N28" si="0">+F3-I3-J3-K3-L3-M3+H3</f>
        <v>8500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6000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6000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500</v>
      </c>
      <c r="G5" s="1"/>
      <c r="H5" s="8">
        <v>0</v>
      </c>
      <c r="I5" s="8">
        <v>100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400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200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1380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1380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48</v>
      </c>
      <c r="F8" s="9">
        <v>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850</v>
      </c>
      <c r="G9" s="1"/>
      <c r="H9" s="8">
        <v>0</v>
      </c>
      <c r="I9" s="8">
        <v>150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700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55000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55000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19900</v>
      </c>
      <c r="G11" s="1">
        <v>0</v>
      </c>
      <c r="H11" s="8">
        <v>0</v>
      </c>
      <c r="I11" s="8">
        <v>500</v>
      </c>
      <c r="J11" s="8">
        <v>1050</v>
      </c>
      <c r="K11" s="8">
        <v>0</v>
      </c>
      <c r="L11" s="8">
        <v>0</v>
      </c>
      <c r="M11" s="8">
        <v>0</v>
      </c>
      <c r="N11" s="14">
        <f t="shared" si="0"/>
        <v>18350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720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720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2800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2800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140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140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3150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280</v>
      </c>
      <c r="G17" s="1">
        <v>0</v>
      </c>
      <c r="H17" s="8">
        <v>0</v>
      </c>
      <c r="I17" s="8">
        <v>0</v>
      </c>
      <c r="J17" s="8">
        <v>184</v>
      </c>
      <c r="K17" s="8">
        <v>0</v>
      </c>
      <c r="L17" s="8">
        <v>0</v>
      </c>
      <c r="M17" s="8">
        <v>0</v>
      </c>
      <c r="N17" s="15">
        <f t="shared" si="0"/>
        <v>96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4700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4700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0</v>
      </c>
      <c r="G19" s="1"/>
      <c r="H19" s="8">
        <v>80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80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775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775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388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1028</v>
      </c>
      <c r="G22" s="1"/>
      <c r="H22" s="8">
        <v>0</v>
      </c>
      <c r="I22" s="8">
        <v>12</v>
      </c>
      <c r="J22" s="8">
        <v>48</v>
      </c>
      <c r="K22" s="8">
        <v>0</v>
      </c>
      <c r="L22" s="8">
        <v>0</v>
      </c>
      <c r="M22" s="8">
        <v>0</v>
      </c>
      <c r="N22" s="15">
        <f t="shared" si="0"/>
        <v>968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234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234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ht="18.75" customHeight="1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2750</v>
      </c>
      <c r="G26" s="1"/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15">
        <f t="shared" si="0"/>
        <v>2750</v>
      </c>
      <c r="O26" s="1"/>
      <c r="P26" s="1">
        <v>500</v>
      </c>
      <c r="Q26" s="1"/>
    </row>
    <row r="27" spans="1:17" ht="18.75" customHeight="1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2600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2600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8"/>
  <sheetViews>
    <sheetView topLeftCell="A10" workbookViewId="0">
      <selection activeCell="M27" sqref="M27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45139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45145</v>
      </c>
      <c r="J2" s="6">
        <v>45152</v>
      </c>
      <c r="K2" s="6">
        <v>45159</v>
      </c>
      <c r="L2" s="6">
        <v>45166</v>
      </c>
      <c r="M2" s="6">
        <v>45169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8500</v>
      </c>
      <c r="G3" s="1"/>
      <c r="H3" s="8">
        <v>0</v>
      </c>
      <c r="I3" s="8">
        <v>0</v>
      </c>
      <c r="J3" s="8">
        <v>1000</v>
      </c>
      <c r="K3" s="8">
        <v>0</v>
      </c>
      <c r="L3" s="8">
        <v>1000</v>
      </c>
      <c r="M3" s="8">
        <v>500</v>
      </c>
      <c r="N3" s="14">
        <f t="shared" ref="N3:N28" si="0">+F3-I3-J3-K3-L3-M3+H3</f>
        <v>6000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16000</v>
      </c>
      <c r="G4" s="1"/>
      <c r="H4" s="8">
        <v>0</v>
      </c>
      <c r="I4" s="8">
        <v>0</v>
      </c>
      <c r="J4" s="8">
        <v>1000</v>
      </c>
      <c r="K4" s="8">
        <v>0</v>
      </c>
      <c r="L4" s="8">
        <v>0</v>
      </c>
      <c r="M4" s="8">
        <v>0</v>
      </c>
      <c r="N4" s="14">
        <f t="shared" si="0"/>
        <v>15000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400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400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150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150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1380</v>
      </c>
      <c r="G7" s="1"/>
      <c r="H7" s="8">
        <v>0</v>
      </c>
      <c r="I7" s="8">
        <v>0</v>
      </c>
      <c r="J7" s="8">
        <v>350</v>
      </c>
      <c r="K7" s="8">
        <v>0</v>
      </c>
      <c r="L7" s="8">
        <v>0</v>
      </c>
      <c r="M7" s="8">
        <v>0</v>
      </c>
      <c r="N7" s="14">
        <f t="shared" si="0"/>
        <v>1030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48</v>
      </c>
      <c r="F8" s="9">
        <v>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700</v>
      </c>
      <c r="G9" s="1"/>
      <c r="H9" s="8">
        <v>0</v>
      </c>
      <c r="I9" s="8">
        <v>0</v>
      </c>
      <c r="J9" s="8">
        <v>25</v>
      </c>
      <c r="K9" s="8">
        <v>0</v>
      </c>
      <c r="L9" s="8">
        <v>350</v>
      </c>
      <c r="M9" s="8">
        <v>0</v>
      </c>
      <c r="N9" s="14">
        <f t="shared" si="0"/>
        <v>325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45000</v>
      </c>
      <c r="G10" s="1"/>
      <c r="H10" s="8">
        <v>0</v>
      </c>
      <c r="I10" s="8">
        <v>0</v>
      </c>
      <c r="J10" s="8">
        <v>5000</v>
      </c>
      <c r="K10" s="8">
        <v>0</v>
      </c>
      <c r="L10" s="8">
        <v>0</v>
      </c>
      <c r="M10" s="8">
        <v>0</v>
      </c>
      <c r="N10" s="14">
        <f t="shared" si="0"/>
        <v>40000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18350</v>
      </c>
      <c r="G11" s="1">
        <v>0</v>
      </c>
      <c r="H11" s="8">
        <v>0</v>
      </c>
      <c r="I11" s="8">
        <v>0</v>
      </c>
      <c r="J11" s="8">
        <v>1025</v>
      </c>
      <c r="K11" s="8">
        <v>2950</v>
      </c>
      <c r="L11" s="8">
        <v>1400</v>
      </c>
      <c r="M11" s="8">
        <v>1575</v>
      </c>
      <c r="N11" s="14">
        <f t="shared" si="0"/>
        <v>11400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720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14">
        <f t="shared" si="0"/>
        <v>695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2800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200</v>
      </c>
      <c r="M13" s="8">
        <v>0</v>
      </c>
      <c r="N13" s="14">
        <f t="shared" si="0"/>
        <v>2600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140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140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200</v>
      </c>
      <c r="N15" s="15">
        <f t="shared" si="0"/>
        <v>600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2800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2800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46</v>
      </c>
      <c r="G17" s="1">
        <v>0</v>
      </c>
      <c r="H17" s="8">
        <v>500</v>
      </c>
      <c r="I17" s="8">
        <v>0</v>
      </c>
      <c r="J17" s="8">
        <v>77</v>
      </c>
      <c r="K17" s="8">
        <v>0</v>
      </c>
      <c r="L17" s="8">
        <v>50</v>
      </c>
      <c r="M17" s="8">
        <v>0</v>
      </c>
      <c r="N17" s="15">
        <f t="shared" si="0"/>
        <v>419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4700</v>
      </c>
      <c r="G18" s="1"/>
      <c r="H18" s="8">
        <v>0</v>
      </c>
      <c r="I18" s="8">
        <v>0</v>
      </c>
      <c r="J18" s="8">
        <v>500</v>
      </c>
      <c r="K18" s="8">
        <v>0</v>
      </c>
      <c r="L18" s="8">
        <v>1000</v>
      </c>
      <c r="M18" s="8">
        <v>0</v>
      </c>
      <c r="N18" s="13">
        <f t="shared" si="0"/>
        <v>3200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80</v>
      </c>
      <c r="G19" s="1"/>
      <c r="H19" s="8">
        <v>0</v>
      </c>
      <c r="I19" s="8">
        <v>64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16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40</v>
      </c>
      <c r="C20" s="3"/>
      <c r="D20" s="3"/>
      <c r="E20" s="3"/>
      <c r="F20" s="9">
        <v>775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775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21</v>
      </c>
      <c r="M21" s="8">
        <v>30</v>
      </c>
      <c r="N21" s="21">
        <f t="shared" si="0"/>
        <v>337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968</v>
      </c>
      <c r="G22" s="1"/>
      <c r="H22" s="8">
        <v>0</v>
      </c>
      <c r="I22" s="8">
        <v>12</v>
      </c>
      <c r="J22" s="8">
        <v>36</v>
      </c>
      <c r="K22" s="8">
        <v>0</v>
      </c>
      <c r="L22" s="8">
        <v>8</v>
      </c>
      <c r="M22" s="8">
        <v>8</v>
      </c>
      <c r="N22" s="15">
        <f t="shared" si="0"/>
        <v>904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234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190</v>
      </c>
      <c r="N23" s="15">
        <f t="shared" si="0"/>
        <v>44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36</v>
      </c>
      <c r="C24" s="2"/>
      <c r="D24" s="2"/>
      <c r="E24" s="2"/>
      <c r="F24" s="2">
        <v>4000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4000</v>
      </c>
      <c r="O24" s="1"/>
      <c r="P24" s="1"/>
      <c r="Q24" s="1"/>
    </row>
    <row r="25" spans="1:17" ht="18.75" customHeight="1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2750</v>
      </c>
      <c r="G26" s="1"/>
      <c r="H26" s="8">
        <v>0</v>
      </c>
      <c r="I26" s="8">
        <v>0</v>
      </c>
      <c r="J26" s="8">
        <v>20</v>
      </c>
      <c r="K26" s="8">
        <v>64</v>
      </c>
      <c r="L26" s="8">
        <v>80</v>
      </c>
      <c r="M26" s="8">
        <v>24</v>
      </c>
      <c r="N26" s="15">
        <f t="shared" si="0"/>
        <v>2562</v>
      </c>
      <c r="O26" s="1"/>
      <c r="P26" s="1">
        <v>500</v>
      </c>
      <c r="Q26" s="1"/>
    </row>
    <row r="27" spans="1:17" ht="18.75" customHeight="1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2600</v>
      </c>
      <c r="G28" s="1"/>
      <c r="H28" s="8">
        <v>0</v>
      </c>
      <c r="I28" s="8">
        <v>800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1800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8"/>
  <sheetViews>
    <sheetView topLeftCell="A7" workbookViewId="0">
      <selection activeCell="M7" sqref="M7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45170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45174</v>
      </c>
      <c r="J2" s="6">
        <v>45180</v>
      </c>
      <c r="K2" s="6">
        <v>45189</v>
      </c>
      <c r="L2" s="6">
        <v>45194</v>
      </c>
      <c r="M2" s="6">
        <v>45199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8500</v>
      </c>
      <c r="G3" s="1"/>
      <c r="H3" s="8">
        <v>8000</v>
      </c>
      <c r="I3" s="8">
        <v>1000</v>
      </c>
      <c r="J3" s="8">
        <v>1500</v>
      </c>
      <c r="K3" s="8">
        <v>0</v>
      </c>
      <c r="L3" s="8">
        <v>0</v>
      </c>
      <c r="M3" s="8">
        <v>500</v>
      </c>
      <c r="N3" s="14">
        <f t="shared" ref="N3:N28" si="0">+F3-I3-J3-K3-L3-M3+H3</f>
        <v>13500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15000</v>
      </c>
      <c r="G4" s="1"/>
      <c r="H4" s="8">
        <v>4400</v>
      </c>
      <c r="I4" s="8">
        <v>0</v>
      </c>
      <c r="J4" s="8">
        <v>0</v>
      </c>
      <c r="K4" s="8">
        <v>0</v>
      </c>
      <c r="L4" s="8">
        <v>0</v>
      </c>
      <c r="M4" s="8">
        <v>500</v>
      </c>
      <c r="N4" s="14">
        <f t="shared" si="0"/>
        <v>18900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400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400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212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212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1030</v>
      </c>
      <c r="G7" s="1"/>
      <c r="H7" s="8">
        <v>0</v>
      </c>
      <c r="I7" s="8">
        <v>270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760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15000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15000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325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100</v>
      </c>
      <c r="N9" s="14">
        <f t="shared" si="0"/>
        <v>225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25000</v>
      </c>
      <c r="G10" s="1"/>
      <c r="H10" s="8">
        <v>0</v>
      </c>
      <c r="I10" s="8">
        <v>0</v>
      </c>
      <c r="J10" s="8">
        <v>0</v>
      </c>
      <c r="K10" s="8">
        <v>5000</v>
      </c>
      <c r="L10" s="8">
        <v>0</v>
      </c>
      <c r="M10" s="8">
        <v>500</v>
      </c>
      <c r="N10" s="14">
        <f t="shared" si="0"/>
        <v>19500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21200</v>
      </c>
      <c r="G11" s="1">
        <v>0</v>
      </c>
      <c r="H11" s="8">
        <v>0</v>
      </c>
      <c r="I11" s="8">
        <v>1850</v>
      </c>
      <c r="J11" s="8">
        <v>1000</v>
      </c>
      <c r="K11" s="8">
        <v>1000</v>
      </c>
      <c r="L11" s="8">
        <v>3000</v>
      </c>
      <c r="M11" s="8">
        <v>0</v>
      </c>
      <c r="N11" s="14">
        <f t="shared" si="0"/>
        <v>14350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450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450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2800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200</v>
      </c>
      <c r="M13" s="8">
        <v>0</v>
      </c>
      <c r="N13" s="14">
        <f t="shared" si="0"/>
        <v>2600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140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140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2800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2800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310</v>
      </c>
      <c r="G17" s="1">
        <v>0</v>
      </c>
      <c r="H17" s="8">
        <v>0</v>
      </c>
      <c r="I17" s="8">
        <v>0</v>
      </c>
      <c r="J17" s="8">
        <v>0</v>
      </c>
      <c r="K17" s="8">
        <v>40</v>
      </c>
      <c r="L17" s="8">
        <v>100</v>
      </c>
      <c r="M17" s="8">
        <v>20</v>
      </c>
      <c r="N17" s="15">
        <f t="shared" si="0"/>
        <v>150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4700</v>
      </c>
      <c r="G18" s="1"/>
      <c r="H18" s="8">
        <v>0</v>
      </c>
      <c r="I18" s="8">
        <v>500</v>
      </c>
      <c r="J18" s="8">
        <v>0</v>
      </c>
      <c r="K18" s="8">
        <v>0</v>
      </c>
      <c r="L18" s="8">
        <v>0</v>
      </c>
      <c r="M18" s="8">
        <v>500</v>
      </c>
      <c r="N18" s="13">
        <f t="shared" si="0"/>
        <v>3700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66</v>
      </c>
      <c r="G19" s="1"/>
      <c r="H19" s="8">
        <v>100</v>
      </c>
      <c r="I19" s="8">
        <v>0</v>
      </c>
      <c r="J19" s="8">
        <v>100</v>
      </c>
      <c r="K19" s="8">
        <v>5</v>
      </c>
      <c r="L19" s="8">
        <v>0</v>
      </c>
      <c r="M19" s="8">
        <v>0</v>
      </c>
      <c r="N19" s="15">
        <f t="shared" si="0"/>
        <v>61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775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775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300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300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968</v>
      </c>
      <c r="G22" s="1"/>
      <c r="H22" s="8">
        <v>0</v>
      </c>
      <c r="I22" s="8">
        <v>36</v>
      </c>
      <c r="J22" s="8">
        <v>0</v>
      </c>
      <c r="K22" s="8">
        <v>237</v>
      </c>
      <c r="L22" s="8">
        <v>42</v>
      </c>
      <c r="M22" s="8">
        <v>90</v>
      </c>
      <c r="N22" s="15">
        <f t="shared" si="0"/>
        <v>563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234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20</v>
      </c>
      <c r="M23" s="8">
        <v>0</v>
      </c>
      <c r="N23" s="15">
        <f t="shared" si="0"/>
        <v>214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60</v>
      </c>
      <c r="G24" s="1"/>
      <c r="H24" s="8">
        <v>100</v>
      </c>
      <c r="I24" s="8">
        <v>0</v>
      </c>
      <c r="J24" s="8">
        <v>100</v>
      </c>
      <c r="K24" s="8">
        <v>0</v>
      </c>
      <c r="L24" s="8">
        <v>0</v>
      </c>
      <c r="M24" s="8">
        <v>0</v>
      </c>
      <c r="N24" s="15">
        <f t="shared" si="0"/>
        <v>60</v>
      </c>
      <c r="O24" s="1"/>
      <c r="P24" s="1"/>
      <c r="Q24" s="1"/>
    </row>
    <row r="25" spans="1:17" ht="18.75" customHeight="1" x14ac:dyDescent="0.25">
      <c r="A25" s="10">
        <v>23</v>
      </c>
      <c r="B25" s="2" t="s">
        <v>37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2562</v>
      </c>
      <c r="G26" s="1"/>
      <c r="H26" s="8">
        <v>0</v>
      </c>
      <c r="I26" s="8">
        <v>582</v>
      </c>
      <c r="J26" s="8">
        <v>16</v>
      </c>
      <c r="K26" s="8">
        <v>163</v>
      </c>
      <c r="L26" s="8">
        <v>0</v>
      </c>
      <c r="M26" s="8">
        <v>40</v>
      </c>
      <c r="N26" s="15">
        <f t="shared" si="0"/>
        <v>1761</v>
      </c>
      <c r="O26" s="1"/>
      <c r="P26" s="1">
        <v>500</v>
      </c>
      <c r="Q26" s="1"/>
    </row>
    <row r="27" spans="1:17" ht="18.75" customHeight="1" x14ac:dyDescent="0.25">
      <c r="A27" s="10">
        <v>25</v>
      </c>
      <c r="B27" s="31" t="s">
        <v>41</v>
      </c>
      <c r="C27" s="30"/>
      <c r="D27" s="30"/>
      <c r="E27" s="30"/>
      <c r="F27" s="32">
        <v>20</v>
      </c>
      <c r="G27" s="10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2090</v>
      </c>
      <c r="G28" s="1"/>
      <c r="H28" s="8">
        <v>0</v>
      </c>
      <c r="I28" s="8">
        <v>0</v>
      </c>
      <c r="J28" s="8">
        <v>0</v>
      </c>
      <c r="K28" s="8">
        <v>600</v>
      </c>
      <c r="L28" s="8">
        <v>0</v>
      </c>
      <c r="M28" s="8">
        <v>0</v>
      </c>
      <c r="N28" s="15">
        <f t="shared" si="0"/>
        <v>1490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8"/>
  <sheetViews>
    <sheetView topLeftCell="A2" workbookViewId="0">
      <selection activeCell="J14" sqref="J1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45200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45203</v>
      </c>
      <c r="J2" s="6">
        <v>45209</v>
      </c>
      <c r="K2" s="6">
        <v>45213</v>
      </c>
      <c r="L2" s="6">
        <v>45222</v>
      </c>
      <c r="M2" s="6">
        <v>45229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13500</v>
      </c>
      <c r="G3" s="1"/>
      <c r="H3" s="8">
        <v>0</v>
      </c>
      <c r="I3" s="8">
        <v>0</v>
      </c>
      <c r="J3" s="8">
        <v>500</v>
      </c>
      <c r="K3" s="8">
        <v>0</v>
      </c>
      <c r="L3" s="8">
        <v>1000</v>
      </c>
      <c r="M3" s="8">
        <v>1000</v>
      </c>
      <c r="N3" s="14">
        <f t="shared" ref="N3:N28" si="0">+F3-I3-J3-K3-L3-M3+H3</f>
        <v>11000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18900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1000</v>
      </c>
      <c r="M4" s="8">
        <v>5000</v>
      </c>
      <c r="N4" s="14">
        <f t="shared" si="0"/>
        <v>12900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400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400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212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212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760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760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15000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3000</v>
      </c>
      <c r="M8" s="8">
        <v>0</v>
      </c>
      <c r="N8" s="14">
        <f t="shared" si="0"/>
        <v>12000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18000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5000</v>
      </c>
      <c r="N10" s="14">
        <f t="shared" si="0"/>
        <v>13000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14350</v>
      </c>
      <c r="G11" s="1">
        <v>0</v>
      </c>
      <c r="H11" s="8">
        <v>0</v>
      </c>
      <c r="I11" s="8">
        <v>200</v>
      </c>
      <c r="J11" s="8">
        <v>400</v>
      </c>
      <c r="K11" s="8">
        <v>0</v>
      </c>
      <c r="L11" s="8">
        <v>2830</v>
      </c>
      <c r="M11" s="8">
        <v>1920</v>
      </c>
      <c r="N11" s="14">
        <f t="shared" si="0"/>
        <v>9000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450</v>
      </c>
      <c r="G12" s="1"/>
      <c r="H12" s="8">
        <v>450</v>
      </c>
      <c r="I12" s="8">
        <v>0</v>
      </c>
      <c r="J12" s="8">
        <v>0</v>
      </c>
      <c r="K12" s="8">
        <v>0</v>
      </c>
      <c r="L12" s="8">
        <v>0</v>
      </c>
      <c r="M12" s="8">
        <v>520</v>
      </c>
      <c r="N12" s="14">
        <f t="shared" si="0"/>
        <v>380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2600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2600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140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140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2800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2800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150</v>
      </c>
      <c r="G17" s="1">
        <v>0</v>
      </c>
      <c r="H17" s="8">
        <v>500</v>
      </c>
      <c r="I17" s="8">
        <v>45</v>
      </c>
      <c r="J17" s="8">
        <v>20</v>
      </c>
      <c r="K17" s="8">
        <v>0</v>
      </c>
      <c r="L17" s="8">
        <v>0</v>
      </c>
      <c r="M17" s="8">
        <v>100</v>
      </c>
      <c r="N17" s="15">
        <f t="shared" si="0"/>
        <v>485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3700</v>
      </c>
      <c r="G18" s="1"/>
      <c r="H18" s="8">
        <v>9900</v>
      </c>
      <c r="I18" s="8">
        <v>1000</v>
      </c>
      <c r="J18" s="8">
        <v>0</v>
      </c>
      <c r="K18" s="8">
        <v>0</v>
      </c>
      <c r="L18" s="8">
        <v>1350</v>
      </c>
      <c r="M18" s="8">
        <v>0</v>
      </c>
      <c r="N18" s="13">
        <f t="shared" si="0"/>
        <v>11250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61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61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775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775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300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300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563</v>
      </c>
      <c r="G22" s="1"/>
      <c r="H22" s="8">
        <v>0</v>
      </c>
      <c r="I22" s="8">
        <v>84</v>
      </c>
      <c r="J22" s="8">
        <v>158</v>
      </c>
      <c r="K22" s="8">
        <v>0</v>
      </c>
      <c r="L22" s="8">
        <v>77</v>
      </c>
      <c r="M22" s="8">
        <v>132</v>
      </c>
      <c r="N22" s="15">
        <f t="shared" si="0"/>
        <v>112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214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214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60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60</v>
      </c>
      <c r="O24" s="1"/>
      <c r="P24" s="1"/>
      <c r="Q24" s="1"/>
    </row>
    <row r="25" spans="1:17" ht="18.75" customHeight="1" x14ac:dyDescent="0.25">
      <c r="A25" s="10">
        <v>23</v>
      </c>
      <c r="B25" s="2" t="s">
        <v>56</v>
      </c>
      <c r="C25" s="2"/>
      <c r="D25" s="2"/>
      <c r="E25" s="2"/>
      <c r="F25" s="32">
        <v>110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110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1761</v>
      </c>
      <c r="G26" s="1"/>
      <c r="H26" s="8">
        <v>0</v>
      </c>
      <c r="I26" s="8">
        <v>80</v>
      </c>
      <c r="J26" s="8">
        <v>96</v>
      </c>
      <c r="K26" s="8">
        <v>0</v>
      </c>
      <c r="L26" s="8">
        <v>128</v>
      </c>
      <c r="M26" s="8">
        <v>271</v>
      </c>
      <c r="N26" s="15">
        <f t="shared" si="0"/>
        <v>1186</v>
      </c>
      <c r="O26" s="1"/>
      <c r="P26" s="1">
        <v>500</v>
      </c>
      <c r="Q26" s="1"/>
    </row>
    <row r="27" spans="1:17" ht="18.75" customHeight="1" x14ac:dyDescent="0.25">
      <c r="A27" s="10">
        <v>25</v>
      </c>
      <c r="B27" s="31" t="s">
        <v>57</v>
      </c>
      <c r="C27" s="30"/>
      <c r="D27" s="30"/>
      <c r="E27" s="30"/>
      <c r="F27" s="32">
        <v>20</v>
      </c>
      <c r="G27" s="10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1490</v>
      </c>
      <c r="G28" s="1"/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1400</v>
      </c>
      <c r="N28" s="15">
        <f t="shared" si="0"/>
        <v>90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8"/>
  <sheetViews>
    <sheetView topLeftCell="A7" workbookViewId="0">
      <selection activeCell="M3" sqref="M3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45231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45237</v>
      </c>
      <c r="J2" s="6">
        <v>45244</v>
      </c>
      <c r="K2" s="6">
        <v>45250</v>
      </c>
      <c r="L2" s="6">
        <v>45257</v>
      </c>
      <c r="M2" s="6">
        <v>45260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11000</v>
      </c>
      <c r="G3" s="1"/>
      <c r="H3" s="8">
        <v>0</v>
      </c>
      <c r="I3" s="8">
        <v>500</v>
      </c>
      <c r="J3" s="8">
        <v>500</v>
      </c>
      <c r="K3" s="8">
        <v>500</v>
      </c>
      <c r="L3" s="8">
        <v>500</v>
      </c>
      <c r="M3" s="8">
        <v>0</v>
      </c>
      <c r="N3" s="14">
        <f t="shared" ref="N3:N28" si="0">+F3-I3-J3-K3-L3-M3+H3</f>
        <v>9000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12900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12900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2500</v>
      </c>
      <c r="G5" s="1"/>
      <c r="H5" s="8">
        <v>0</v>
      </c>
      <c r="I5" s="8">
        <v>0</v>
      </c>
      <c r="J5" s="8">
        <v>250</v>
      </c>
      <c r="K5" s="8">
        <v>0</v>
      </c>
      <c r="L5" s="8">
        <v>0</v>
      </c>
      <c r="M5" s="8">
        <v>0</v>
      </c>
      <c r="N5" s="14">
        <f t="shared" si="0"/>
        <v>2250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2500</v>
      </c>
      <c r="G6" s="1"/>
      <c r="H6" s="8">
        <v>0</v>
      </c>
      <c r="I6" s="8">
        <v>0</v>
      </c>
      <c r="J6" s="8">
        <v>250</v>
      </c>
      <c r="K6" s="8">
        <v>0</v>
      </c>
      <c r="L6" s="8">
        <v>0</v>
      </c>
      <c r="M6" s="8">
        <v>0</v>
      </c>
      <c r="N6" s="14">
        <f t="shared" si="0"/>
        <v>2250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760</v>
      </c>
      <c r="G7" s="1"/>
      <c r="H7" s="8">
        <v>0</v>
      </c>
      <c r="I7" s="8">
        <v>0</v>
      </c>
      <c r="J7" s="8">
        <v>100</v>
      </c>
      <c r="K7" s="8">
        <v>0</v>
      </c>
      <c r="L7" s="8">
        <v>12</v>
      </c>
      <c r="M7" s="8">
        <v>0</v>
      </c>
      <c r="N7" s="14">
        <f t="shared" si="0"/>
        <v>648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12000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12000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13000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13000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9000</v>
      </c>
      <c r="G11" s="1">
        <v>0</v>
      </c>
      <c r="H11" s="8">
        <v>10600</v>
      </c>
      <c r="I11" s="8">
        <v>2200</v>
      </c>
      <c r="J11" s="8">
        <v>3800</v>
      </c>
      <c r="K11" s="8">
        <v>0</v>
      </c>
      <c r="L11" s="8">
        <v>2450</v>
      </c>
      <c r="M11" s="8">
        <v>1800</v>
      </c>
      <c r="N11" s="14">
        <f t="shared" si="0"/>
        <v>9350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380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20</v>
      </c>
      <c r="M12" s="8">
        <v>0</v>
      </c>
      <c r="N12" s="14">
        <f t="shared" si="0"/>
        <v>360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2600</v>
      </c>
      <c r="G13" s="1"/>
      <c r="H13" s="8">
        <v>0</v>
      </c>
      <c r="I13" s="8">
        <v>0</v>
      </c>
      <c r="J13" s="8">
        <v>200</v>
      </c>
      <c r="K13" s="8">
        <v>0</v>
      </c>
      <c r="L13" s="8">
        <v>0</v>
      </c>
      <c r="M13" s="8">
        <v>0</v>
      </c>
      <c r="N13" s="14">
        <f t="shared" si="0"/>
        <v>2400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140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36</v>
      </c>
      <c r="N14" s="15">
        <f t="shared" si="0"/>
        <v>104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2800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2800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485</v>
      </c>
      <c r="G17" s="1">
        <v>0</v>
      </c>
      <c r="H17" s="8">
        <v>0</v>
      </c>
      <c r="I17" s="8">
        <v>0</v>
      </c>
      <c r="J17" s="8">
        <v>80</v>
      </c>
      <c r="K17" s="8">
        <v>60</v>
      </c>
      <c r="L17" s="8">
        <v>20</v>
      </c>
      <c r="M17" s="8">
        <v>60</v>
      </c>
      <c r="N17" s="15">
        <f t="shared" si="0"/>
        <v>265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10250</v>
      </c>
      <c r="G18" s="1"/>
      <c r="H18" s="8">
        <v>0</v>
      </c>
      <c r="I18" s="8">
        <v>0</v>
      </c>
      <c r="J18" s="8">
        <v>450</v>
      </c>
      <c r="K18" s="8">
        <v>0</v>
      </c>
      <c r="L18" s="8">
        <v>1350</v>
      </c>
      <c r="M18" s="8">
        <v>0</v>
      </c>
      <c r="N18" s="13">
        <f t="shared" si="0"/>
        <v>8450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61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54</v>
      </c>
      <c r="N19" s="15">
        <f t="shared" si="0"/>
        <v>7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775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54</v>
      </c>
      <c r="N20" s="15">
        <f t="shared" si="0"/>
        <v>721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300</v>
      </c>
      <c r="G21" s="19">
        <v>425</v>
      </c>
      <c r="H21" s="8">
        <v>0</v>
      </c>
      <c r="I21" s="8">
        <v>0</v>
      </c>
      <c r="J21" s="8">
        <v>50</v>
      </c>
      <c r="K21" s="8">
        <v>0</v>
      </c>
      <c r="L21" s="8">
        <v>65</v>
      </c>
      <c r="M21" s="8">
        <v>0</v>
      </c>
      <c r="N21" s="21">
        <f t="shared" si="0"/>
        <v>185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86</v>
      </c>
      <c r="G22" s="1"/>
      <c r="H22" s="8">
        <v>50</v>
      </c>
      <c r="I22" s="8">
        <v>2</v>
      </c>
      <c r="J22" s="8">
        <v>0</v>
      </c>
      <c r="K22" s="8">
        <v>9</v>
      </c>
      <c r="L22" s="8">
        <v>25</v>
      </c>
      <c r="M22" s="8">
        <v>37</v>
      </c>
      <c r="N22" s="15">
        <f t="shared" si="0"/>
        <v>63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214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214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60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60</v>
      </c>
      <c r="O24" s="1"/>
      <c r="P24" s="1"/>
      <c r="Q24" s="1"/>
    </row>
    <row r="25" spans="1:17" ht="18.75" customHeight="1" x14ac:dyDescent="0.25">
      <c r="A25" s="10">
        <v>23</v>
      </c>
      <c r="B25" s="2" t="s">
        <v>56</v>
      </c>
      <c r="C25" s="2"/>
      <c r="D25" s="2"/>
      <c r="E25" s="2"/>
      <c r="F25" s="32">
        <v>110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5</v>
      </c>
      <c r="N25" s="15">
        <f t="shared" si="0"/>
        <v>105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1086</v>
      </c>
      <c r="G26" s="1"/>
      <c r="H26" s="8">
        <v>150</v>
      </c>
      <c r="I26" s="8">
        <v>118</v>
      </c>
      <c r="J26" s="8">
        <v>194</v>
      </c>
      <c r="K26" s="8">
        <v>138</v>
      </c>
      <c r="L26" s="8">
        <v>132</v>
      </c>
      <c r="M26" s="8">
        <v>446</v>
      </c>
      <c r="N26" s="15">
        <f t="shared" si="0"/>
        <v>208</v>
      </c>
      <c r="O26" s="1"/>
      <c r="P26" s="1">
        <v>500</v>
      </c>
      <c r="Q26" s="1"/>
    </row>
    <row r="27" spans="1:17" ht="18.75" customHeight="1" x14ac:dyDescent="0.25">
      <c r="A27" s="10">
        <v>25</v>
      </c>
      <c r="B27" s="31" t="s">
        <v>57</v>
      </c>
      <c r="C27" s="30"/>
      <c r="D27" s="30"/>
      <c r="E27" s="30"/>
      <c r="F27" s="32">
        <v>20</v>
      </c>
      <c r="G27" s="10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90</v>
      </c>
      <c r="G28" s="1"/>
      <c r="H28" s="8">
        <v>5000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5090</v>
      </c>
      <c r="O28" s="1"/>
      <c r="P28" s="1"/>
      <c r="Q28" s="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8"/>
  <sheetViews>
    <sheetView topLeftCell="B11" workbookViewId="0">
      <selection activeCell="M14" sqref="M1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45261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45271</v>
      </c>
      <c r="J2" s="6">
        <v>45278</v>
      </c>
      <c r="K2" s="6">
        <v>45285</v>
      </c>
      <c r="L2" s="6">
        <v>45287</v>
      </c>
      <c r="M2" s="6">
        <v>45291</v>
      </c>
      <c r="N2" s="2" t="s">
        <v>10</v>
      </c>
      <c r="O2" s="2" t="s">
        <v>13</v>
      </c>
      <c r="P2" s="24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9000</v>
      </c>
      <c r="G3" s="1"/>
      <c r="H3" s="8">
        <v>0</v>
      </c>
      <c r="I3" s="8">
        <v>0</v>
      </c>
      <c r="J3" s="8">
        <v>500</v>
      </c>
      <c r="K3" s="8">
        <v>50</v>
      </c>
      <c r="L3" s="8">
        <v>0</v>
      </c>
      <c r="M3" s="8">
        <v>500</v>
      </c>
      <c r="N3" s="14">
        <f t="shared" ref="N3:N28" si="0">+F3-I3-J3-K3-L3-M3+H3</f>
        <v>7950</v>
      </c>
      <c r="O3" s="1"/>
      <c r="P3" s="25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12000</v>
      </c>
      <c r="G4" s="1"/>
      <c r="H4" s="8">
        <v>0</v>
      </c>
      <c r="I4" s="8">
        <v>0</v>
      </c>
      <c r="J4" s="8">
        <v>0</v>
      </c>
      <c r="K4" s="8">
        <v>1000</v>
      </c>
      <c r="L4" s="8">
        <v>0</v>
      </c>
      <c r="M4" s="8">
        <v>1000</v>
      </c>
      <c r="N4" s="14">
        <f t="shared" si="0"/>
        <v>10000</v>
      </c>
      <c r="O4" s="1"/>
      <c r="P4" s="25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2250</v>
      </c>
      <c r="G5" s="1"/>
      <c r="H5" s="8">
        <v>0</v>
      </c>
      <c r="I5" s="8">
        <v>0</v>
      </c>
      <c r="J5" s="8">
        <v>0</v>
      </c>
      <c r="K5" s="8">
        <v>500</v>
      </c>
      <c r="L5" s="8">
        <v>0</v>
      </c>
      <c r="M5" s="8">
        <v>500</v>
      </c>
      <c r="N5" s="14">
        <f t="shared" si="0"/>
        <v>1250</v>
      </c>
      <c r="O5" s="1" t="s">
        <v>50</v>
      </c>
      <c r="P5" s="25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2250</v>
      </c>
      <c r="G6" s="1"/>
      <c r="H6" s="8">
        <v>0</v>
      </c>
      <c r="I6" s="8">
        <v>500</v>
      </c>
      <c r="J6" s="8">
        <v>500</v>
      </c>
      <c r="K6" s="8">
        <v>500</v>
      </c>
      <c r="L6" s="8">
        <v>0</v>
      </c>
      <c r="M6" s="8">
        <v>500</v>
      </c>
      <c r="N6" s="14">
        <f t="shared" si="0"/>
        <v>250</v>
      </c>
      <c r="O6" s="1" t="s">
        <v>17</v>
      </c>
      <c r="P6" s="25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648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100</v>
      </c>
      <c r="N7" s="14">
        <f t="shared" si="0"/>
        <v>548</v>
      </c>
      <c r="O7" s="1" t="s">
        <v>14</v>
      </c>
      <c r="P7" s="25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12000</v>
      </c>
      <c r="G8" s="1"/>
      <c r="H8" s="8">
        <v>0</v>
      </c>
      <c r="I8" s="8">
        <v>0</v>
      </c>
      <c r="J8" s="8">
        <v>0</v>
      </c>
      <c r="K8" s="8">
        <v>1000</v>
      </c>
      <c r="L8" s="8">
        <v>0</v>
      </c>
      <c r="M8" s="8">
        <v>1000</v>
      </c>
      <c r="N8" s="14">
        <f t="shared" si="0"/>
        <v>10000</v>
      </c>
      <c r="O8" s="1" t="s">
        <v>48</v>
      </c>
      <c r="P8" s="25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25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13000</v>
      </c>
      <c r="G10" s="1"/>
      <c r="H10" s="8">
        <v>0</v>
      </c>
      <c r="I10" s="8">
        <v>0</v>
      </c>
      <c r="J10" s="8">
        <v>0</v>
      </c>
      <c r="K10" s="8">
        <v>1000</v>
      </c>
      <c r="L10" s="8">
        <v>0</v>
      </c>
      <c r="M10" s="8">
        <v>2000</v>
      </c>
      <c r="N10" s="14">
        <f t="shared" si="0"/>
        <v>10000</v>
      </c>
      <c r="O10" s="1"/>
      <c r="P10" s="25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9350</v>
      </c>
      <c r="G11" s="1">
        <v>0</v>
      </c>
      <c r="H11" s="8">
        <v>3400</v>
      </c>
      <c r="I11" s="8">
        <v>700</v>
      </c>
      <c r="J11" s="8">
        <v>200</v>
      </c>
      <c r="K11" s="8">
        <v>1000</v>
      </c>
      <c r="L11" s="8">
        <v>0</v>
      </c>
      <c r="M11" s="8">
        <v>1100</v>
      </c>
      <c r="N11" s="14">
        <f t="shared" si="0"/>
        <v>9750</v>
      </c>
      <c r="O11" s="1"/>
      <c r="P11" s="25">
        <v>5000</v>
      </c>
      <c r="Q11" s="27">
        <v>30000</v>
      </c>
    </row>
    <row r="12" spans="1:17" ht="23.25" customHeight="1" x14ac:dyDescent="0.25">
      <c r="A12" s="10">
        <v>10</v>
      </c>
      <c r="B12" s="2" t="s">
        <v>8</v>
      </c>
      <c r="F12" s="9">
        <v>120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120</v>
      </c>
      <c r="O12" s="1"/>
      <c r="P12" s="25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2400</v>
      </c>
      <c r="G13" s="1"/>
      <c r="H13" s="8">
        <v>0</v>
      </c>
      <c r="I13" s="8">
        <v>200</v>
      </c>
      <c r="J13" s="8">
        <v>0</v>
      </c>
      <c r="K13" s="8">
        <v>200</v>
      </c>
      <c r="L13" s="8">
        <v>0</v>
      </c>
      <c r="M13" s="8">
        <v>70</v>
      </c>
      <c r="N13" s="14">
        <f t="shared" si="0"/>
        <v>1930</v>
      </c>
      <c r="O13" s="1"/>
      <c r="P13" s="25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104</v>
      </c>
      <c r="O14" s="1"/>
      <c r="P14" s="25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800</v>
      </c>
      <c r="O15" s="1"/>
      <c r="P15" s="25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2500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2500</v>
      </c>
      <c r="O16" s="1"/>
      <c r="P16" s="25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165</v>
      </c>
      <c r="G17" s="1">
        <v>165</v>
      </c>
      <c r="H17" s="8">
        <v>500</v>
      </c>
      <c r="I17" s="8">
        <v>40</v>
      </c>
      <c r="J17" s="8">
        <v>50</v>
      </c>
      <c r="K17" s="8">
        <v>20</v>
      </c>
      <c r="L17" s="8">
        <v>0</v>
      </c>
      <c r="M17" s="8">
        <v>0</v>
      </c>
      <c r="N17" s="15">
        <f t="shared" si="0"/>
        <v>555</v>
      </c>
      <c r="O17" s="1"/>
      <c r="P17" s="25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8400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8400</v>
      </c>
      <c r="O18" s="1"/>
      <c r="P18" s="25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7</v>
      </c>
      <c r="G19" s="1"/>
      <c r="H19" s="8">
        <v>200</v>
      </c>
      <c r="I19" s="8">
        <v>0</v>
      </c>
      <c r="J19" s="8">
        <v>0</v>
      </c>
      <c r="K19" s="8">
        <v>0</v>
      </c>
      <c r="L19" s="8">
        <v>0</v>
      </c>
      <c r="M19" s="8">
        <v>87</v>
      </c>
      <c r="N19" s="15">
        <f t="shared" si="0"/>
        <v>120</v>
      </c>
      <c r="O19" s="1"/>
      <c r="P19" s="25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225</v>
      </c>
      <c r="G20" s="1"/>
      <c r="H20" s="8">
        <v>100</v>
      </c>
      <c r="I20" s="8">
        <v>0</v>
      </c>
      <c r="J20" s="8">
        <v>0</v>
      </c>
      <c r="K20" s="8">
        <v>0</v>
      </c>
      <c r="L20" s="8">
        <v>0</v>
      </c>
      <c r="M20" s="8">
        <v>87</v>
      </c>
      <c r="N20" s="15">
        <f t="shared" si="0"/>
        <v>238</v>
      </c>
      <c r="O20" s="1"/>
      <c r="P20" s="25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185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185</v>
      </c>
      <c r="O21" s="19"/>
      <c r="P21" s="25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40</v>
      </c>
      <c r="G22" s="1"/>
      <c r="H22" s="8">
        <v>90</v>
      </c>
      <c r="I22" s="8">
        <v>26</v>
      </c>
      <c r="J22" s="8">
        <v>3</v>
      </c>
      <c r="K22" s="8">
        <v>0</v>
      </c>
      <c r="L22" s="8">
        <v>0</v>
      </c>
      <c r="M22" s="8">
        <v>24</v>
      </c>
      <c r="N22" s="15">
        <f t="shared" si="0"/>
        <v>77</v>
      </c>
      <c r="O22" s="1"/>
      <c r="P22" s="25">
        <v>100</v>
      </c>
      <c r="Q22" s="27">
        <v>300</v>
      </c>
    </row>
    <row r="23" spans="1:17" ht="19.5" customHeight="1" x14ac:dyDescent="0.25">
      <c r="A23" s="10">
        <v>21</v>
      </c>
      <c r="B23" s="2" t="s">
        <v>28</v>
      </c>
      <c r="C23" s="1"/>
      <c r="D23" s="1"/>
      <c r="E23" s="1"/>
      <c r="F23" s="9">
        <v>214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5">
        <f t="shared" si="0"/>
        <v>214</v>
      </c>
      <c r="O23" s="1"/>
      <c r="P23" s="25">
        <v>100</v>
      </c>
      <c r="Q23" s="27">
        <v>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60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60</v>
      </c>
      <c r="O24" s="1"/>
      <c r="P24" s="1"/>
      <c r="Q24" s="1"/>
    </row>
    <row r="25" spans="1:17" ht="18.75" customHeight="1" x14ac:dyDescent="0.25">
      <c r="A25" s="10">
        <v>23</v>
      </c>
      <c r="B25" s="2" t="s">
        <v>56</v>
      </c>
      <c r="C25" s="2"/>
      <c r="D25" s="2"/>
      <c r="E25" s="2"/>
      <c r="F25" s="32">
        <v>100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100</v>
      </c>
      <c r="O25" s="1"/>
      <c r="P25" s="1"/>
      <c r="Q25" s="1"/>
    </row>
    <row r="26" spans="1:17" ht="18.75" customHeight="1" x14ac:dyDescent="0.25">
      <c r="A26" s="10">
        <v>24</v>
      </c>
      <c r="B26" s="16" t="s">
        <v>46</v>
      </c>
      <c r="F26" s="32">
        <v>208</v>
      </c>
      <c r="G26" s="1"/>
      <c r="H26" s="8">
        <v>390</v>
      </c>
      <c r="I26" s="8">
        <v>101</v>
      </c>
      <c r="J26" s="8">
        <v>180</v>
      </c>
      <c r="K26" s="8">
        <v>47</v>
      </c>
      <c r="L26" s="8">
        <v>0</v>
      </c>
      <c r="M26" s="8">
        <v>168</v>
      </c>
      <c r="N26" s="15">
        <f t="shared" si="0"/>
        <v>102</v>
      </c>
      <c r="O26" s="1"/>
      <c r="P26" s="1">
        <v>500</v>
      </c>
      <c r="Q26" s="1"/>
    </row>
    <row r="27" spans="1:17" ht="18.75" customHeight="1" x14ac:dyDescent="0.25">
      <c r="A27" s="10">
        <v>25</v>
      </c>
      <c r="B27" s="31" t="s">
        <v>57</v>
      </c>
      <c r="C27" s="30"/>
      <c r="D27" s="30"/>
      <c r="E27" s="30"/>
      <c r="F27" s="32">
        <v>20</v>
      </c>
      <c r="G27" s="10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</v>
      </c>
      <c r="O27" s="10"/>
      <c r="P27" s="10"/>
      <c r="Q27" s="10"/>
    </row>
    <row r="28" spans="1:17" ht="18.75" customHeight="1" x14ac:dyDescent="0.25">
      <c r="A28" s="10">
        <v>26</v>
      </c>
      <c r="B28" s="2" t="s">
        <v>43</v>
      </c>
      <c r="F28" s="32">
        <v>5090</v>
      </c>
      <c r="G28" s="1"/>
      <c r="H28" s="8">
        <v>0</v>
      </c>
      <c r="I28" s="8">
        <v>600</v>
      </c>
      <c r="J28" s="8">
        <v>400</v>
      </c>
      <c r="K28" s="8">
        <v>600</v>
      </c>
      <c r="L28" s="8">
        <v>0</v>
      </c>
      <c r="M28" s="8">
        <v>600</v>
      </c>
      <c r="N28" s="15">
        <f t="shared" si="0"/>
        <v>2890</v>
      </c>
      <c r="O28" s="1"/>
      <c r="P28" s="1">
        <v>1000</v>
      </c>
      <c r="Q28" s="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8"/>
  <sheetViews>
    <sheetView topLeftCell="A10" workbookViewId="0">
      <selection activeCell="H13" sqref="H13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45292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45296</v>
      </c>
      <c r="J2" s="6">
        <v>45306</v>
      </c>
      <c r="K2" s="6">
        <v>45310</v>
      </c>
      <c r="L2" s="6">
        <v>45316</v>
      </c>
      <c r="M2" s="6">
        <v>45322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6500</v>
      </c>
      <c r="G3" s="1"/>
      <c r="H3" s="8">
        <v>0</v>
      </c>
      <c r="I3" s="8">
        <v>500</v>
      </c>
      <c r="J3" s="8">
        <v>500</v>
      </c>
      <c r="K3" s="8">
        <v>500</v>
      </c>
      <c r="L3" s="8">
        <v>500</v>
      </c>
      <c r="M3" s="8">
        <v>500</v>
      </c>
      <c r="N3" s="14">
        <f t="shared" ref="N3:N28" si="0">+F3-I3-J3-K3-L3-M3+H3</f>
        <v>4000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10000</v>
      </c>
      <c r="G4" s="1"/>
      <c r="H4" s="8">
        <v>0</v>
      </c>
      <c r="I4" s="8">
        <v>1000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9000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1250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1250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500</v>
      </c>
      <c r="G7" s="1"/>
      <c r="H7" s="8">
        <v>0</v>
      </c>
      <c r="I7" s="8">
        <v>0</v>
      </c>
      <c r="J7" s="8">
        <v>24</v>
      </c>
      <c r="K7" s="8">
        <v>0</v>
      </c>
      <c r="L7" s="8">
        <v>0</v>
      </c>
      <c r="M7" s="8">
        <v>0</v>
      </c>
      <c r="N7" s="14">
        <f t="shared" si="0"/>
        <v>476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10000</v>
      </c>
      <c r="G8" s="1"/>
      <c r="H8" s="8">
        <v>0</v>
      </c>
      <c r="I8" s="8">
        <v>1000</v>
      </c>
      <c r="J8" s="8">
        <v>1000</v>
      </c>
      <c r="K8" s="8">
        <v>0</v>
      </c>
      <c r="L8" s="8">
        <v>1000</v>
      </c>
      <c r="M8" s="8">
        <v>0</v>
      </c>
      <c r="N8" s="14">
        <f t="shared" si="0"/>
        <v>7000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10000</v>
      </c>
      <c r="G10" s="1"/>
      <c r="H10" s="8">
        <v>0</v>
      </c>
      <c r="I10" s="8">
        <v>1000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9000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9750</v>
      </c>
      <c r="G11" s="1">
        <v>0</v>
      </c>
      <c r="H11" s="8">
        <v>0</v>
      </c>
      <c r="I11" s="8">
        <v>400</v>
      </c>
      <c r="J11" s="8">
        <v>1050</v>
      </c>
      <c r="K11" s="8">
        <v>1000</v>
      </c>
      <c r="L11" s="8">
        <v>1600</v>
      </c>
      <c r="M11" s="8">
        <v>75</v>
      </c>
      <c r="N11" s="14">
        <f t="shared" si="0"/>
        <v>5625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48</v>
      </c>
      <c r="F12" s="9">
        <v>0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0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2800</v>
      </c>
      <c r="G13" s="1"/>
      <c r="H13" s="8">
        <v>0</v>
      </c>
      <c r="I13" s="8">
        <v>0</v>
      </c>
      <c r="J13" s="8">
        <v>200</v>
      </c>
      <c r="K13" s="8">
        <v>0</v>
      </c>
      <c r="L13" s="8">
        <v>400</v>
      </c>
      <c r="M13" s="8">
        <v>0</v>
      </c>
      <c r="N13" s="14">
        <f t="shared" si="0"/>
        <v>2200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1050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1050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f>'KASIM 3 HAFTA '!N15</f>
        <v>800</v>
      </c>
      <c r="G15" s="1"/>
      <c r="H15" s="8">
        <v>0</v>
      </c>
      <c r="I15" s="8">
        <v>0</v>
      </c>
      <c r="J15" s="8">
        <v>200</v>
      </c>
      <c r="K15" s="8">
        <v>0</v>
      </c>
      <c r="L15" s="8">
        <v>0</v>
      </c>
      <c r="M15" s="8">
        <v>0</v>
      </c>
      <c r="N15" s="15">
        <f t="shared" si="0"/>
        <v>600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2500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2500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500</v>
      </c>
      <c r="G17" s="1">
        <v>165</v>
      </c>
      <c r="H17" s="8">
        <v>0</v>
      </c>
      <c r="I17" s="8">
        <v>40</v>
      </c>
      <c r="J17" s="8">
        <v>120</v>
      </c>
      <c r="K17" s="8">
        <v>0</v>
      </c>
      <c r="L17" s="8">
        <v>60</v>
      </c>
      <c r="M17" s="8">
        <v>60</v>
      </c>
      <c r="N17" s="15">
        <f t="shared" si="0"/>
        <v>220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5850</v>
      </c>
      <c r="G18" s="1"/>
      <c r="H18" s="8">
        <v>0</v>
      </c>
      <c r="I18" s="8">
        <v>500</v>
      </c>
      <c r="J18" s="8">
        <v>500</v>
      </c>
      <c r="K18" s="8">
        <v>500</v>
      </c>
      <c r="L18" s="8">
        <v>500</v>
      </c>
      <c r="M18" s="8">
        <v>450</v>
      </c>
      <c r="N18" s="13">
        <f t="shared" si="0"/>
        <v>3400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150</v>
      </c>
      <c r="G19" s="1"/>
      <c r="H19" s="8">
        <v>0</v>
      </c>
      <c r="I19" s="8">
        <v>6</v>
      </c>
      <c r="J19" s="8">
        <v>31</v>
      </c>
      <c r="K19" s="8">
        <v>17</v>
      </c>
      <c r="L19" s="8">
        <v>5</v>
      </c>
      <c r="M19" s="8">
        <v>0</v>
      </c>
      <c r="N19" s="15">
        <f t="shared" si="0"/>
        <v>91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238</v>
      </c>
      <c r="G20" s="1"/>
      <c r="H20" s="8">
        <v>0</v>
      </c>
      <c r="I20" s="8">
        <v>0</v>
      </c>
      <c r="J20" s="8">
        <v>20</v>
      </c>
      <c r="K20" s="8">
        <v>17</v>
      </c>
      <c r="L20" s="8">
        <v>0</v>
      </c>
      <c r="M20" s="8">
        <v>0</v>
      </c>
      <c r="N20" s="15">
        <f t="shared" si="0"/>
        <v>201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150</v>
      </c>
      <c r="G21" s="19">
        <v>425</v>
      </c>
      <c r="H21" s="8">
        <v>390</v>
      </c>
      <c r="I21" s="8">
        <v>0</v>
      </c>
      <c r="J21" s="8">
        <v>90</v>
      </c>
      <c r="K21" s="8">
        <v>0</v>
      </c>
      <c r="L21" s="8">
        <v>75</v>
      </c>
      <c r="M21" s="8">
        <v>0</v>
      </c>
      <c r="N21" s="21">
        <f t="shared" si="0"/>
        <v>375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42</v>
      </c>
      <c r="G22" s="1"/>
      <c r="H22" s="8">
        <v>168</v>
      </c>
      <c r="I22" s="8">
        <v>31</v>
      </c>
      <c r="J22" s="8">
        <v>29</v>
      </c>
      <c r="K22" s="8">
        <v>58</v>
      </c>
      <c r="L22" s="8">
        <v>25</v>
      </c>
      <c r="M22" s="8">
        <v>10</v>
      </c>
      <c r="N22" s="15">
        <f t="shared" si="0"/>
        <v>57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72</v>
      </c>
      <c r="G23" s="1"/>
      <c r="H23" s="8">
        <v>664</v>
      </c>
      <c r="I23" s="8">
        <v>64</v>
      </c>
      <c r="J23" s="8">
        <v>18</v>
      </c>
      <c r="K23" s="8">
        <v>60</v>
      </c>
      <c r="L23" s="8">
        <v>384</v>
      </c>
      <c r="M23" s="8">
        <v>85</v>
      </c>
      <c r="N23" s="15">
        <f t="shared" ref="N23" si="1">+F23-I23-J23-K23-L23-M23+H23</f>
        <v>125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60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60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56</v>
      </c>
      <c r="C25" s="2"/>
      <c r="D25" s="2"/>
      <c r="E25" s="2"/>
      <c r="F25" s="32">
        <v>100</v>
      </c>
      <c r="G25" s="1"/>
      <c r="H25" s="8">
        <v>0</v>
      </c>
      <c r="I25" s="8">
        <v>0</v>
      </c>
      <c r="J25" s="8">
        <v>10</v>
      </c>
      <c r="K25" s="8">
        <v>12</v>
      </c>
      <c r="L25" s="8">
        <v>0</v>
      </c>
      <c r="M25" s="8">
        <v>0</v>
      </c>
      <c r="N25" s="15">
        <f t="shared" si="0"/>
        <v>78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2800</v>
      </c>
      <c r="G26" s="1"/>
      <c r="H26" s="8">
        <v>10000</v>
      </c>
      <c r="I26" s="8">
        <v>800</v>
      </c>
      <c r="J26" s="8">
        <v>800</v>
      </c>
      <c r="K26" s="8">
        <v>650</v>
      </c>
      <c r="L26" s="8">
        <v>1000</v>
      </c>
      <c r="M26" s="8">
        <v>600</v>
      </c>
      <c r="N26" s="15">
        <f t="shared" ref="N26" si="2">+F26-I26-J26-K26-L26-M26+H26</f>
        <v>8950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55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16</v>
      </c>
      <c r="N27" s="15">
        <f t="shared" ref="N27" si="3">+F27-I27-J27-K27-L27-M27+H27</f>
        <v>39</v>
      </c>
      <c r="O27" s="1"/>
      <c r="P27" s="34">
        <v>100</v>
      </c>
      <c r="Q27" s="27">
        <v>500</v>
      </c>
    </row>
    <row r="28" spans="1:17" ht="18.75" customHeight="1" x14ac:dyDescent="0.25">
      <c r="A28" s="10">
        <v>26</v>
      </c>
      <c r="B28" s="2" t="s">
        <v>58</v>
      </c>
      <c r="F28" s="32">
        <v>0</v>
      </c>
      <c r="G28" s="1">
        <v>0</v>
      </c>
      <c r="H28" s="8">
        <v>450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5">
        <f t="shared" si="0"/>
        <v>450</v>
      </c>
      <c r="O28" s="1"/>
      <c r="P28" s="37" t="s">
        <v>48</v>
      </c>
      <c r="Q28" s="2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9"/>
  <sheetViews>
    <sheetView topLeftCell="A10" workbookViewId="0">
      <selection activeCell="K15" sqref="K15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45323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45331</v>
      </c>
      <c r="J2" s="6">
        <v>45341</v>
      </c>
      <c r="K2" s="6">
        <v>45345</v>
      </c>
      <c r="L2" s="6">
        <v>45351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4000</v>
      </c>
      <c r="G3" s="1"/>
      <c r="H3" s="8">
        <v>7500</v>
      </c>
      <c r="I3" s="8">
        <v>0</v>
      </c>
      <c r="J3" s="8">
        <v>500</v>
      </c>
      <c r="K3" s="8">
        <v>0</v>
      </c>
      <c r="L3" s="8">
        <v>500</v>
      </c>
      <c r="M3" s="8">
        <v>0</v>
      </c>
      <c r="N3" s="14">
        <f t="shared" ref="N3:N29" si="0">+F3-I3-J3-K3-L3-M3+H3</f>
        <v>10500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9000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9000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1150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1150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476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476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7000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7000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9000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9000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5625</v>
      </c>
      <c r="G11" s="1">
        <v>0</v>
      </c>
      <c r="H11" s="8">
        <v>9700</v>
      </c>
      <c r="I11" s="8">
        <v>900</v>
      </c>
      <c r="J11" s="8">
        <v>8700</v>
      </c>
      <c r="K11" s="8">
        <v>0</v>
      </c>
      <c r="L11" s="8">
        <v>1650</v>
      </c>
      <c r="M11" s="8">
        <v>0</v>
      </c>
      <c r="N11" s="14">
        <f t="shared" si="0"/>
        <v>4075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0</v>
      </c>
      <c r="G12" s="1"/>
      <c r="H12" s="8">
        <v>252</v>
      </c>
      <c r="I12" s="8">
        <v>0</v>
      </c>
      <c r="J12" s="8">
        <v>0</v>
      </c>
      <c r="K12" s="8">
        <v>12</v>
      </c>
      <c r="L12" s="8">
        <v>0</v>
      </c>
      <c r="M12" s="8">
        <v>0</v>
      </c>
      <c r="N12" s="14">
        <f t="shared" si="0"/>
        <v>240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2200</v>
      </c>
      <c r="G13" s="1"/>
      <c r="H13" s="8">
        <v>0</v>
      </c>
      <c r="I13" s="8">
        <v>0</v>
      </c>
      <c r="J13" s="8">
        <v>0</v>
      </c>
      <c r="K13" s="8">
        <v>500</v>
      </c>
      <c r="L13" s="8">
        <v>200</v>
      </c>
      <c r="M13" s="8">
        <v>0</v>
      </c>
      <c r="N13" s="14">
        <f t="shared" si="0"/>
        <v>1500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1050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1050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600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2500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2500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220</v>
      </c>
      <c r="G17" s="1">
        <v>165</v>
      </c>
      <c r="H17" s="8">
        <v>1500</v>
      </c>
      <c r="I17" s="8">
        <v>20</v>
      </c>
      <c r="J17" s="8">
        <v>140</v>
      </c>
      <c r="K17" s="8">
        <v>100</v>
      </c>
      <c r="L17" s="8">
        <v>140</v>
      </c>
      <c r="M17" s="8">
        <v>0</v>
      </c>
      <c r="N17" s="15">
        <f t="shared" si="0"/>
        <v>1320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3400</v>
      </c>
      <c r="G18" s="1"/>
      <c r="H18" s="8">
        <v>0</v>
      </c>
      <c r="I18" s="8">
        <v>0</v>
      </c>
      <c r="J18" s="8">
        <v>0</v>
      </c>
      <c r="K18" s="8">
        <v>450</v>
      </c>
      <c r="L18" s="8">
        <v>450</v>
      </c>
      <c r="M18" s="8">
        <v>0</v>
      </c>
      <c r="N18" s="13">
        <f t="shared" si="0"/>
        <v>2500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91</v>
      </c>
      <c r="G19" s="1"/>
      <c r="H19" s="8">
        <v>100</v>
      </c>
      <c r="I19" s="8">
        <v>10</v>
      </c>
      <c r="J19" s="8">
        <v>0</v>
      </c>
      <c r="K19" s="8">
        <v>0</v>
      </c>
      <c r="L19" s="8">
        <v>50</v>
      </c>
      <c r="M19" s="8">
        <v>0</v>
      </c>
      <c r="N19" s="15">
        <f t="shared" si="0"/>
        <v>131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201</v>
      </c>
      <c r="G20" s="1"/>
      <c r="H20" s="8">
        <v>0</v>
      </c>
      <c r="I20" s="8">
        <v>10</v>
      </c>
      <c r="J20" s="8">
        <v>0</v>
      </c>
      <c r="K20" s="8">
        <v>100</v>
      </c>
      <c r="L20" s="8">
        <v>50</v>
      </c>
      <c r="M20" s="8">
        <v>0</v>
      </c>
      <c r="N20" s="15">
        <f t="shared" si="0"/>
        <v>41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375</v>
      </c>
      <c r="G21" s="19">
        <v>425</v>
      </c>
      <c r="H21" s="8">
        <v>0</v>
      </c>
      <c r="I21" s="8">
        <v>0</v>
      </c>
      <c r="J21" s="8">
        <v>0</v>
      </c>
      <c r="K21" s="8">
        <v>93</v>
      </c>
      <c r="L21" s="8">
        <v>0</v>
      </c>
      <c r="M21" s="8">
        <v>0</v>
      </c>
      <c r="N21" s="21">
        <f t="shared" si="0"/>
        <v>282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97</v>
      </c>
      <c r="G22" s="1"/>
      <c r="H22" s="8">
        <v>91</v>
      </c>
      <c r="I22" s="8">
        <v>30</v>
      </c>
      <c r="J22" s="8">
        <v>22</v>
      </c>
      <c r="K22" s="8">
        <v>34</v>
      </c>
      <c r="L22" s="8">
        <v>66</v>
      </c>
      <c r="M22" s="8">
        <v>0</v>
      </c>
      <c r="N22" s="15">
        <f t="shared" si="0"/>
        <v>36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121</v>
      </c>
      <c r="G23" s="1"/>
      <c r="H23" s="8">
        <v>1988</v>
      </c>
      <c r="I23" s="8">
        <v>206</v>
      </c>
      <c r="J23" s="8">
        <v>296</v>
      </c>
      <c r="K23" s="8">
        <v>338</v>
      </c>
      <c r="L23" s="8">
        <v>450</v>
      </c>
      <c r="M23" s="8">
        <v>0</v>
      </c>
      <c r="N23" s="15">
        <f t="shared" si="0"/>
        <v>819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60</v>
      </c>
      <c r="G24" s="1"/>
      <c r="H24" s="8">
        <v>100</v>
      </c>
      <c r="I24" s="8">
        <v>0</v>
      </c>
      <c r="J24" s="8">
        <v>0</v>
      </c>
      <c r="K24" s="8">
        <v>100</v>
      </c>
      <c r="L24" s="8">
        <v>0</v>
      </c>
      <c r="M24" s="8">
        <v>0</v>
      </c>
      <c r="N24" s="15">
        <f t="shared" si="0"/>
        <v>60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56</v>
      </c>
      <c r="C25" s="2"/>
      <c r="D25" s="2"/>
      <c r="E25" s="2"/>
      <c r="F25" s="32">
        <v>78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78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8950</v>
      </c>
      <c r="G26" s="1"/>
      <c r="H26" s="8">
        <v>7000</v>
      </c>
      <c r="I26" s="8">
        <v>725</v>
      </c>
      <c r="J26" s="8">
        <v>2800</v>
      </c>
      <c r="K26" s="8">
        <v>400</v>
      </c>
      <c r="L26" s="8">
        <v>0</v>
      </c>
      <c r="M26" s="8">
        <v>0</v>
      </c>
      <c r="N26" s="15">
        <f t="shared" si="0"/>
        <v>12025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39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39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58</v>
      </c>
      <c r="F28" s="40">
        <v>450</v>
      </c>
      <c r="G28" s="19">
        <v>0</v>
      </c>
      <c r="H28" s="20">
        <v>0</v>
      </c>
      <c r="I28" s="20">
        <v>0</v>
      </c>
      <c r="J28" s="20">
        <v>0</v>
      </c>
      <c r="K28" s="20">
        <v>0</v>
      </c>
      <c r="L28" s="20">
        <v>450</v>
      </c>
      <c r="M28" s="20">
        <v>0</v>
      </c>
      <c r="N28" s="21">
        <f t="shared" si="0"/>
        <v>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1"/>
      <c r="G29" s="1"/>
      <c r="H29" s="44">
        <v>240</v>
      </c>
      <c r="I29" s="1"/>
      <c r="J29" s="1"/>
      <c r="K29" s="10">
        <v>8</v>
      </c>
      <c r="L29" s="1"/>
      <c r="M29" s="1"/>
      <c r="N29" s="21">
        <f t="shared" si="0"/>
        <v>232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9"/>
  <sheetViews>
    <sheetView topLeftCell="A10" workbookViewId="0">
      <selection activeCell="M24" sqref="M2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45352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45359</v>
      </c>
      <c r="J2" s="6">
        <v>45366</v>
      </c>
      <c r="K2" s="6">
        <v>45373</v>
      </c>
      <c r="L2" s="6">
        <v>45379</v>
      </c>
      <c r="M2" s="6">
        <v>45382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10500</v>
      </c>
      <c r="G3" s="1"/>
      <c r="H3" s="8">
        <v>0</v>
      </c>
      <c r="I3" s="8">
        <v>500</v>
      </c>
      <c r="J3" s="8">
        <v>500</v>
      </c>
      <c r="K3" s="8">
        <v>500</v>
      </c>
      <c r="L3" s="8">
        <v>1000</v>
      </c>
      <c r="M3" s="8">
        <v>0</v>
      </c>
      <c r="N3" s="14">
        <f t="shared" ref="N3:N29" si="0">+F3-I3-J3-K3-L3-M3+H3</f>
        <v>8000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9000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9000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1150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1150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476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476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7000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7000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9000</v>
      </c>
      <c r="G10" s="1"/>
      <c r="H10" s="8">
        <v>0</v>
      </c>
      <c r="I10" s="8">
        <v>1000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8000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4075</v>
      </c>
      <c r="G11" s="1">
        <v>0</v>
      </c>
      <c r="H11" s="8">
        <v>10000</v>
      </c>
      <c r="I11" s="8">
        <v>1200</v>
      </c>
      <c r="J11" s="8">
        <v>800</v>
      </c>
      <c r="K11" s="8">
        <v>0</v>
      </c>
      <c r="L11" s="8">
        <v>3400</v>
      </c>
      <c r="M11" s="8">
        <v>0</v>
      </c>
      <c r="N11" s="14">
        <f t="shared" si="0"/>
        <v>8675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240</v>
      </c>
      <c r="G12" s="1"/>
      <c r="H12" s="8">
        <v>0</v>
      </c>
      <c r="I12" s="8">
        <v>0</v>
      </c>
      <c r="J12" s="8">
        <v>0</v>
      </c>
      <c r="K12" s="8">
        <v>12</v>
      </c>
      <c r="L12" s="8">
        <v>16</v>
      </c>
      <c r="M12" s="8">
        <v>0</v>
      </c>
      <c r="N12" s="14">
        <f t="shared" si="0"/>
        <v>212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1500</v>
      </c>
      <c r="G13" s="1"/>
      <c r="H13" s="8">
        <v>2500</v>
      </c>
      <c r="I13" s="8">
        <v>0</v>
      </c>
      <c r="J13" s="8">
        <v>0</v>
      </c>
      <c r="K13" s="8">
        <v>300</v>
      </c>
      <c r="L13" s="8">
        <v>0</v>
      </c>
      <c r="M13" s="8">
        <v>0</v>
      </c>
      <c r="N13" s="14">
        <f t="shared" si="0"/>
        <v>3700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1050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1050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600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2500</v>
      </c>
      <c r="G16" s="1"/>
      <c r="H16" s="8">
        <v>750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3250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1320</v>
      </c>
      <c r="G17" s="1">
        <v>165</v>
      </c>
      <c r="H17" s="8">
        <v>0</v>
      </c>
      <c r="I17" s="8">
        <v>80</v>
      </c>
      <c r="J17" s="8">
        <v>80</v>
      </c>
      <c r="K17" s="8">
        <v>40</v>
      </c>
      <c r="L17" s="8">
        <v>40</v>
      </c>
      <c r="M17" s="8">
        <v>0</v>
      </c>
      <c r="N17" s="15">
        <f t="shared" si="0"/>
        <v>1080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2500</v>
      </c>
      <c r="G18" s="1"/>
      <c r="H18" s="8">
        <v>2500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5000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25</v>
      </c>
      <c r="G19" s="1"/>
      <c r="H19" s="8">
        <v>100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125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282</v>
      </c>
      <c r="G21" s="19">
        <v>425</v>
      </c>
      <c r="H21" s="8">
        <v>0</v>
      </c>
      <c r="I21" s="8">
        <v>158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124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36</v>
      </c>
      <c r="G22" s="1"/>
      <c r="H22" s="8">
        <v>601</v>
      </c>
      <c r="I22" s="8">
        <v>27</v>
      </c>
      <c r="J22" s="8">
        <v>127</v>
      </c>
      <c r="K22" s="8">
        <v>13</v>
      </c>
      <c r="L22" s="8">
        <v>0</v>
      </c>
      <c r="M22" s="8">
        <v>0</v>
      </c>
      <c r="N22" s="15">
        <f t="shared" si="0"/>
        <v>470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1200</v>
      </c>
      <c r="G23" s="1"/>
      <c r="H23" s="8">
        <v>1000</v>
      </c>
      <c r="I23" s="8">
        <v>10</v>
      </c>
      <c r="J23" s="8">
        <v>110</v>
      </c>
      <c r="K23" s="8">
        <v>160</v>
      </c>
      <c r="L23" s="8">
        <v>264</v>
      </c>
      <c r="M23" s="8">
        <v>1000</v>
      </c>
      <c r="N23" s="15">
        <f t="shared" si="0"/>
        <v>656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25</v>
      </c>
      <c r="G24" s="1"/>
      <c r="H24" s="8">
        <v>100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125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12025</v>
      </c>
      <c r="G26" s="1"/>
      <c r="H26" s="8">
        <v>10000</v>
      </c>
      <c r="I26" s="8">
        <v>0</v>
      </c>
      <c r="J26" s="8">
        <v>400</v>
      </c>
      <c r="K26" s="8">
        <v>400</v>
      </c>
      <c r="L26" s="8">
        <v>400</v>
      </c>
      <c r="M26" s="8">
        <v>5000</v>
      </c>
      <c r="N26" s="15">
        <f t="shared" si="0"/>
        <v>15825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39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39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58</v>
      </c>
      <c r="F28" s="40">
        <v>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1">
        <v>232</v>
      </c>
      <c r="G29" s="1"/>
      <c r="H29" s="44">
        <v>216</v>
      </c>
      <c r="I29" s="1">
        <v>20</v>
      </c>
      <c r="J29" s="1"/>
      <c r="K29" s="10">
        <v>8</v>
      </c>
      <c r="L29" s="1"/>
      <c r="M29" s="1"/>
      <c r="N29" s="21">
        <f t="shared" si="0"/>
        <v>420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9"/>
  <sheetViews>
    <sheetView topLeftCell="A7" workbookViewId="0">
      <selection activeCell="M18" sqref="M18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45383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45387</v>
      </c>
      <c r="J2" s="6">
        <v>45394</v>
      </c>
      <c r="K2" s="6">
        <v>45401</v>
      </c>
      <c r="L2" s="6">
        <v>45408</v>
      </c>
      <c r="M2" s="6">
        <v>45412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8000</v>
      </c>
      <c r="G3" s="1"/>
      <c r="H3" s="8">
        <v>0</v>
      </c>
      <c r="I3" s="8">
        <v>0</v>
      </c>
      <c r="J3" s="8">
        <v>1000</v>
      </c>
      <c r="K3" s="8">
        <v>500</v>
      </c>
      <c r="L3" s="8">
        <v>0</v>
      </c>
      <c r="M3" s="8">
        <v>500</v>
      </c>
      <c r="N3" s="14">
        <f t="shared" ref="N3:N29" si="0">+F3-I3-J3-K3-L3-M3+H3</f>
        <v>6000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9000</v>
      </c>
      <c r="G4" s="1"/>
      <c r="H4" s="8">
        <v>0</v>
      </c>
      <c r="I4" s="8">
        <v>0</v>
      </c>
      <c r="J4" s="8">
        <v>0</v>
      </c>
      <c r="K4" s="8">
        <v>1000</v>
      </c>
      <c r="L4" s="8">
        <v>0</v>
      </c>
      <c r="M4" s="8">
        <v>1000</v>
      </c>
      <c r="N4" s="14">
        <f t="shared" si="0"/>
        <v>7000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1150</v>
      </c>
      <c r="G5" s="1"/>
      <c r="H5" s="8">
        <v>0</v>
      </c>
      <c r="I5" s="8">
        <v>1000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476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476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7000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7000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8000</v>
      </c>
      <c r="G10" s="1"/>
      <c r="H10" s="8">
        <v>0</v>
      </c>
      <c r="I10" s="8">
        <v>0</v>
      </c>
      <c r="J10" s="8">
        <v>0</v>
      </c>
      <c r="K10" s="8">
        <v>1000</v>
      </c>
      <c r="L10" s="8">
        <v>0</v>
      </c>
      <c r="M10" s="8">
        <v>0</v>
      </c>
      <c r="N10" s="14">
        <f t="shared" si="0"/>
        <v>7000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8675</v>
      </c>
      <c r="G11" s="1">
        <v>0</v>
      </c>
      <c r="H11" s="8">
        <v>0</v>
      </c>
      <c r="I11" s="8">
        <v>1000</v>
      </c>
      <c r="J11" s="8">
        <v>200</v>
      </c>
      <c r="K11" s="8">
        <v>400</v>
      </c>
      <c r="L11" s="8">
        <v>0</v>
      </c>
      <c r="M11" s="8">
        <v>3800</v>
      </c>
      <c r="N11" s="14">
        <f t="shared" si="0"/>
        <v>3275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212</v>
      </c>
      <c r="G12" s="1"/>
      <c r="H12" s="8">
        <v>0</v>
      </c>
      <c r="I12" s="8">
        <v>0</v>
      </c>
      <c r="J12" s="8">
        <v>20</v>
      </c>
      <c r="K12" s="8">
        <v>0</v>
      </c>
      <c r="L12" s="8">
        <v>0</v>
      </c>
      <c r="M12" s="8">
        <v>0</v>
      </c>
      <c r="N12" s="14">
        <f t="shared" si="0"/>
        <v>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3700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3700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1050</v>
      </c>
      <c r="G14" s="2"/>
      <c r="H14" s="8">
        <v>0</v>
      </c>
      <c r="I14" s="8">
        <v>0</v>
      </c>
      <c r="J14" s="8">
        <v>0</v>
      </c>
      <c r="K14" s="8">
        <v>26</v>
      </c>
      <c r="L14" s="8">
        <v>0</v>
      </c>
      <c r="M14" s="8">
        <v>0</v>
      </c>
      <c r="N14" s="15">
        <f t="shared" si="0"/>
        <v>1024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3250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3250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1080</v>
      </c>
      <c r="G17" s="1">
        <v>165</v>
      </c>
      <c r="H17" s="8">
        <v>1000</v>
      </c>
      <c r="I17" s="8">
        <v>340</v>
      </c>
      <c r="J17" s="8">
        <v>1060</v>
      </c>
      <c r="K17" s="8">
        <v>60</v>
      </c>
      <c r="L17" s="8">
        <v>0</v>
      </c>
      <c r="M17" s="8">
        <v>20</v>
      </c>
      <c r="N17" s="15">
        <f t="shared" si="0"/>
        <v>600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5000</v>
      </c>
      <c r="G18" s="1"/>
      <c r="H18" s="8">
        <v>0</v>
      </c>
      <c r="I18" s="8">
        <v>0</v>
      </c>
      <c r="J18" s="8">
        <v>0</v>
      </c>
      <c r="K18" s="8">
        <v>400</v>
      </c>
      <c r="L18" s="8">
        <v>0</v>
      </c>
      <c r="M18" s="8">
        <v>600</v>
      </c>
      <c r="N18" s="13">
        <f t="shared" si="0"/>
        <v>4000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125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125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124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124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470</v>
      </c>
      <c r="G22" s="1"/>
      <c r="H22" s="8">
        <v>0</v>
      </c>
      <c r="I22" s="8">
        <v>21</v>
      </c>
      <c r="J22" s="8">
        <v>85</v>
      </c>
      <c r="K22" s="8">
        <v>28</v>
      </c>
      <c r="L22" s="8">
        <v>0</v>
      </c>
      <c r="M22" s="8">
        <v>7</v>
      </c>
      <c r="N22" s="15">
        <f t="shared" si="0"/>
        <v>329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656</v>
      </c>
      <c r="G23" s="1"/>
      <c r="H23" s="8">
        <v>1000</v>
      </c>
      <c r="I23" s="8">
        <v>124</v>
      </c>
      <c r="J23" s="8">
        <v>325</v>
      </c>
      <c r="K23" s="8">
        <v>207</v>
      </c>
      <c r="L23" s="8">
        <v>0</v>
      </c>
      <c r="M23" s="8">
        <v>600</v>
      </c>
      <c r="N23" s="15">
        <f t="shared" si="0"/>
        <v>400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125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125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15825</v>
      </c>
      <c r="G26" s="1"/>
      <c r="H26" s="8">
        <v>5000</v>
      </c>
      <c r="I26" s="8">
        <v>0</v>
      </c>
      <c r="J26" s="8">
        <v>1200</v>
      </c>
      <c r="K26" s="8">
        <v>1200</v>
      </c>
      <c r="L26" s="8">
        <v>0</v>
      </c>
      <c r="M26" s="8">
        <v>1000</v>
      </c>
      <c r="N26" s="15">
        <f t="shared" si="0"/>
        <v>17425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39</v>
      </c>
      <c r="G27" s="1"/>
      <c r="H27" s="8">
        <v>200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239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58</v>
      </c>
      <c r="F28" s="40">
        <v>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1">
        <v>420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21">
        <f t="shared" si="0"/>
        <v>420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9"/>
  <sheetViews>
    <sheetView topLeftCell="A7" workbookViewId="0">
      <selection activeCell="M22" sqref="M22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45413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45415</v>
      </c>
      <c r="J2" s="6">
        <v>45422</v>
      </c>
      <c r="K2" s="6">
        <v>45429</v>
      </c>
      <c r="L2" s="6">
        <v>45436</v>
      </c>
      <c r="M2" s="6">
        <v>45443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6000</v>
      </c>
      <c r="G3" s="1"/>
      <c r="H3" s="8">
        <v>0</v>
      </c>
      <c r="I3" s="8">
        <v>500</v>
      </c>
      <c r="J3" s="8">
        <v>500</v>
      </c>
      <c r="K3" s="8">
        <v>0</v>
      </c>
      <c r="L3" s="8">
        <v>0</v>
      </c>
      <c r="M3" s="8">
        <v>500</v>
      </c>
      <c r="N3" s="14">
        <f t="shared" ref="N3:N29" si="0">+F3-I3-J3-K3-L3-M3+H3</f>
        <v>4500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7000</v>
      </c>
      <c r="G4" s="1"/>
      <c r="H4" s="8">
        <v>0</v>
      </c>
      <c r="I4" s="8">
        <v>500</v>
      </c>
      <c r="J4" s="8">
        <v>1000</v>
      </c>
      <c r="K4" s="8">
        <v>0</v>
      </c>
      <c r="L4" s="8">
        <v>0</v>
      </c>
      <c r="M4" s="8">
        <v>500</v>
      </c>
      <c r="N4" s="14">
        <f t="shared" si="0"/>
        <v>5000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150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476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476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5000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500</v>
      </c>
      <c r="N8" s="14">
        <f t="shared" si="0"/>
        <v>4500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7000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500</v>
      </c>
      <c r="N10" s="14">
        <f t="shared" si="0"/>
        <v>6500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3275</v>
      </c>
      <c r="G11" s="1">
        <v>0</v>
      </c>
      <c r="H11" s="8">
        <v>2000</v>
      </c>
      <c r="I11" s="8">
        <v>750</v>
      </c>
      <c r="J11" s="8">
        <v>400</v>
      </c>
      <c r="K11" s="8">
        <v>500</v>
      </c>
      <c r="L11" s="8">
        <v>0</v>
      </c>
      <c r="M11" s="8">
        <v>0</v>
      </c>
      <c r="N11" s="14">
        <f t="shared" si="0"/>
        <v>3625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3700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3700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1024</v>
      </c>
      <c r="G14" s="2"/>
      <c r="H14" s="8">
        <v>0</v>
      </c>
      <c r="I14" s="8">
        <v>500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524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3250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3250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600</v>
      </c>
      <c r="G17" s="1">
        <v>165</v>
      </c>
      <c r="H17" s="8">
        <v>0</v>
      </c>
      <c r="I17" s="8">
        <v>83</v>
      </c>
      <c r="J17" s="8">
        <v>40</v>
      </c>
      <c r="K17" s="8">
        <v>0</v>
      </c>
      <c r="L17" s="8">
        <v>0</v>
      </c>
      <c r="M17" s="8">
        <v>60</v>
      </c>
      <c r="N17" s="15">
        <f t="shared" si="0"/>
        <v>417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4000</v>
      </c>
      <c r="G18" s="1"/>
      <c r="H18" s="8">
        <v>0</v>
      </c>
      <c r="I18" s="8">
        <v>0</v>
      </c>
      <c r="J18" s="8">
        <v>500</v>
      </c>
      <c r="K18" s="8">
        <v>0</v>
      </c>
      <c r="L18" s="8">
        <v>0</v>
      </c>
      <c r="M18" s="8">
        <v>0</v>
      </c>
      <c r="N18" s="13">
        <f t="shared" si="0"/>
        <v>3500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125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125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124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30</v>
      </c>
      <c r="N21" s="21">
        <f t="shared" si="0"/>
        <v>94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329</v>
      </c>
      <c r="G22" s="1"/>
      <c r="H22" s="8">
        <v>500</v>
      </c>
      <c r="I22" s="8">
        <v>0</v>
      </c>
      <c r="J22" s="8">
        <v>101</v>
      </c>
      <c r="K22" s="8">
        <v>7</v>
      </c>
      <c r="L22" s="8">
        <v>0</v>
      </c>
      <c r="M22" s="8">
        <v>14</v>
      </c>
      <c r="N22" s="15">
        <f t="shared" si="0"/>
        <v>707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400</v>
      </c>
      <c r="G23" s="1"/>
      <c r="H23" s="8">
        <v>100</v>
      </c>
      <c r="I23" s="8">
        <v>225</v>
      </c>
      <c r="J23" s="8">
        <v>100</v>
      </c>
      <c r="K23" s="8">
        <v>0</v>
      </c>
      <c r="L23" s="8">
        <v>0</v>
      </c>
      <c r="M23" s="8">
        <v>94</v>
      </c>
      <c r="N23" s="15">
        <f t="shared" si="0"/>
        <v>81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125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125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17425</v>
      </c>
      <c r="G26" s="1"/>
      <c r="H26" s="8">
        <v>0</v>
      </c>
      <c r="I26" s="8">
        <v>15</v>
      </c>
      <c r="J26" s="8">
        <v>800</v>
      </c>
      <c r="K26" s="8">
        <v>400</v>
      </c>
      <c r="L26" s="8">
        <v>0</v>
      </c>
      <c r="M26" s="8">
        <v>800</v>
      </c>
      <c r="N26" s="15">
        <f t="shared" si="0"/>
        <v>15410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239</v>
      </c>
      <c r="G27" s="1"/>
      <c r="H27" s="8">
        <v>0</v>
      </c>
      <c r="I27" s="8">
        <v>30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209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58</v>
      </c>
      <c r="F28" s="40">
        <v>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1">
        <v>420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21">
        <f t="shared" si="0"/>
        <v>420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9"/>
  <sheetViews>
    <sheetView topLeftCell="A8" workbookViewId="0">
      <selection activeCell="T15" sqref="T15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45444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45450</v>
      </c>
      <c r="J2" s="6">
        <v>45457</v>
      </c>
      <c r="K2" s="6">
        <v>45461</v>
      </c>
      <c r="L2" s="6">
        <v>45467</v>
      </c>
      <c r="M2" s="6">
        <v>45473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4500</v>
      </c>
      <c r="G3" s="1"/>
      <c r="H3" s="8">
        <v>15000</v>
      </c>
      <c r="I3" s="8">
        <v>500</v>
      </c>
      <c r="J3" s="8">
        <v>500</v>
      </c>
      <c r="K3" s="8">
        <v>0</v>
      </c>
      <c r="L3" s="8">
        <v>0</v>
      </c>
      <c r="M3" s="8">
        <v>1000</v>
      </c>
      <c r="N3" s="14">
        <f t="shared" ref="N3:N29" si="0">+F3-I3-J3-K3-L3-M3+H3</f>
        <v>17500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5000</v>
      </c>
      <c r="G4" s="1"/>
      <c r="H4" s="8">
        <v>0</v>
      </c>
      <c r="I4" s="8">
        <v>500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4500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150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476</v>
      </c>
      <c r="G7" s="1"/>
      <c r="H7" s="8">
        <v>0</v>
      </c>
      <c r="I7" s="8">
        <v>150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326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4500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500</v>
      </c>
      <c r="N8" s="14">
        <f t="shared" si="0"/>
        <v>4000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225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6500</v>
      </c>
      <c r="G10" s="1"/>
      <c r="H10" s="8">
        <v>0</v>
      </c>
      <c r="I10" s="8">
        <v>500</v>
      </c>
      <c r="J10" s="8">
        <v>500</v>
      </c>
      <c r="K10" s="8">
        <v>0</v>
      </c>
      <c r="L10" s="8">
        <v>0</v>
      </c>
      <c r="M10" s="8">
        <v>500</v>
      </c>
      <c r="N10" s="14">
        <f t="shared" si="0"/>
        <v>5000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3625</v>
      </c>
      <c r="G11" s="1">
        <v>0</v>
      </c>
      <c r="H11" s="8">
        <v>1600</v>
      </c>
      <c r="I11" s="8">
        <v>1500</v>
      </c>
      <c r="J11" s="8">
        <v>2765</v>
      </c>
      <c r="K11" s="8">
        <v>0</v>
      </c>
      <c r="L11" s="8">
        <v>0</v>
      </c>
      <c r="M11" s="8">
        <v>600</v>
      </c>
      <c r="N11" s="14">
        <f t="shared" si="0"/>
        <v>360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192</v>
      </c>
      <c r="G12" s="1"/>
      <c r="H12" s="8">
        <v>1000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3700</v>
      </c>
      <c r="G13" s="1"/>
      <c r="H13" s="8">
        <v>0</v>
      </c>
      <c r="I13" s="8">
        <v>0</v>
      </c>
      <c r="J13" s="8">
        <v>200</v>
      </c>
      <c r="K13" s="8">
        <v>0</v>
      </c>
      <c r="L13" s="8">
        <v>0</v>
      </c>
      <c r="M13" s="8">
        <v>1200</v>
      </c>
      <c r="N13" s="14">
        <f t="shared" si="0"/>
        <v>2300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524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524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3250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3250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417</v>
      </c>
      <c r="G17" s="1">
        <v>165</v>
      </c>
      <c r="H17" s="8">
        <v>0</v>
      </c>
      <c r="I17" s="8">
        <v>40</v>
      </c>
      <c r="J17" s="8">
        <v>20</v>
      </c>
      <c r="K17" s="8">
        <v>0</v>
      </c>
      <c r="L17" s="8">
        <v>0</v>
      </c>
      <c r="M17" s="8">
        <v>180</v>
      </c>
      <c r="N17" s="15">
        <f t="shared" si="0"/>
        <v>177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3500</v>
      </c>
      <c r="G18" s="1"/>
      <c r="H18" s="8">
        <v>0</v>
      </c>
      <c r="I18" s="8">
        <v>500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3000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125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100</v>
      </c>
      <c r="N19" s="15">
        <f t="shared" si="0"/>
        <v>25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94</v>
      </c>
      <c r="G21" s="19">
        <v>425</v>
      </c>
      <c r="H21" s="8">
        <v>0</v>
      </c>
      <c r="I21" s="8">
        <v>13</v>
      </c>
      <c r="J21" s="8">
        <v>14</v>
      </c>
      <c r="K21" s="8">
        <v>0</v>
      </c>
      <c r="L21" s="8">
        <v>0</v>
      </c>
      <c r="M21" s="8">
        <v>0</v>
      </c>
      <c r="N21" s="21">
        <f t="shared" si="0"/>
        <v>67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707</v>
      </c>
      <c r="G22" s="1"/>
      <c r="H22" s="8">
        <v>1504</v>
      </c>
      <c r="I22" s="8">
        <v>19</v>
      </c>
      <c r="J22" s="8">
        <v>0</v>
      </c>
      <c r="K22" s="8">
        <v>0</v>
      </c>
      <c r="L22" s="8">
        <v>0</v>
      </c>
      <c r="M22" s="8">
        <v>2</v>
      </c>
      <c r="N22" s="15">
        <f t="shared" si="0"/>
        <v>2190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81</v>
      </c>
      <c r="G23" s="1"/>
      <c r="H23" s="8">
        <v>4264</v>
      </c>
      <c r="I23" s="8">
        <v>360</v>
      </c>
      <c r="J23" s="8">
        <v>80</v>
      </c>
      <c r="K23" s="8">
        <v>0</v>
      </c>
      <c r="L23" s="8">
        <v>0</v>
      </c>
      <c r="M23" s="8">
        <v>200</v>
      </c>
      <c r="N23" s="15">
        <f t="shared" si="0"/>
        <v>3705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125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125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13250</v>
      </c>
      <c r="G26" s="1"/>
      <c r="H26" s="8">
        <v>0</v>
      </c>
      <c r="I26" s="8">
        <v>1400</v>
      </c>
      <c r="J26" s="8">
        <v>1150</v>
      </c>
      <c r="K26" s="8">
        <v>0</v>
      </c>
      <c r="L26" s="8">
        <v>0</v>
      </c>
      <c r="M26" s="8">
        <v>6400</v>
      </c>
      <c r="N26" s="15">
        <f t="shared" si="0"/>
        <v>4300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209</v>
      </c>
      <c r="G27" s="1"/>
      <c r="H27" s="8">
        <v>0</v>
      </c>
      <c r="I27" s="8">
        <v>15</v>
      </c>
      <c r="J27" s="8">
        <v>0</v>
      </c>
      <c r="K27" s="8">
        <v>0</v>
      </c>
      <c r="L27" s="8">
        <v>0</v>
      </c>
      <c r="M27" s="8">
        <v>20</v>
      </c>
      <c r="N27" s="15">
        <f t="shared" si="0"/>
        <v>174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58</v>
      </c>
      <c r="F28" s="40">
        <v>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1">
        <v>420</v>
      </c>
      <c r="G29" s="1"/>
      <c r="H29" s="8">
        <v>748</v>
      </c>
      <c r="I29" s="8">
        <v>0</v>
      </c>
      <c r="J29" s="8">
        <v>0</v>
      </c>
      <c r="K29" s="8">
        <v>0</v>
      </c>
      <c r="L29" s="8">
        <v>0</v>
      </c>
      <c r="M29" s="8">
        <v>100</v>
      </c>
      <c r="N29" s="21">
        <f t="shared" si="0"/>
        <v>1068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9"/>
  <sheetViews>
    <sheetView topLeftCell="A11" workbookViewId="0">
      <selection activeCell="M21" sqref="M2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45474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45478</v>
      </c>
      <c r="J2" s="6">
        <v>45485</v>
      </c>
      <c r="K2" s="6">
        <v>45492</v>
      </c>
      <c r="L2" s="6">
        <v>45499</v>
      </c>
      <c r="M2" s="6">
        <v>45504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17500</v>
      </c>
      <c r="G3" s="1"/>
      <c r="H3" s="8">
        <v>0</v>
      </c>
      <c r="I3" s="8">
        <v>1000</v>
      </c>
      <c r="J3" s="8">
        <v>1000</v>
      </c>
      <c r="K3" s="8">
        <v>1000</v>
      </c>
      <c r="L3" s="8">
        <v>500</v>
      </c>
      <c r="M3" s="8">
        <v>1000</v>
      </c>
      <c r="N3" s="14">
        <f t="shared" ref="N3:N29" si="0">+F3-I3-J3-K3-L3-M3+H3</f>
        <v>13000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4500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500</v>
      </c>
      <c r="M4" s="8">
        <v>500</v>
      </c>
      <c r="N4" s="14">
        <f t="shared" si="0"/>
        <v>3500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150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150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326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50</v>
      </c>
      <c r="N7" s="14">
        <f t="shared" si="0"/>
        <v>276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4000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4000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225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120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5000</v>
      </c>
      <c r="G10" s="1"/>
      <c r="H10" s="8">
        <v>0</v>
      </c>
      <c r="I10" s="8">
        <v>500</v>
      </c>
      <c r="J10" s="8">
        <v>0</v>
      </c>
      <c r="K10" s="8">
        <v>0</v>
      </c>
      <c r="L10" s="8">
        <v>0</v>
      </c>
      <c r="M10" s="8">
        <v>1000</v>
      </c>
      <c r="N10" s="14">
        <f t="shared" si="0"/>
        <v>3500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360</v>
      </c>
      <c r="G11" s="1">
        <v>0</v>
      </c>
      <c r="H11" s="8">
        <v>15000</v>
      </c>
      <c r="I11" s="8">
        <v>200</v>
      </c>
      <c r="J11" s="8">
        <v>160</v>
      </c>
      <c r="K11" s="8">
        <v>200</v>
      </c>
      <c r="L11" s="8">
        <v>1700</v>
      </c>
      <c r="M11" s="8">
        <v>2000</v>
      </c>
      <c r="N11" s="14">
        <f t="shared" si="0"/>
        <v>11100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2300</v>
      </c>
      <c r="G13" s="1"/>
      <c r="H13" s="8">
        <v>2000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4300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524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524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3250</v>
      </c>
      <c r="G16" s="1"/>
      <c r="H16" s="8">
        <v>960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4210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177</v>
      </c>
      <c r="G17" s="1">
        <v>165</v>
      </c>
      <c r="H17" s="8">
        <v>1000</v>
      </c>
      <c r="I17" s="8">
        <v>0</v>
      </c>
      <c r="J17" s="8">
        <v>191</v>
      </c>
      <c r="K17" s="8">
        <v>566</v>
      </c>
      <c r="L17" s="8">
        <v>120</v>
      </c>
      <c r="M17" s="8">
        <v>100</v>
      </c>
      <c r="N17" s="15">
        <f t="shared" si="0"/>
        <v>200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3000</v>
      </c>
      <c r="G18" s="1"/>
      <c r="H18" s="8">
        <v>0</v>
      </c>
      <c r="I18" s="8">
        <v>0</v>
      </c>
      <c r="J18" s="8">
        <v>450</v>
      </c>
      <c r="K18" s="8">
        <v>450</v>
      </c>
      <c r="L18" s="8">
        <v>0</v>
      </c>
      <c r="M18" s="8">
        <v>0</v>
      </c>
      <c r="N18" s="13">
        <f t="shared" si="0"/>
        <v>2100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25</v>
      </c>
      <c r="G19" s="1"/>
      <c r="H19" s="8">
        <v>100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125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67</v>
      </c>
      <c r="G21" s="19">
        <v>425</v>
      </c>
      <c r="H21" s="8">
        <v>400</v>
      </c>
      <c r="I21" s="8">
        <v>0</v>
      </c>
      <c r="J21" s="8">
        <v>0</v>
      </c>
      <c r="K21" s="8">
        <v>0</v>
      </c>
      <c r="L21" s="8">
        <v>0</v>
      </c>
      <c r="M21" s="8">
        <v>160</v>
      </c>
      <c r="N21" s="21">
        <f t="shared" si="0"/>
        <v>307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2190</v>
      </c>
      <c r="G22" s="1"/>
      <c r="H22" s="8">
        <v>0</v>
      </c>
      <c r="I22" s="8">
        <v>4</v>
      </c>
      <c r="J22" s="8">
        <v>15</v>
      </c>
      <c r="K22" s="8">
        <v>12</v>
      </c>
      <c r="L22" s="8">
        <v>0</v>
      </c>
      <c r="M22" s="8">
        <v>8</v>
      </c>
      <c r="N22" s="15">
        <f t="shared" si="0"/>
        <v>2151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3705</v>
      </c>
      <c r="G23" s="1"/>
      <c r="H23" s="8">
        <v>744</v>
      </c>
      <c r="I23" s="8">
        <v>394</v>
      </c>
      <c r="J23" s="8">
        <v>40</v>
      </c>
      <c r="K23" s="8">
        <v>0</v>
      </c>
      <c r="L23" s="8">
        <v>189</v>
      </c>
      <c r="M23" s="8">
        <v>355</v>
      </c>
      <c r="N23" s="15">
        <f t="shared" si="0"/>
        <v>3471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125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125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4300</v>
      </c>
      <c r="G26" s="1"/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15">
        <f t="shared" si="0"/>
        <v>4300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174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174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58</v>
      </c>
      <c r="F28" s="40">
        <v>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1068</v>
      </c>
      <c r="G29" s="1"/>
      <c r="H29" s="8">
        <v>0</v>
      </c>
      <c r="I29" s="8">
        <v>0</v>
      </c>
      <c r="J29" s="8">
        <v>120</v>
      </c>
      <c r="K29" s="8">
        <v>0</v>
      </c>
      <c r="L29" s="8">
        <v>116</v>
      </c>
      <c r="M29" s="8">
        <v>56</v>
      </c>
      <c r="N29" s="21">
        <f t="shared" si="0"/>
        <v>776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9"/>
  <sheetViews>
    <sheetView topLeftCell="A10" workbookViewId="0">
      <selection activeCell="I2" sqref="I2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45505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45509</v>
      </c>
      <c r="J2" s="6">
        <v>45516</v>
      </c>
      <c r="K2" s="6">
        <v>45527</v>
      </c>
      <c r="L2" s="6">
        <v>45530</v>
      </c>
      <c r="M2" s="6">
        <v>45534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13000</v>
      </c>
      <c r="G3" s="1"/>
      <c r="H3" s="8">
        <v>0</v>
      </c>
      <c r="I3" s="8">
        <v>1000</v>
      </c>
      <c r="J3" s="8">
        <v>1000</v>
      </c>
      <c r="K3" s="8">
        <v>500</v>
      </c>
      <c r="L3" s="8">
        <v>0</v>
      </c>
      <c r="M3" s="8">
        <v>1000</v>
      </c>
      <c r="N3" s="14">
        <f t="shared" ref="N3:N29" si="0">+F3-I3-J3-K3-L3-M3+H3</f>
        <v>9500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3500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3500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250</v>
      </c>
      <c r="G6" s="1"/>
      <c r="H6" s="8">
        <v>1000</v>
      </c>
      <c r="I6" s="8">
        <v>0</v>
      </c>
      <c r="J6" s="8">
        <v>0</v>
      </c>
      <c r="K6" s="8">
        <v>0</v>
      </c>
      <c r="L6" s="8">
        <v>0</v>
      </c>
      <c r="M6" s="8">
        <v>250</v>
      </c>
      <c r="N6" s="14">
        <f t="shared" si="0"/>
        <v>1000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276</v>
      </c>
      <c r="G7" s="1"/>
      <c r="H7" s="8">
        <v>0</v>
      </c>
      <c r="I7" s="8">
        <v>0</v>
      </c>
      <c r="J7" s="8">
        <v>0</v>
      </c>
      <c r="K7" s="8">
        <v>155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4000</v>
      </c>
      <c r="G8" s="1"/>
      <c r="H8" s="8">
        <v>0</v>
      </c>
      <c r="I8" s="8">
        <v>0</v>
      </c>
      <c r="J8" s="8">
        <v>500</v>
      </c>
      <c r="K8" s="8">
        <v>0</v>
      </c>
      <c r="L8" s="8">
        <v>0</v>
      </c>
      <c r="M8" s="8">
        <v>500</v>
      </c>
      <c r="N8" s="14">
        <f t="shared" si="0"/>
        <v>3000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3500</v>
      </c>
      <c r="G10" s="1"/>
      <c r="H10" s="8">
        <v>0</v>
      </c>
      <c r="I10" s="8">
        <v>0</v>
      </c>
      <c r="J10" s="8">
        <v>500</v>
      </c>
      <c r="K10" s="8">
        <v>0</v>
      </c>
      <c r="L10" s="8">
        <v>0</v>
      </c>
      <c r="M10" s="8">
        <v>0</v>
      </c>
      <c r="N10" s="14">
        <f t="shared" si="0"/>
        <v>3000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11100</v>
      </c>
      <c r="G11" s="1">
        <v>0</v>
      </c>
      <c r="H11" s="8">
        <v>5000</v>
      </c>
      <c r="I11" s="8">
        <v>0</v>
      </c>
      <c r="J11" s="8">
        <v>0</v>
      </c>
      <c r="K11" s="8">
        <v>0</v>
      </c>
      <c r="L11" s="8">
        <v>0</v>
      </c>
      <c r="M11" s="8">
        <v>800</v>
      </c>
      <c r="N11" s="14">
        <f t="shared" si="0"/>
        <v>15300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4300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4300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524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524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3670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3670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200</v>
      </c>
      <c r="G17" s="1">
        <v>165</v>
      </c>
      <c r="H17" s="8">
        <v>1000</v>
      </c>
      <c r="I17" s="8">
        <v>120</v>
      </c>
      <c r="J17" s="8">
        <v>20</v>
      </c>
      <c r="K17" s="8">
        <v>0</v>
      </c>
      <c r="L17" s="8">
        <v>0</v>
      </c>
      <c r="M17" s="8">
        <v>60</v>
      </c>
      <c r="N17" s="15">
        <f t="shared" si="0"/>
        <v>1000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4500</v>
      </c>
      <c r="G18" s="1"/>
      <c r="H18" s="8">
        <v>0</v>
      </c>
      <c r="I18" s="8">
        <v>450</v>
      </c>
      <c r="J18" s="8">
        <v>0</v>
      </c>
      <c r="K18" s="8">
        <v>1350</v>
      </c>
      <c r="L18" s="8">
        <v>0</v>
      </c>
      <c r="M18" s="8">
        <v>0</v>
      </c>
      <c r="N18" s="13">
        <f t="shared" si="0"/>
        <v>2700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25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25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290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290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2151</v>
      </c>
      <c r="G22" s="1"/>
      <c r="H22" s="8">
        <v>0</v>
      </c>
      <c r="I22" s="8">
        <v>28</v>
      </c>
      <c r="J22" s="8">
        <v>4</v>
      </c>
      <c r="K22" s="8">
        <v>8</v>
      </c>
      <c r="L22" s="8">
        <v>0</v>
      </c>
      <c r="M22" s="8">
        <v>20</v>
      </c>
      <c r="N22" s="15">
        <f t="shared" si="0"/>
        <v>2091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3471</v>
      </c>
      <c r="G23" s="1"/>
      <c r="H23" s="8">
        <v>336</v>
      </c>
      <c r="I23" s="8">
        <v>91</v>
      </c>
      <c r="J23" s="8">
        <v>144</v>
      </c>
      <c r="K23" s="8">
        <v>292</v>
      </c>
      <c r="L23" s="8">
        <v>0</v>
      </c>
      <c r="M23" s="8">
        <v>26</v>
      </c>
      <c r="N23" s="15">
        <f t="shared" si="0"/>
        <v>3254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125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125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4300</v>
      </c>
      <c r="G26" s="1"/>
      <c r="H26" s="8">
        <v>5000</v>
      </c>
      <c r="I26" s="8">
        <v>0</v>
      </c>
      <c r="J26" s="8">
        <v>0</v>
      </c>
      <c r="K26" s="8">
        <v>2200</v>
      </c>
      <c r="L26" s="8">
        <v>0</v>
      </c>
      <c r="M26" s="8">
        <v>1000</v>
      </c>
      <c r="N26" s="15">
        <f t="shared" si="0"/>
        <v>6100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174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174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61</v>
      </c>
      <c r="F28" s="40">
        <v>0</v>
      </c>
      <c r="G28" s="19">
        <v>0</v>
      </c>
      <c r="H28" s="8">
        <v>5000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5000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776</v>
      </c>
      <c r="G29" s="1"/>
      <c r="H29" s="8">
        <v>0</v>
      </c>
      <c r="I29" s="8">
        <v>28</v>
      </c>
      <c r="J29" s="8">
        <v>0</v>
      </c>
      <c r="K29" s="8">
        <v>0</v>
      </c>
      <c r="L29" s="8">
        <v>0</v>
      </c>
      <c r="M29" s="8">
        <v>0</v>
      </c>
      <c r="N29" s="21">
        <f t="shared" si="0"/>
        <v>748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9"/>
  <sheetViews>
    <sheetView topLeftCell="A7" workbookViewId="0">
      <selection activeCell="L21" sqref="L2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45536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45541</v>
      </c>
      <c r="J2" s="6">
        <v>45548</v>
      </c>
      <c r="K2" s="6">
        <v>45555</v>
      </c>
      <c r="L2" s="6">
        <v>45562</v>
      </c>
      <c r="M2" s="6">
        <v>45565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9500</v>
      </c>
      <c r="G3" s="1"/>
      <c r="H3" s="8">
        <v>8000</v>
      </c>
      <c r="I3" s="8">
        <v>1000</v>
      </c>
      <c r="J3" s="8">
        <v>1000</v>
      </c>
      <c r="K3" s="8">
        <v>500</v>
      </c>
      <c r="L3" s="8">
        <v>1000</v>
      </c>
      <c r="M3" s="8">
        <v>0</v>
      </c>
      <c r="N3" s="14">
        <f t="shared" ref="N3:N29" si="0">+F3-I3-J3-K3-L3-M3+H3</f>
        <v>14000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3500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3500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800</v>
      </c>
      <c r="G6" s="1"/>
      <c r="H6" s="8">
        <v>2200</v>
      </c>
      <c r="I6" s="8">
        <v>750</v>
      </c>
      <c r="J6" s="8">
        <v>0</v>
      </c>
      <c r="K6" s="8">
        <v>250</v>
      </c>
      <c r="L6" s="8">
        <v>250</v>
      </c>
      <c r="M6" s="8">
        <v>0</v>
      </c>
      <c r="N6" s="14">
        <f t="shared" si="0"/>
        <v>1750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3000</v>
      </c>
      <c r="G8" s="1"/>
      <c r="H8" s="8">
        <v>0</v>
      </c>
      <c r="I8" s="8">
        <v>1000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3000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500</v>
      </c>
      <c r="M10" s="8">
        <v>0</v>
      </c>
      <c r="N10" s="14">
        <f t="shared" si="0"/>
        <v>2500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15300</v>
      </c>
      <c r="G11" s="1">
        <v>0</v>
      </c>
      <c r="H11" s="8">
        <v>0</v>
      </c>
      <c r="I11" s="8">
        <v>250</v>
      </c>
      <c r="J11" s="8">
        <v>1000</v>
      </c>
      <c r="K11" s="8">
        <v>825</v>
      </c>
      <c r="L11" s="8">
        <v>0</v>
      </c>
      <c r="M11" s="8">
        <v>0</v>
      </c>
      <c r="N11" s="14">
        <f t="shared" si="0"/>
        <v>13225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4300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4300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524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200</v>
      </c>
      <c r="M14" s="8">
        <v>0</v>
      </c>
      <c r="N14" s="15">
        <f t="shared" si="0"/>
        <v>324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3670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3670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1000</v>
      </c>
      <c r="G17" s="1">
        <v>165</v>
      </c>
      <c r="H17" s="8">
        <v>0</v>
      </c>
      <c r="I17" s="8">
        <v>80</v>
      </c>
      <c r="J17" s="8">
        <v>0</v>
      </c>
      <c r="K17" s="8">
        <v>40</v>
      </c>
      <c r="L17" s="8">
        <v>20</v>
      </c>
      <c r="M17" s="8">
        <v>0</v>
      </c>
      <c r="N17" s="15">
        <f t="shared" si="0"/>
        <v>860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2700</v>
      </c>
      <c r="G18" s="1"/>
      <c r="H18" s="8">
        <v>4050</v>
      </c>
      <c r="I18" s="8">
        <v>1000</v>
      </c>
      <c r="J18" s="8">
        <v>800</v>
      </c>
      <c r="K18" s="8">
        <v>450</v>
      </c>
      <c r="L18" s="8">
        <v>900</v>
      </c>
      <c r="M18" s="8">
        <v>0</v>
      </c>
      <c r="N18" s="13">
        <f t="shared" si="0"/>
        <v>3600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125</v>
      </c>
      <c r="G19" s="1"/>
      <c r="H19" s="8">
        <v>0</v>
      </c>
      <c r="I19" s="8">
        <v>25</v>
      </c>
      <c r="J19" s="8">
        <v>25</v>
      </c>
      <c r="K19" s="8">
        <v>0</v>
      </c>
      <c r="L19" s="8">
        <v>0</v>
      </c>
      <c r="M19" s="8">
        <v>0</v>
      </c>
      <c r="N19" s="15">
        <f t="shared" si="0"/>
        <v>75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290</v>
      </c>
      <c r="G21" s="19">
        <v>425</v>
      </c>
      <c r="H21" s="8">
        <v>435</v>
      </c>
      <c r="I21" s="8">
        <v>200</v>
      </c>
      <c r="J21" s="8">
        <v>0</v>
      </c>
      <c r="K21" s="8">
        <v>90</v>
      </c>
      <c r="L21" s="8">
        <v>52</v>
      </c>
      <c r="M21" s="8">
        <v>0</v>
      </c>
      <c r="N21" s="21">
        <f t="shared" si="0"/>
        <v>383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2091</v>
      </c>
      <c r="G22" s="1"/>
      <c r="H22" s="8">
        <v>0</v>
      </c>
      <c r="I22" s="8">
        <v>1</v>
      </c>
      <c r="J22" s="8">
        <v>100</v>
      </c>
      <c r="K22" s="8">
        <v>30</v>
      </c>
      <c r="L22" s="8">
        <v>0</v>
      </c>
      <c r="M22" s="8">
        <v>0</v>
      </c>
      <c r="N22" s="15">
        <f t="shared" si="0"/>
        <v>1960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3254</v>
      </c>
      <c r="G23" s="1"/>
      <c r="H23" s="8">
        <v>1024</v>
      </c>
      <c r="I23" s="8">
        <v>176</v>
      </c>
      <c r="J23" s="8">
        <v>387</v>
      </c>
      <c r="K23" s="8">
        <v>148</v>
      </c>
      <c r="L23" s="8">
        <v>140</v>
      </c>
      <c r="M23" s="8">
        <v>0</v>
      </c>
      <c r="N23" s="15">
        <f t="shared" si="0"/>
        <v>3427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125</v>
      </c>
      <c r="G24" s="1"/>
      <c r="H24" s="8">
        <v>0</v>
      </c>
      <c r="I24" s="8">
        <v>0</v>
      </c>
      <c r="J24" s="8">
        <v>25</v>
      </c>
      <c r="K24" s="8">
        <v>0</v>
      </c>
      <c r="L24" s="8">
        <v>0</v>
      </c>
      <c r="M24" s="8">
        <v>0</v>
      </c>
      <c r="N24" s="15">
        <f t="shared" si="0"/>
        <v>100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6100</v>
      </c>
      <c r="G26" s="1"/>
      <c r="H26" s="8">
        <v>10000</v>
      </c>
      <c r="I26" s="8">
        <v>800</v>
      </c>
      <c r="J26" s="8">
        <v>800</v>
      </c>
      <c r="K26" s="8">
        <v>1025</v>
      </c>
      <c r="L26" s="8">
        <v>1000</v>
      </c>
      <c r="M26" s="8">
        <v>0</v>
      </c>
      <c r="N26" s="15">
        <f t="shared" si="0"/>
        <v>12475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174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174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61</v>
      </c>
      <c r="F28" s="40">
        <v>5000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5000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748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21">
        <f t="shared" si="0"/>
        <v>748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9"/>
  <sheetViews>
    <sheetView workbookViewId="0">
      <selection activeCell="M19" sqref="M19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45566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45569</v>
      </c>
      <c r="J2" s="6">
        <v>45576</v>
      </c>
      <c r="K2" s="6">
        <v>45583</v>
      </c>
      <c r="L2" s="6">
        <v>45590</v>
      </c>
      <c r="M2" s="6">
        <v>45596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14000</v>
      </c>
      <c r="G3" s="1"/>
      <c r="H3" s="8">
        <v>0</v>
      </c>
      <c r="I3" s="8">
        <v>1000</v>
      </c>
      <c r="J3" s="8">
        <v>1000</v>
      </c>
      <c r="K3" s="8">
        <v>1000</v>
      </c>
      <c r="L3" s="8">
        <v>1000</v>
      </c>
      <c r="M3" s="8">
        <v>1000</v>
      </c>
      <c r="N3" s="14">
        <f t="shared" ref="N3:N29" si="0">+F3-I3-J3-K3-L3-M3+H3</f>
        <v>9000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3500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3500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1750</v>
      </c>
      <c r="G6" s="1"/>
      <c r="H6" s="8">
        <v>0</v>
      </c>
      <c r="I6" s="8">
        <v>250</v>
      </c>
      <c r="J6" s="8">
        <v>0</v>
      </c>
      <c r="K6" s="8">
        <v>250</v>
      </c>
      <c r="L6" s="8">
        <v>0</v>
      </c>
      <c r="M6" s="8">
        <v>0</v>
      </c>
      <c r="N6" s="14">
        <f t="shared" si="0"/>
        <v>1250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500</v>
      </c>
      <c r="L8" s="8">
        <v>0</v>
      </c>
      <c r="M8" s="8">
        <v>0</v>
      </c>
      <c r="N8" s="14">
        <f t="shared" si="0"/>
        <v>1500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2500</v>
      </c>
      <c r="G10" s="1"/>
      <c r="H10" s="8">
        <v>0</v>
      </c>
      <c r="I10" s="8">
        <v>0</v>
      </c>
      <c r="J10" s="8">
        <v>0</v>
      </c>
      <c r="K10" s="8">
        <v>500</v>
      </c>
      <c r="L10" s="8">
        <v>0</v>
      </c>
      <c r="M10" s="8">
        <v>0</v>
      </c>
      <c r="N10" s="14">
        <f t="shared" si="0"/>
        <v>2000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13225</v>
      </c>
      <c r="G11" s="1">
        <v>0</v>
      </c>
      <c r="H11" s="8">
        <v>0</v>
      </c>
      <c r="I11" s="8">
        <v>500</v>
      </c>
      <c r="J11" s="8">
        <v>500</v>
      </c>
      <c r="K11" s="8">
        <v>1000</v>
      </c>
      <c r="L11" s="8">
        <v>1300</v>
      </c>
      <c r="M11" s="8">
        <v>500</v>
      </c>
      <c r="N11" s="14">
        <f t="shared" si="0"/>
        <v>9425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4300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4300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324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324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3200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450</v>
      </c>
      <c r="N16" s="15">
        <f t="shared" si="0"/>
        <v>2750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860</v>
      </c>
      <c r="G17" s="1">
        <v>165</v>
      </c>
      <c r="H17" s="8">
        <v>0</v>
      </c>
      <c r="I17" s="8">
        <v>40</v>
      </c>
      <c r="J17" s="8">
        <v>60</v>
      </c>
      <c r="K17" s="8">
        <v>21</v>
      </c>
      <c r="L17" s="8">
        <v>60</v>
      </c>
      <c r="M17" s="8">
        <v>120</v>
      </c>
      <c r="N17" s="15">
        <f t="shared" si="0"/>
        <v>559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3600</v>
      </c>
      <c r="G18" s="1"/>
      <c r="H18" s="8">
        <v>4950</v>
      </c>
      <c r="I18" s="8">
        <v>450</v>
      </c>
      <c r="J18" s="8">
        <v>3100</v>
      </c>
      <c r="K18" s="8">
        <v>1300</v>
      </c>
      <c r="L18" s="8">
        <v>450</v>
      </c>
      <c r="M18" s="8">
        <v>450</v>
      </c>
      <c r="N18" s="13">
        <f t="shared" si="0"/>
        <v>2800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75</v>
      </c>
      <c r="G19" s="1"/>
      <c r="H19" s="8">
        <v>200</v>
      </c>
      <c r="I19" s="8">
        <v>5</v>
      </c>
      <c r="J19" s="8">
        <v>0</v>
      </c>
      <c r="K19" s="8">
        <v>170</v>
      </c>
      <c r="L19" s="8">
        <v>16</v>
      </c>
      <c r="M19" s="8">
        <v>0</v>
      </c>
      <c r="N19" s="15">
        <f t="shared" si="0"/>
        <v>84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550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550</v>
      </c>
      <c r="O20" s="1"/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383</v>
      </c>
      <c r="G21" s="19">
        <v>425</v>
      </c>
      <c r="H21" s="8">
        <v>500</v>
      </c>
      <c r="I21" s="8">
        <v>300</v>
      </c>
      <c r="J21" s="8">
        <v>0</v>
      </c>
      <c r="K21" s="8">
        <v>200</v>
      </c>
      <c r="L21" s="8">
        <v>45</v>
      </c>
      <c r="M21" s="8">
        <v>0</v>
      </c>
      <c r="N21" s="21">
        <f t="shared" si="0"/>
        <v>338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1960</v>
      </c>
      <c r="G22" s="1"/>
      <c r="H22" s="8">
        <v>0</v>
      </c>
      <c r="I22" s="8">
        <v>80</v>
      </c>
      <c r="J22" s="8">
        <v>0</v>
      </c>
      <c r="K22" s="8">
        <v>8</v>
      </c>
      <c r="L22" s="8">
        <v>40</v>
      </c>
      <c r="M22" s="8">
        <v>0</v>
      </c>
      <c r="N22" s="15">
        <f t="shared" si="0"/>
        <v>1832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3427</v>
      </c>
      <c r="G23" s="1"/>
      <c r="H23" s="8">
        <v>680</v>
      </c>
      <c r="I23" s="8">
        <v>140</v>
      </c>
      <c r="J23" s="8">
        <v>97</v>
      </c>
      <c r="K23" s="8">
        <v>330</v>
      </c>
      <c r="L23" s="8">
        <v>166</v>
      </c>
      <c r="M23" s="8">
        <v>576</v>
      </c>
      <c r="N23" s="15">
        <f t="shared" si="0"/>
        <v>2798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100</v>
      </c>
      <c r="G24" s="1"/>
      <c r="H24" s="8">
        <v>100</v>
      </c>
      <c r="I24" s="8">
        <v>0</v>
      </c>
      <c r="J24" s="8">
        <v>0</v>
      </c>
      <c r="K24" s="8">
        <v>100</v>
      </c>
      <c r="L24" s="8">
        <v>0</v>
      </c>
      <c r="M24" s="8">
        <v>0</v>
      </c>
      <c r="N24" s="15">
        <f t="shared" si="0"/>
        <v>100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48</v>
      </c>
      <c r="C25" s="2"/>
      <c r="D25" s="2"/>
      <c r="E25" s="2"/>
      <c r="F25" s="32">
        <v>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12475</v>
      </c>
      <c r="G26" s="1"/>
      <c r="H26" s="8">
        <v>0</v>
      </c>
      <c r="I26" s="8">
        <v>600</v>
      </c>
      <c r="J26" s="8">
        <v>0</v>
      </c>
      <c r="K26" s="8">
        <v>900</v>
      </c>
      <c r="L26" s="8">
        <v>600</v>
      </c>
      <c r="M26" s="8">
        <v>400</v>
      </c>
      <c r="N26" s="15">
        <f t="shared" si="0"/>
        <v>9975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174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174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61</v>
      </c>
      <c r="F28" s="40">
        <v>5000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5000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748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8</v>
      </c>
      <c r="M29" s="8">
        <v>0</v>
      </c>
      <c r="N29" s="21">
        <f t="shared" si="0"/>
        <v>740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9"/>
  <sheetViews>
    <sheetView topLeftCell="A10" workbookViewId="0">
      <selection activeCell="L25" sqref="L25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45597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45604</v>
      </c>
      <c r="J2" s="6">
        <v>45611</v>
      </c>
      <c r="K2" s="6">
        <v>45618</v>
      </c>
      <c r="L2" s="6">
        <v>45625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9000</v>
      </c>
      <c r="G3" s="1"/>
      <c r="H3" s="8">
        <v>0</v>
      </c>
      <c r="I3" s="8">
        <v>500</v>
      </c>
      <c r="J3" s="8">
        <v>1000</v>
      </c>
      <c r="K3" s="8">
        <v>1000</v>
      </c>
      <c r="L3" s="8">
        <v>500</v>
      </c>
      <c r="M3" s="8">
        <v>0</v>
      </c>
      <c r="N3" s="14">
        <f t="shared" ref="N3:N29" si="0">+F3-I3-J3-K3-L3-M3+H3</f>
        <v>6000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3500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1000</v>
      </c>
      <c r="M4" s="8">
        <v>0</v>
      </c>
      <c r="N4" s="14">
        <f t="shared" si="0"/>
        <v>2500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1250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1250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1500</v>
      </c>
      <c r="G8" s="1"/>
      <c r="H8" s="8">
        <v>0</v>
      </c>
      <c r="I8" s="8">
        <v>200</v>
      </c>
      <c r="J8" s="8">
        <v>200</v>
      </c>
      <c r="K8" s="8">
        <v>200</v>
      </c>
      <c r="L8" s="8">
        <v>0</v>
      </c>
      <c r="M8" s="8">
        <v>0</v>
      </c>
      <c r="N8" s="14">
        <f t="shared" si="0"/>
        <v>900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2000</v>
      </c>
      <c r="G10" s="1"/>
      <c r="H10" s="8">
        <v>0</v>
      </c>
      <c r="I10" s="8">
        <v>250</v>
      </c>
      <c r="J10" s="8">
        <v>0</v>
      </c>
      <c r="K10" s="8">
        <v>500</v>
      </c>
      <c r="L10" s="8">
        <v>0</v>
      </c>
      <c r="M10" s="8">
        <v>0</v>
      </c>
      <c r="N10" s="14">
        <f t="shared" si="0"/>
        <v>1250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9425</v>
      </c>
      <c r="G11" s="1">
        <v>0</v>
      </c>
      <c r="H11" s="8">
        <v>0</v>
      </c>
      <c r="I11" s="8">
        <v>750</v>
      </c>
      <c r="J11" s="8">
        <v>0</v>
      </c>
      <c r="K11" s="8">
        <v>15</v>
      </c>
      <c r="L11" s="8">
        <v>1000</v>
      </c>
      <c r="M11" s="8">
        <v>0</v>
      </c>
      <c r="N11" s="14">
        <f t="shared" si="0"/>
        <v>7660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4300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4300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324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324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660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660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2750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2750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559</v>
      </c>
      <c r="G17" s="1">
        <v>165</v>
      </c>
      <c r="H17" s="8">
        <v>0</v>
      </c>
      <c r="I17" s="8">
        <v>20</v>
      </c>
      <c r="J17" s="8">
        <v>120</v>
      </c>
      <c r="K17" s="8">
        <v>60</v>
      </c>
      <c r="L17" s="8">
        <v>20</v>
      </c>
      <c r="M17" s="8">
        <v>0</v>
      </c>
      <c r="N17" s="15">
        <f t="shared" si="0"/>
        <v>339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2800</v>
      </c>
      <c r="G18" s="1"/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2800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84</v>
      </c>
      <c r="G19" s="1"/>
      <c r="H19" s="8">
        <v>100</v>
      </c>
      <c r="I19" s="8">
        <v>0</v>
      </c>
      <c r="J19" s="8">
        <v>95</v>
      </c>
      <c r="K19" s="8">
        <v>0</v>
      </c>
      <c r="L19" s="8">
        <v>0</v>
      </c>
      <c r="M19" s="8">
        <v>0</v>
      </c>
      <c r="N19" s="15">
        <f t="shared" si="0"/>
        <v>89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110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110</v>
      </c>
      <c r="M20" s="8">
        <v>0</v>
      </c>
      <c r="N20" s="15">
        <f t="shared" si="0"/>
        <v>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338</v>
      </c>
      <c r="G21" s="19">
        <v>425</v>
      </c>
      <c r="H21" s="8">
        <v>0</v>
      </c>
      <c r="I21" s="8">
        <v>55</v>
      </c>
      <c r="J21" s="8">
        <v>50</v>
      </c>
      <c r="K21" s="8">
        <v>0</v>
      </c>
      <c r="L21" s="8">
        <v>0</v>
      </c>
      <c r="M21" s="8">
        <v>0</v>
      </c>
      <c r="N21" s="21">
        <f t="shared" si="0"/>
        <v>233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1832</v>
      </c>
      <c r="G22" s="1"/>
      <c r="H22" s="8">
        <v>0</v>
      </c>
      <c r="I22" s="8">
        <v>20</v>
      </c>
      <c r="J22" s="8">
        <v>8</v>
      </c>
      <c r="K22" s="8">
        <v>0</v>
      </c>
      <c r="L22" s="8">
        <v>6</v>
      </c>
      <c r="M22" s="8">
        <v>0</v>
      </c>
      <c r="N22" s="15">
        <f t="shared" si="0"/>
        <v>1798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2798</v>
      </c>
      <c r="G23" s="1"/>
      <c r="H23" s="8">
        <v>968</v>
      </c>
      <c r="I23" s="8">
        <v>161</v>
      </c>
      <c r="J23" s="8">
        <v>0</v>
      </c>
      <c r="K23" s="8">
        <v>1</v>
      </c>
      <c r="L23" s="8">
        <v>80</v>
      </c>
      <c r="M23" s="8">
        <v>0</v>
      </c>
      <c r="N23" s="15">
        <f t="shared" si="0"/>
        <v>3524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100</v>
      </c>
      <c r="G24" s="1"/>
      <c r="H24" s="8">
        <v>100</v>
      </c>
      <c r="I24" s="8">
        <v>0</v>
      </c>
      <c r="J24" s="8">
        <v>95</v>
      </c>
      <c r="K24" s="8">
        <v>0</v>
      </c>
      <c r="L24" s="8">
        <v>10</v>
      </c>
      <c r="M24" s="8">
        <v>0</v>
      </c>
      <c r="N24" s="15">
        <f t="shared" si="0"/>
        <v>95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0</v>
      </c>
      <c r="G25" s="1"/>
      <c r="H25" s="8">
        <v>1000</v>
      </c>
      <c r="I25" s="8">
        <v>0</v>
      </c>
      <c r="J25" s="8">
        <v>126</v>
      </c>
      <c r="K25" s="8">
        <v>135</v>
      </c>
      <c r="L25" s="8">
        <v>270</v>
      </c>
      <c r="M25" s="8">
        <v>0</v>
      </c>
      <c r="N25" s="15">
        <f t="shared" si="0"/>
        <v>469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9975</v>
      </c>
      <c r="G26" s="1"/>
      <c r="H26" s="8">
        <v>0</v>
      </c>
      <c r="I26" s="8">
        <v>400</v>
      </c>
      <c r="J26" s="8">
        <v>800</v>
      </c>
      <c r="K26" s="8">
        <v>2200</v>
      </c>
      <c r="L26" s="8">
        <v>1200</v>
      </c>
      <c r="M26" s="8">
        <v>0</v>
      </c>
      <c r="N26" s="15">
        <f t="shared" si="0"/>
        <v>5375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174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5">
        <f t="shared" si="0"/>
        <v>174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61</v>
      </c>
      <c r="F28" s="40">
        <v>5000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f t="shared" si="0"/>
        <v>5000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740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2</v>
      </c>
      <c r="M29" s="8">
        <v>0</v>
      </c>
      <c r="N29" s="21">
        <f t="shared" si="0"/>
        <v>738</v>
      </c>
      <c r="O29" s="1"/>
      <c r="P29" s="1"/>
      <c r="Q29" s="1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33"/>
  <sheetViews>
    <sheetView topLeftCell="A10" workbookViewId="0">
      <selection activeCell="H22" sqref="H22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45658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45660</v>
      </c>
      <c r="J2" s="6">
        <v>45667</v>
      </c>
      <c r="K2" s="6">
        <v>45674</v>
      </c>
      <c r="L2" s="6">
        <v>45681</v>
      </c>
      <c r="M2" s="6">
        <v>45688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15000</v>
      </c>
      <c r="G3" s="1"/>
      <c r="H3" s="8">
        <v>0</v>
      </c>
      <c r="I3" s="8">
        <v>2000</v>
      </c>
      <c r="J3" s="8">
        <v>500</v>
      </c>
      <c r="K3" s="8">
        <v>1500</v>
      </c>
      <c r="L3" s="8">
        <v>500</v>
      </c>
      <c r="M3" s="8">
        <v>1000</v>
      </c>
      <c r="N3" s="14">
        <f t="shared" ref="N3:N33" si="0">+F3-I3-J3-K3-L3-M3+H3</f>
        <v>9500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1500</v>
      </c>
      <c r="G4" s="1"/>
      <c r="H4" s="8">
        <v>0</v>
      </c>
      <c r="I4" s="8">
        <v>0</v>
      </c>
      <c r="J4" s="8">
        <v>500</v>
      </c>
      <c r="K4" s="8">
        <v>0</v>
      </c>
      <c r="L4" s="8">
        <v>0</v>
      </c>
      <c r="M4" s="8">
        <v>0</v>
      </c>
      <c r="N4" s="14">
        <f t="shared" si="0"/>
        <v>1000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750</v>
      </c>
      <c r="G6" s="1"/>
      <c r="H6" s="8">
        <v>5000</v>
      </c>
      <c r="I6" s="8">
        <v>750</v>
      </c>
      <c r="J6" s="8">
        <v>750</v>
      </c>
      <c r="K6" s="8">
        <v>0</v>
      </c>
      <c r="L6" s="8">
        <v>0</v>
      </c>
      <c r="M6" s="8">
        <v>0</v>
      </c>
      <c r="N6" s="14">
        <f t="shared" si="0"/>
        <v>4250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4000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4000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15000</v>
      </c>
      <c r="G10" s="1"/>
      <c r="H10" s="8">
        <v>0</v>
      </c>
      <c r="I10" s="8">
        <v>1000</v>
      </c>
      <c r="J10" s="8">
        <v>1000</v>
      </c>
      <c r="K10" s="8">
        <v>0</v>
      </c>
      <c r="L10" s="8">
        <v>0</v>
      </c>
      <c r="M10" s="8">
        <v>1000</v>
      </c>
      <c r="N10" s="14">
        <f t="shared" si="0"/>
        <v>12000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1500</v>
      </c>
      <c r="G11" s="1">
        <v>0</v>
      </c>
      <c r="H11" s="8">
        <v>6000</v>
      </c>
      <c r="I11" s="8">
        <v>1800</v>
      </c>
      <c r="J11" s="8">
        <v>0</v>
      </c>
      <c r="K11" s="8">
        <v>400</v>
      </c>
      <c r="L11" s="8">
        <v>1000</v>
      </c>
      <c r="M11" s="8">
        <v>465</v>
      </c>
      <c r="N11" s="14">
        <f t="shared" si="0"/>
        <v>3835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0</v>
      </c>
      <c r="Q12" s="28"/>
    </row>
    <row r="13" spans="1:17" ht="23.25" customHeight="1" x14ac:dyDescent="0.25">
      <c r="A13" s="10">
        <v>11</v>
      </c>
      <c r="B13" s="2" t="s">
        <v>12</v>
      </c>
      <c r="F13" s="9">
        <v>4200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4200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300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300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600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2090</v>
      </c>
      <c r="G16" s="1"/>
      <c r="H16" s="8">
        <v>0</v>
      </c>
      <c r="I16" s="8">
        <v>0</v>
      </c>
      <c r="J16" s="8">
        <v>0</v>
      </c>
      <c r="K16" s="8">
        <v>200</v>
      </c>
      <c r="L16" s="8">
        <v>0</v>
      </c>
      <c r="M16" s="8">
        <v>0</v>
      </c>
      <c r="N16" s="15">
        <f t="shared" si="0"/>
        <v>1890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240</v>
      </c>
      <c r="G17" s="1">
        <v>165</v>
      </c>
      <c r="H17" s="8">
        <v>1000</v>
      </c>
      <c r="I17" s="8">
        <v>60</v>
      </c>
      <c r="J17" s="8">
        <v>100</v>
      </c>
      <c r="K17" s="8">
        <v>60</v>
      </c>
      <c r="L17" s="8">
        <v>120</v>
      </c>
      <c r="M17" s="8">
        <v>40</v>
      </c>
      <c r="N17" s="15">
        <f t="shared" si="0"/>
        <v>860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6500</v>
      </c>
      <c r="G18" s="1">
        <v>500</v>
      </c>
      <c r="H18" s="8">
        <v>0</v>
      </c>
      <c r="I18" s="8">
        <v>0</v>
      </c>
      <c r="J18" s="8">
        <v>500</v>
      </c>
      <c r="K18" s="8">
        <v>900</v>
      </c>
      <c r="L18" s="8">
        <v>0</v>
      </c>
      <c r="M18" s="8">
        <v>0</v>
      </c>
      <c r="N18" s="13">
        <f t="shared" si="0"/>
        <v>5100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110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110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0</v>
      </c>
      <c r="G20" s="1"/>
      <c r="H20" s="8">
        <v>100</v>
      </c>
      <c r="I20" s="8">
        <v>0</v>
      </c>
      <c r="J20" s="8">
        <v>0</v>
      </c>
      <c r="K20" s="8">
        <v>0</v>
      </c>
      <c r="L20" s="8">
        <v>13</v>
      </c>
      <c r="M20" s="8">
        <v>0</v>
      </c>
      <c r="N20" s="15">
        <f t="shared" si="0"/>
        <v>87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230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230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1525</v>
      </c>
      <c r="G22" s="1"/>
      <c r="H22" s="8">
        <v>152</v>
      </c>
      <c r="I22" s="8">
        <v>0</v>
      </c>
      <c r="J22" s="8">
        <v>0</v>
      </c>
      <c r="K22" s="8">
        <v>16</v>
      </c>
      <c r="L22" s="8">
        <v>28</v>
      </c>
      <c r="M22" s="8">
        <v>0</v>
      </c>
      <c r="N22" s="15">
        <f t="shared" si="0"/>
        <v>1633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2898</v>
      </c>
      <c r="G23" s="1"/>
      <c r="H23" s="8">
        <v>2080</v>
      </c>
      <c r="I23" s="8">
        <v>85</v>
      </c>
      <c r="J23" s="8">
        <v>141</v>
      </c>
      <c r="K23" s="8">
        <v>792</v>
      </c>
      <c r="L23" s="8">
        <v>28</v>
      </c>
      <c r="M23" s="8">
        <v>417</v>
      </c>
      <c r="N23" s="15">
        <f t="shared" si="0"/>
        <v>3515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150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1010</v>
      </c>
      <c r="G25" s="1"/>
      <c r="H25" s="8">
        <v>0</v>
      </c>
      <c r="I25" s="8">
        <v>40</v>
      </c>
      <c r="J25" s="8">
        <v>90</v>
      </c>
      <c r="K25" s="8">
        <v>70</v>
      </c>
      <c r="L25" s="8">
        <v>0</v>
      </c>
      <c r="M25" s="8">
        <v>16</v>
      </c>
      <c r="N25" s="15">
        <f t="shared" si="0"/>
        <v>794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1400</v>
      </c>
      <c r="G26" s="1"/>
      <c r="H26" s="8">
        <v>5000</v>
      </c>
      <c r="I26" s="8">
        <v>600</v>
      </c>
      <c r="J26" s="8">
        <v>325</v>
      </c>
      <c r="K26" s="8">
        <v>655</v>
      </c>
      <c r="L26" s="8">
        <v>1000</v>
      </c>
      <c r="M26" s="8">
        <v>1000</v>
      </c>
      <c r="N26" s="15">
        <f t="shared" si="0"/>
        <v>2820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20</v>
      </c>
      <c r="G27" s="1"/>
      <c r="H27" s="8">
        <v>700</v>
      </c>
      <c r="I27" s="8">
        <v>80</v>
      </c>
      <c r="J27" s="8">
        <v>0</v>
      </c>
      <c r="K27" s="8">
        <v>0</v>
      </c>
      <c r="L27" s="8">
        <v>112</v>
      </c>
      <c r="M27" s="8">
        <v>0</v>
      </c>
      <c r="N27" s="15">
        <f t="shared" si="0"/>
        <v>528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61</v>
      </c>
      <c r="F28" s="40">
        <v>5000</v>
      </c>
      <c r="G28" s="19">
        <v>0</v>
      </c>
      <c r="H28" s="8">
        <v>0</v>
      </c>
      <c r="I28" s="8">
        <v>0</v>
      </c>
      <c r="J28" s="8">
        <v>600</v>
      </c>
      <c r="K28" s="8">
        <v>0</v>
      </c>
      <c r="L28" s="8">
        <v>0</v>
      </c>
      <c r="M28" s="8">
        <v>0</v>
      </c>
      <c r="N28" s="21">
        <f t="shared" si="0"/>
        <v>4400</v>
      </c>
      <c r="O28" s="19"/>
      <c r="P28" s="41" t="s">
        <v>48</v>
      </c>
      <c r="Q28" s="42"/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738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738</v>
      </c>
      <c r="O29" s="1"/>
      <c r="P29" s="1"/>
      <c r="Q29" s="1"/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212</v>
      </c>
      <c r="G30" s="1"/>
      <c r="H30" s="8">
        <v>300</v>
      </c>
      <c r="I30" s="8">
        <v>49</v>
      </c>
      <c r="J30" s="8">
        <v>0</v>
      </c>
      <c r="K30" s="8">
        <v>0</v>
      </c>
      <c r="L30" s="8">
        <v>0</v>
      </c>
      <c r="M30" s="8">
        <v>262</v>
      </c>
      <c r="N30" s="15">
        <f t="shared" si="0"/>
        <v>201</v>
      </c>
      <c r="O30" s="1"/>
      <c r="P30" s="1"/>
      <c r="Q30" s="1"/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0</v>
      </c>
      <c r="G31" s="1"/>
      <c r="H31" s="8">
        <v>15</v>
      </c>
      <c r="I31" s="8">
        <v>0</v>
      </c>
      <c r="J31" s="8">
        <v>2</v>
      </c>
      <c r="K31" s="8">
        <v>0</v>
      </c>
      <c r="L31" s="8">
        <v>0</v>
      </c>
      <c r="M31" s="8">
        <v>10</v>
      </c>
      <c r="N31" s="15">
        <f t="shared" si="0"/>
        <v>3</v>
      </c>
      <c r="O31" s="1"/>
      <c r="P31" s="1"/>
      <c r="Q31" s="1"/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2</v>
      </c>
      <c r="G32" s="1"/>
      <c r="H32" s="8">
        <v>14</v>
      </c>
      <c r="I32" s="8">
        <v>0</v>
      </c>
      <c r="J32" s="8">
        <v>2</v>
      </c>
      <c r="K32" s="8">
        <v>0</v>
      </c>
      <c r="L32" s="8">
        <v>0</v>
      </c>
      <c r="M32" s="8">
        <v>7</v>
      </c>
      <c r="N32" s="15">
        <f t="shared" si="0"/>
        <v>7</v>
      </c>
      <c r="O32" s="1"/>
      <c r="P32" s="1"/>
      <c r="Q32" s="1"/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5</v>
      </c>
      <c r="G33" s="1"/>
      <c r="H33" s="8">
        <v>10</v>
      </c>
      <c r="I33" s="8">
        <v>0</v>
      </c>
      <c r="J33" s="8">
        <v>3</v>
      </c>
      <c r="K33" s="8">
        <v>0</v>
      </c>
      <c r="L33" s="8">
        <v>0</v>
      </c>
      <c r="M33" s="8">
        <v>4</v>
      </c>
      <c r="N33" s="1">
        <f t="shared" si="0"/>
        <v>8</v>
      </c>
      <c r="O33" s="1"/>
      <c r="P33" s="1"/>
      <c r="Q33" s="1"/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3"/>
  <sheetViews>
    <sheetView workbookViewId="0">
      <selection activeCell="F3" sqref="F3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45689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45695</v>
      </c>
      <c r="J2" s="6">
        <v>45702</v>
      </c>
      <c r="K2" s="6">
        <v>45709</v>
      </c>
      <c r="L2" s="6">
        <v>45716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9500</v>
      </c>
      <c r="G3" s="1"/>
      <c r="H3" s="8">
        <v>0</v>
      </c>
      <c r="I3" s="8">
        <v>1000</v>
      </c>
      <c r="J3" s="8">
        <v>500</v>
      </c>
      <c r="K3" s="8">
        <v>500</v>
      </c>
      <c r="L3" s="8">
        <v>500</v>
      </c>
      <c r="M3" s="8">
        <v>0</v>
      </c>
      <c r="N3" s="14">
        <f t="shared" ref="N3:N33" si="0">+F3-I3-J3-K3-L3-M3+H3</f>
        <v>7000</v>
      </c>
      <c r="O3" s="1"/>
      <c r="P3" s="34">
        <v>1000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5000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1000</v>
      </c>
      <c r="M4" s="8">
        <v>0</v>
      </c>
      <c r="N4" s="14">
        <f t="shared" si="0"/>
        <v>4000</v>
      </c>
      <c r="O4" s="1"/>
      <c r="P4" s="34">
        <v>5000</v>
      </c>
      <c r="Q4" s="27">
        <v>20000</v>
      </c>
    </row>
    <row r="5" spans="1:17" ht="23.25" customHeight="1" x14ac:dyDescent="0.25">
      <c r="A5" s="10">
        <v>3</v>
      </c>
      <c r="B5" s="2" t="s">
        <v>2</v>
      </c>
      <c r="F5" s="9">
        <v>0</v>
      </c>
      <c r="G5" s="1"/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0</v>
      </c>
      <c r="O5" s="1" t="s">
        <v>50</v>
      </c>
      <c r="P5" s="34">
        <v>300</v>
      </c>
      <c r="Q5" s="27">
        <v>1000</v>
      </c>
    </row>
    <row r="6" spans="1:17" ht="23.25" customHeight="1" x14ac:dyDescent="0.25">
      <c r="A6" s="10">
        <v>4</v>
      </c>
      <c r="B6" s="2" t="s">
        <v>3</v>
      </c>
      <c r="F6" s="9">
        <v>4250</v>
      </c>
      <c r="G6" s="1"/>
      <c r="H6" s="8">
        <v>0</v>
      </c>
      <c r="I6" s="8">
        <v>750</v>
      </c>
      <c r="J6" s="8">
        <v>0</v>
      </c>
      <c r="K6" s="8">
        <v>0</v>
      </c>
      <c r="L6" s="8">
        <v>550</v>
      </c>
      <c r="M6" s="8">
        <v>0</v>
      </c>
      <c r="N6" s="14">
        <f t="shared" si="0"/>
        <v>2950</v>
      </c>
      <c r="O6" s="1" t="s">
        <v>17</v>
      </c>
      <c r="P6" s="34">
        <v>0</v>
      </c>
      <c r="Q6" s="28"/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300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4000</v>
      </c>
      <c r="G8" s="1"/>
      <c r="H8" s="8">
        <v>0</v>
      </c>
      <c r="I8" s="8">
        <v>500</v>
      </c>
      <c r="J8" s="8">
        <v>500</v>
      </c>
      <c r="K8" s="8">
        <v>0</v>
      </c>
      <c r="L8" s="8">
        <v>500</v>
      </c>
      <c r="M8" s="8">
        <v>0</v>
      </c>
      <c r="N8" s="14">
        <f t="shared" si="0"/>
        <v>2500</v>
      </c>
      <c r="O8" s="1" t="s">
        <v>48</v>
      </c>
      <c r="P8" s="34">
        <v>200</v>
      </c>
      <c r="Q8" s="27">
        <v>500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200</v>
      </c>
      <c r="Q9" s="27">
        <v>500</v>
      </c>
    </row>
    <row r="10" spans="1:17" ht="23.25" customHeight="1" x14ac:dyDescent="0.25">
      <c r="A10" s="10">
        <v>8</v>
      </c>
      <c r="B10" s="2" t="s">
        <v>6</v>
      </c>
      <c r="F10" s="9">
        <v>12000</v>
      </c>
      <c r="G10" s="1"/>
      <c r="H10" s="8">
        <v>0</v>
      </c>
      <c r="I10" s="8">
        <v>1000</v>
      </c>
      <c r="J10" s="8">
        <v>1000</v>
      </c>
      <c r="K10" s="8">
        <v>1000</v>
      </c>
      <c r="L10" s="8">
        <v>1000</v>
      </c>
      <c r="M10" s="8">
        <v>0</v>
      </c>
      <c r="N10" s="14">
        <f t="shared" si="0"/>
        <v>8000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3835</v>
      </c>
      <c r="G11" s="1">
        <v>0</v>
      </c>
      <c r="H11" s="8">
        <v>2000</v>
      </c>
      <c r="I11" s="8">
        <v>1800</v>
      </c>
      <c r="J11" s="8">
        <v>1600</v>
      </c>
      <c r="K11" s="8">
        <v>0</v>
      </c>
      <c r="L11" s="8">
        <v>220</v>
      </c>
      <c r="M11" s="8">
        <v>0</v>
      </c>
      <c r="N11" s="14">
        <f t="shared" si="0"/>
        <v>2215</v>
      </c>
      <c r="O11" s="1"/>
      <c r="P11" s="34">
        <v>5000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150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4200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4200</v>
      </c>
      <c r="O13" s="1"/>
      <c r="P13" s="34">
        <v>1000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300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300</v>
      </c>
      <c r="O14" s="1"/>
      <c r="P14" s="34">
        <v>250</v>
      </c>
      <c r="Q14" s="27">
        <v>1000</v>
      </c>
    </row>
    <row r="15" spans="1:17" ht="23.25" customHeight="1" x14ac:dyDescent="0.25">
      <c r="A15" s="10">
        <v>13</v>
      </c>
      <c r="B15" s="2" t="s">
        <v>18</v>
      </c>
      <c r="F15" s="9">
        <v>600</v>
      </c>
      <c r="G15" s="1"/>
      <c r="H15" s="8">
        <v>0</v>
      </c>
      <c r="I15" s="8">
        <v>0</v>
      </c>
      <c r="J15" s="8">
        <v>0</v>
      </c>
      <c r="K15" s="8">
        <v>100</v>
      </c>
      <c r="L15" s="8">
        <v>0</v>
      </c>
      <c r="M15" s="8">
        <v>0</v>
      </c>
      <c r="N15" s="15">
        <f t="shared" si="0"/>
        <v>500</v>
      </c>
      <c r="O15" s="1"/>
      <c r="P15" s="34">
        <v>250</v>
      </c>
      <c r="Q15" s="27">
        <v>500</v>
      </c>
    </row>
    <row r="16" spans="1:17" ht="23.25" customHeight="1" x14ac:dyDescent="0.25">
      <c r="A16" s="10">
        <v>14</v>
      </c>
      <c r="B16" s="2" t="s">
        <v>20</v>
      </c>
      <c r="C16" s="3">
        <v>350</v>
      </c>
      <c r="D16" s="3"/>
      <c r="E16" s="3"/>
      <c r="F16" s="9">
        <v>1890</v>
      </c>
      <c r="G16" s="1"/>
      <c r="H16" s="8">
        <v>0</v>
      </c>
      <c r="I16" s="8">
        <v>750</v>
      </c>
      <c r="J16" s="8">
        <v>0</v>
      </c>
      <c r="K16" s="8">
        <v>500</v>
      </c>
      <c r="L16" s="8">
        <v>0</v>
      </c>
      <c r="M16" s="8">
        <v>0</v>
      </c>
      <c r="N16" s="15">
        <f t="shared" si="0"/>
        <v>640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860</v>
      </c>
      <c r="G17" s="1">
        <v>165</v>
      </c>
      <c r="H17" s="8">
        <v>0</v>
      </c>
      <c r="I17" s="8">
        <v>80</v>
      </c>
      <c r="J17" s="8">
        <v>100</v>
      </c>
      <c r="K17" s="8">
        <v>60</v>
      </c>
      <c r="L17" s="8">
        <v>100</v>
      </c>
      <c r="M17" s="8">
        <v>0</v>
      </c>
      <c r="N17" s="15">
        <f t="shared" si="0"/>
        <v>520</v>
      </c>
      <c r="O17" s="1"/>
      <c r="P17" s="34">
        <v>100</v>
      </c>
      <c r="Q17" s="27">
        <v>500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5100</v>
      </c>
      <c r="G18" s="1">
        <v>500</v>
      </c>
      <c r="H18" s="8">
        <v>0</v>
      </c>
      <c r="I18" s="8">
        <v>450</v>
      </c>
      <c r="J18" s="8">
        <v>450</v>
      </c>
      <c r="K18" s="8">
        <v>900</v>
      </c>
      <c r="L18" s="8">
        <v>0</v>
      </c>
      <c r="M18" s="8">
        <v>0</v>
      </c>
      <c r="N18" s="13">
        <f t="shared" si="0"/>
        <v>3300</v>
      </c>
      <c r="O18" s="1"/>
      <c r="P18" s="34">
        <v>1000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110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110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87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87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230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230</v>
      </c>
      <c r="O21" s="19"/>
      <c r="P21" s="34">
        <v>200</v>
      </c>
      <c r="Q21" s="27">
        <v>500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1633</v>
      </c>
      <c r="G22" s="1"/>
      <c r="H22" s="8">
        <v>0</v>
      </c>
      <c r="I22" s="8">
        <v>2</v>
      </c>
      <c r="J22" s="8">
        <v>0</v>
      </c>
      <c r="K22" s="8">
        <v>18</v>
      </c>
      <c r="L22" s="8">
        <v>0</v>
      </c>
      <c r="M22" s="8">
        <v>0</v>
      </c>
      <c r="N22" s="15">
        <f t="shared" si="0"/>
        <v>1613</v>
      </c>
      <c r="O22" s="1"/>
      <c r="P22" s="34">
        <v>100</v>
      </c>
      <c r="Q22" s="27">
        <v>300</v>
      </c>
    </row>
    <row r="23" spans="1:17" ht="19.5" customHeight="1" x14ac:dyDescent="0.25">
      <c r="A23" s="10">
        <v>21</v>
      </c>
      <c r="B23" s="16" t="s">
        <v>46</v>
      </c>
      <c r="F23" s="32">
        <v>3515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88</v>
      </c>
      <c r="M23" s="8">
        <v>0</v>
      </c>
      <c r="N23" s="15">
        <f t="shared" si="0"/>
        <v>3427</v>
      </c>
      <c r="O23" s="1"/>
      <c r="P23" s="35">
        <v>500</v>
      </c>
      <c r="Q23" s="38">
        <v>1500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150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620</v>
      </c>
      <c r="G25" s="1"/>
      <c r="H25" s="8">
        <v>0</v>
      </c>
      <c r="I25" s="8">
        <v>280</v>
      </c>
      <c r="J25" s="8">
        <v>0</v>
      </c>
      <c r="K25" s="8">
        <v>200</v>
      </c>
      <c r="L25" s="8">
        <v>90</v>
      </c>
      <c r="M25" s="8">
        <v>0</v>
      </c>
      <c r="N25" s="15">
        <f t="shared" si="0"/>
        <v>50</v>
      </c>
      <c r="O25" s="1"/>
      <c r="P25" s="35">
        <v>10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2400</v>
      </c>
      <c r="G26" s="1"/>
      <c r="H26" s="8">
        <v>5400</v>
      </c>
      <c r="I26" s="8">
        <v>600</v>
      </c>
      <c r="J26" s="8">
        <v>1000</v>
      </c>
      <c r="K26" s="8">
        <v>1000</v>
      </c>
      <c r="L26" s="8">
        <v>2400</v>
      </c>
      <c r="M26" s="8">
        <v>0</v>
      </c>
      <c r="N26" s="15">
        <f t="shared" si="0"/>
        <v>2800</v>
      </c>
      <c r="O26" s="1"/>
      <c r="P26" s="35">
        <v>2000</v>
      </c>
      <c r="Q26" s="38">
        <v>10000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528</v>
      </c>
      <c r="G27" s="1"/>
      <c r="H27" s="8">
        <v>0</v>
      </c>
      <c r="I27" s="8">
        <v>180</v>
      </c>
      <c r="J27" s="8">
        <v>50</v>
      </c>
      <c r="K27" s="8">
        <v>5</v>
      </c>
      <c r="L27" s="8">
        <v>0</v>
      </c>
      <c r="M27" s="8">
        <v>0</v>
      </c>
      <c r="N27" s="15">
        <f t="shared" si="0"/>
        <v>293</v>
      </c>
      <c r="O27" s="1"/>
      <c r="P27" s="34">
        <v>100</v>
      </c>
      <c r="Q27" s="27">
        <v>500</v>
      </c>
    </row>
    <row r="28" spans="1:17" ht="18.75" customHeight="1" x14ac:dyDescent="0.25">
      <c r="A28" s="39">
        <v>26</v>
      </c>
      <c r="B28" s="22" t="s">
        <v>61</v>
      </c>
      <c r="F28" s="40">
        <v>4250</v>
      </c>
      <c r="G28" s="19">
        <v>0</v>
      </c>
      <c r="H28" s="8">
        <v>0</v>
      </c>
      <c r="I28" s="8">
        <v>0</v>
      </c>
      <c r="J28" s="8">
        <v>0</v>
      </c>
      <c r="K28" s="8">
        <v>1490</v>
      </c>
      <c r="L28" s="8">
        <v>0</v>
      </c>
      <c r="M28" s="8">
        <v>0</v>
      </c>
      <c r="N28" s="21">
        <f t="shared" si="0"/>
        <v>2760</v>
      </c>
      <c r="O28" s="19"/>
      <c r="P28" s="46">
        <v>500</v>
      </c>
      <c r="Q28" s="47">
        <v>5000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738</v>
      </c>
      <c r="G29" s="1"/>
      <c r="H29" s="8">
        <v>0</v>
      </c>
      <c r="I29" s="8">
        <v>0</v>
      </c>
      <c r="J29" s="8">
        <v>4</v>
      </c>
      <c r="K29" s="8">
        <v>0</v>
      </c>
      <c r="L29" s="8">
        <v>0</v>
      </c>
      <c r="M29" s="8">
        <v>0</v>
      </c>
      <c r="N29" s="15">
        <f t="shared" si="0"/>
        <v>734</v>
      </c>
      <c r="O29" s="1"/>
      <c r="P29" s="10">
        <v>100</v>
      </c>
      <c r="Q29" s="10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201</v>
      </c>
      <c r="G30" s="1"/>
      <c r="H30" s="8">
        <v>0</v>
      </c>
      <c r="I30" s="8">
        <v>0</v>
      </c>
      <c r="J30" s="8">
        <v>12</v>
      </c>
      <c r="K30" s="8">
        <v>0</v>
      </c>
      <c r="L30" s="8">
        <v>0</v>
      </c>
      <c r="M30" s="8">
        <v>0</v>
      </c>
      <c r="N30" s="15">
        <f t="shared" si="0"/>
        <v>189</v>
      </c>
      <c r="O30" s="1"/>
      <c r="P30" s="10">
        <v>100</v>
      </c>
      <c r="Q30" s="10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0</v>
      </c>
      <c r="G31" s="1"/>
      <c r="H31" s="8">
        <v>15</v>
      </c>
      <c r="I31" s="8">
        <v>5</v>
      </c>
      <c r="J31" s="8">
        <v>0</v>
      </c>
      <c r="K31" s="8">
        <v>0</v>
      </c>
      <c r="L31" s="8">
        <v>2</v>
      </c>
      <c r="M31" s="8">
        <v>0</v>
      </c>
      <c r="N31" s="15">
        <f t="shared" si="0"/>
        <v>8</v>
      </c>
      <c r="O31" s="1"/>
      <c r="P31" s="10">
        <v>10</v>
      </c>
      <c r="Q31" s="10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7</v>
      </c>
      <c r="G32" s="1"/>
      <c r="H32" s="8">
        <v>15</v>
      </c>
      <c r="I32" s="8">
        <v>3</v>
      </c>
      <c r="J32" s="8">
        <v>0</v>
      </c>
      <c r="K32" s="8">
        <v>5</v>
      </c>
      <c r="L32" s="8">
        <v>3</v>
      </c>
      <c r="M32" s="8">
        <v>0</v>
      </c>
      <c r="N32" s="15">
        <f t="shared" si="0"/>
        <v>11</v>
      </c>
      <c r="O32" s="1"/>
      <c r="P32" s="10">
        <v>7</v>
      </c>
      <c r="Q32" s="10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8</v>
      </c>
      <c r="G33" s="1"/>
      <c r="H33" s="8">
        <v>3</v>
      </c>
      <c r="I33" s="8">
        <v>1</v>
      </c>
      <c r="J33" s="8">
        <v>0</v>
      </c>
      <c r="K33" s="8">
        <v>8</v>
      </c>
      <c r="L33" s="8">
        <v>1</v>
      </c>
      <c r="M33" s="8">
        <v>0</v>
      </c>
      <c r="N33" s="1">
        <f t="shared" si="0"/>
        <v>1</v>
      </c>
      <c r="O33" s="1"/>
      <c r="P33" s="10">
        <v>5</v>
      </c>
      <c r="Q33" s="10">
        <v>20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37"/>
  <sheetViews>
    <sheetView topLeftCell="A13" workbookViewId="0">
      <selection activeCell="L31" sqref="L3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>
        <v>45717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45723</v>
      </c>
      <c r="J2" s="6">
        <v>45730</v>
      </c>
      <c r="K2" s="6">
        <v>45737</v>
      </c>
      <c r="L2" s="6">
        <v>45744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7000</v>
      </c>
      <c r="G3" s="1"/>
      <c r="H3" s="8">
        <v>0</v>
      </c>
      <c r="I3" s="8">
        <v>500</v>
      </c>
      <c r="J3" s="8">
        <v>500</v>
      </c>
      <c r="K3" s="8">
        <v>0</v>
      </c>
      <c r="L3" s="8">
        <v>500</v>
      </c>
      <c r="M3" s="8">
        <v>0</v>
      </c>
      <c r="N3" s="14">
        <f t="shared" ref="N3:N37" si="0">+F3-I3-J3-K3-L3-M3+H3</f>
        <v>5500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4000</v>
      </c>
      <c r="G4" s="1"/>
      <c r="H4" s="8">
        <v>10000</v>
      </c>
      <c r="I4" s="8">
        <v>500</v>
      </c>
      <c r="J4" s="8">
        <v>1000</v>
      </c>
      <c r="K4" s="8">
        <v>0</v>
      </c>
      <c r="L4" s="8">
        <v>0</v>
      </c>
      <c r="M4" s="8">
        <v>0</v>
      </c>
      <c r="N4" s="14">
        <f t="shared" si="0"/>
        <v>12500</v>
      </c>
      <c r="O4" s="1"/>
      <c r="P4" s="34">
        <v>7500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1000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1000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2950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2950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500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2500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2500</v>
      </c>
      <c r="O8" s="1" t="s">
        <v>48</v>
      </c>
      <c r="P8" s="34">
        <v>3000</v>
      </c>
      <c r="Q8" s="27">
        <v>15000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105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8000</v>
      </c>
      <c r="G10" s="1"/>
      <c r="H10" s="8">
        <v>20000</v>
      </c>
      <c r="I10" s="8">
        <v>1000</v>
      </c>
      <c r="J10" s="8">
        <v>1000</v>
      </c>
      <c r="K10" s="8">
        <v>0</v>
      </c>
      <c r="L10" s="8">
        <v>500</v>
      </c>
      <c r="M10" s="8">
        <v>0</v>
      </c>
      <c r="N10" s="14">
        <f t="shared" si="0"/>
        <v>25500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2215</v>
      </c>
      <c r="G11" s="1">
        <v>0</v>
      </c>
      <c r="H11" s="8">
        <v>12410</v>
      </c>
      <c r="I11" s="8">
        <v>0</v>
      </c>
      <c r="J11" s="8">
        <v>200</v>
      </c>
      <c r="K11" s="8">
        <v>0</v>
      </c>
      <c r="L11" s="8">
        <v>1000</v>
      </c>
      <c r="M11" s="8">
        <v>0</v>
      </c>
      <c r="N11" s="14">
        <f t="shared" si="0"/>
        <v>13425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1192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4200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4200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300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300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640</v>
      </c>
      <c r="G16" s="1"/>
      <c r="H16" s="8">
        <v>1050</v>
      </c>
      <c r="I16" s="8">
        <v>0</v>
      </c>
      <c r="J16" s="8">
        <v>0</v>
      </c>
      <c r="K16" s="8">
        <v>250</v>
      </c>
      <c r="L16" s="8">
        <v>0</v>
      </c>
      <c r="M16" s="8">
        <v>0</v>
      </c>
      <c r="N16" s="15">
        <f t="shared" si="0"/>
        <v>1440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520</v>
      </c>
      <c r="G17" s="1">
        <v>165</v>
      </c>
      <c r="H17" s="8">
        <v>0</v>
      </c>
      <c r="I17" s="8">
        <v>60</v>
      </c>
      <c r="J17" s="8">
        <v>40</v>
      </c>
      <c r="K17" s="8">
        <v>20</v>
      </c>
      <c r="L17" s="8">
        <v>40</v>
      </c>
      <c r="M17" s="8">
        <v>0</v>
      </c>
      <c r="N17" s="15">
        <f t="shared" si="0"/>
        <v>360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3300</v>
      </c>
      <c r="G18" s="1">
        <v>500</v>
      </c>
      <c r="H18" s="8">
        <v>5000</v>
      </c>
      <c r="I18" s="8">
        <v>900</v>
      </c>
      <c r="J18" s="8">
        <v>450</v>
      </c>
      <c r="K18" s="8">
        <v>450</v>
      </c>
      <c r="L18" s="8">
        <v>500</v>
      </c>
      <c r="M18" s="8">
        <v>0</v>
      </c>
      <c r="N18" s="13">
        <f t="shared" si="0"/>
        <v>6000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110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110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87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87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230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10</v>
      </c>
      <c r="M21" s="8">
        <v>0</v>
      </c>
      <c r="N21" s="21">
        <f t="shared" si="0"/>
        <v>220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1613</v>
      </c>
      <c r="G22" s="1"/>
      <c r="H22" s="8">
        <v>0</v>
      </c>
      <c r="I22" s="8">
        <v>17</v>
      </c>
      <c r="J22" s="8">
        <v>72</v>
      </c>
      <c r="K22" s="8">
        <v>0</v>
      </c>
      <c r="L22" s="8">
        <v>0</v>
      </c>
      <c r="M22" s="8">
        <v>0</v>
      </c>
      <c r="N22" s="15">
        <f t="shared" si="0"/>
        <v>1524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3427</v>
      </c>
      <c r="G23" s="1"/>
      <c r="H23" s="8">
        <v>0</v>
      </c>
      <c r="I23" s="8">
        <v>110</v>
      </c>
      <c r="J23" s="8">
        <v>88</v>
      </c>
      <c r="K23" s="8">
        <v>104</v>
      </c>
      <c r="L23" s="8">
        <v>0</v>
      </c>
      <c r="M23" s="8">
        <v>0</v>
      </c>
      <c r="N23" s="15">
        <f t="shared" si="0"/>
        <v>3125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150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50</v>
      </c>
      <c r="G25" s="1"/>
      <c r="H25" s="8">
        <v>2000</v>
      </c>
      <c r="I25" s="8">
        <v>0</v>
      </c>
      <c r="J25" s="8">
        <v>0</v>
      </c>
      <c r="K25" s="8">
        <v>0</v>
      </c>
      <c r="L25" s="8">
        <v>10</v>
      </c>
      <c r="M25" s="8">
        <v>0</v>
      </c>
      <c r="N25" s="15">
        <f t="shared" si="0"/>
        <v>2040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2800</v>
      </c>
      <c r="G26" s="1"/>
      <c r="H26" s="8">
        <v>15000</v>
      </c>
      <c r="I26" s="8">
        <v>2400</v>
      </c>
      <c r="J26" s="8">
        <v>400</v>
      </c>
      <c r="K26" s="8">
        <v>400</v>
      </c>
      <c r="L26" s="8">
        <v>50</v>
      </c>
      <c r="M26" s="8">
        <v>0</v>
      </c>
      <c r="N26" s="15">
        <f t="shared" si="0"/>
        <v>14550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293</v>
      </c>
      <c r="G27" s="1"/>
      <c r="H27" s="8">
        <v>500</v>
      </c>
      <c r="I27" s="8">
        <v>0</v>
      </c>
      <c r="J27" s="8">
        <v>13</v>
      </c>
      <c r="K27" s="8">
        <v>418</v>
      </c>
      <c r="L27" s="8">
        <v>0</v>
      </c>
      <c r="M27" s="8">
        <v>0</v>
      </c>
      <c r="N27" s="15">
        <f t="shared" si="0"/>
        <v>362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734</v>
      </c>
      <c r="G29" s="1"/>
      <c r="H29" s="8">
        <v>0</v>
      </c>
      <c r="I29" s="8">
        <v>12</v>
      </c>
      <c r="J29" s="8">
        <v>0</v>
      </c>
      <c r="K29" s="8">
        <v>0</v>
      </c>
      <c r="L29" s="8">
        <v>1</v>
      </c>
      <c r="M29" s="8">
        <v>0</v>
      </c>
      <c r="N29" s="15">
        <f t="shared" si="0"/>
        <v>721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189</v>
      </c>
      <c r="G30" s="1"/>
      <c r="H30" s="8">
        <v>0</v>
      </c>
      <c r="I30" s="8">
        <v>3</v>
      </c>
      <c r="J30" s="8">
        <v>8</v>
      </c>
      <c r="K30" s="8">
        <v>4</v>
      </c>
      <c r="L30" s="8">
        <v>21</v>
      </c>
      <c r="M30" s="8">
        <v>0</v>
      </c>
      <c r="N30" s="15">
        <f t="shared" si="0"/>
        <v>153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8</v>
      </c>
      <c r="G31" s="1"/>
      <c r="H31" s="8">
        <v>0</v>
      </c>
      <c r="I31" s="8">
        <v>3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11</v>
      </c>
      <c r="G32" s="1"/>
      <c r="H32" s="8">
        <v>0</v>
      </c>
      <c r="I32" s="8">
        <v>4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7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/>
      <c r="G34" s="1"/>
      <c r="H34" s="10">
        <v>800</v>
      </c>
      <c r="I34" s="10">
        <v>200</v>
      </c>
      <c r="J34" s="10"/>
      <c r="K34" s="10"/>
      <c r="L34" s="10">
        <v>50</v>
      </c>
      <c r="M34" s="10"/>
      <c r="N34" s="48">
        <f t="shared" si="0"/>
        <v>550</v>
      </c>
      <c r="O34" s="1"/>
      <c r="P34" s="35">
        <v>500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2000</v>
      </c>
      <c r="G35" s="1"/>
      <c r="H35" s="1"/>
      <c r="I35" s="10"/>
      <c r="J35" s="10"/>
      <c r="K35" s="10"/>
      <c r="L35" s="10"/>
      <c r="M35" s="10"/>
      <c r="N35" s="48">
        <f t="shared" si="0"/>
        <v>2000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A93F-4344-4A76-A46D-66D21B978F70}">
  <dimension ref="A1:Q37"/>
  <sheetViews>
    <sheetView workbookViewId="0">
      <selection activeCell="M31" sqref="M3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72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45751</v>
      </c>
      <c r="J2" s="6">
        <v>45758</v>
      </c>
      <c r="K2" s="6">
        <v>45765</v>
      </c>
      <c r="L2" s="6">
        <v>45772</v>
      </c>
      <c r="M2" s="6">
        <v>45777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5500</v>
      </c>
      <c r="G3" s="1"/>
      <c r="H3" s="8">
        <v>0</v>
      </c>
      <c r="I3" s="8">
        <v>500</v>
      </c>
      <c r="J3" s="8">
        <v>500</v>
      </c>
      <c r="K3" s="8">
        <v>500</v>
      </c>
      <c r="L3" s="8">
        <v>580</v>
      </c>
      <c r="M3" s="8">
        <v>500</v>
      </c>
      <c r="N3" s="14">
        <f t="shared" ref="N3:N37" si="0">+F3-I3-J3-K3-L3-M3+H3</f>
        <v>2920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12500</v>
      </c>
      <c r="G4" s="1"/>
      <c r="H4" s="8">
        <v>0</v>
      </c>
      <c r="I4" s="8">
        <v>1500</v>
      </c>
      <c r="J4" s="8">
        <v>1000</v>
      </c>
      <c r="K4" s="8">
        <v>1000</v>
      </c>
      <c r="L4" s="8">
        <v>1000</v>
      </c>
      <c r="M4" s="8">
        <v>1000</v>
      </c>
      <c r="N4" s="14">
        <f t="shared" si="0"/>
        <v>7000</v>
      </c>
      <c r="O4" s="1"/>
      <c r="P4" s="34">
        <v>7500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1000</v>
      </c>
      <c r="G5" s="1">
        <v>1000</v>
      </c>
      <c r="H5" s="8">
        <v>0</v>
      </c>
      <c r="I5" s="8">
        <v>0</v>
      </c>
      <c r="J5" s="8">
        <v>0</v>
      </c>
      <c r="K5" s="8">
        <v>130</v>
      </c>
      <c r="L5" s="8">
        <v>0</v>
      </c>
      <c r="M5" s="8">
        <v>0</v>
      </c>
      <c r="N5" s="14">
        <f t="shared" si="0"/>
        <v>870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2950</v>
      </c>
      <c r="G6" s="1"/>
      <c r="H6" s="8">
        <v>0</v>
      </c>
      <c r="I6" s="8">
        <v>0</v>
      </c>
      <c r="J6" s="8">
        <v>0</v>
      </c>
      <c r="K6" s="8">
        <v>500</v>
      </c>
      <c r="L6" s="8">
        <v>0</v>
      </c>
      <c r="M6" s="8">
        <v>0</v>
      </c>
      <c r="N6" s="14">
        <f t="shared" si="0"/>
        <v>2450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500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2500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2500</v>
      </c>
      <c r="O8" s="1" t="s">
        <v>48</v>
      </c>
      <c r="P8" s="34">
        <v>3000</v>
      </c>
      <c r="Q8" s="27">
        <v>15000</v>
      </c>
    </row>
    <row r="9" spans="1:17" ht="23.25" customHeight="1" x14ac:dyDescent="0.25">
      <c r="A9" s="10">
        <v>7</v>
      </c>
      <c r="B9" s="2" t="s">
        <v>5</v>
      </c>
      <c r="F9" s="9">
        <v>105</v>
      </c>
      <c r="G9" s="1"/>
      <c r="H9" s="8">
        <v>2000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2105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25500</v>
      </c>
      <c r="G10" s="1"/>
      <c r="H10" s="8">
        <v>0</v>
      </c>
      <c r="I10" s="8">
        <v>1000</v>
      </c>
      <c r="J10" s="8">
        <v>0</v>
      </c>
      <c r="K10" s="8">
        <v>1000</v>
      </c>
      <c r="L10" s="8">
        <v>0</v>
      </c>
      <c r="M10" s="8">
        <v>5000</v>
      </c>
      <c r="N10" s="14">
        <f t="shared" si="0"/>
        <v>18500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13425</v>
      </c>
      <c r="G11" s="1">
        <v>0</v>
      </c>
      <c r="H11" s="8">
        <v>0</v>
      </c>
      <c r="I11" s="8">
        <v>200</v>
      </c>
      <c r="J11" s="8">
        <v>400</v>
      </c>
      <c r="K11" s="8">
        <v>400</v>
      </c>
      <c r="L11" s="8">
        <v>1200</v>
      </c>
      <c r="M11" s="8">
        <v>600</v>
      </c>
      <c r="N11" s="14">
        <f t="shared" si="0"/>
        <v>10625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1192</v>
      </c>
      <c r="G12" s="1"/>
      <c r="H12" s="8">
        <v>0</v>
      </c>
      <c r="I12" s="8">
        <v>0</v>
      </c>
      <c r="J12" s="8">
        <v>1</v>
      </c>
      <c r="K12" s="8">
        <v>4</v>
      </c>
      <c r="L12" s="8">
        <v>0</v>
      </c>
      <c r="M12" s="8">
        <v>0</v>
      </c>
      <c r="N12" s="14">
        <f t="shared" si="0"/>
        <v>1187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2200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1500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300</v>
      </c>
      <c r="N14" s="15">
        <f t="shared" si="0"/>
        <v>200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1440</v>
      </c>
      <c r="G16" s="1"/>
      <c r="H16" s="8">
        <v>0</v>
      </c>
      <c r="I16" s="8">
        <v>0</v>
      </c>
      <c r="J16" s="8">
        <v>20</v>
      </c>
      <c r="K16" s="8">
        <v>0</v>
      </c>
      <c r="L16" s="8">
        <v>0</v>
      </c>
      <c r="M16" s="8">
        <v>0</v>
      </c>
      <c r="N16" s="15">
        <f t="shared" si="0"/>
        <v>1420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170</v>
      </c>
      <c r="G17" s="1">
        <v>165</v>
      </c>
      <c r="H17" s="8">
        <v>500</v>
      </c>
      <c r="I17" s="8">
        <v>40</v>
      </c>
      <c r="J17" s="8">
        <v>20</v>
      </c>
      <c r="K17" s="8">
        <v>80</v>
      </c>
      <c r="L17" s="8">
        <v>100</v>
      </c>
      <c r="M17" s="8">
        <v>0</v>
      </c>
      <c r="N17" s="15">
        <f t="shared" si="0"/>
        <v>430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7200</v>
      </c>
      <c r="G18" s="1">
        <v>500</v>
      </c>
      <c r="H18" s="8">
        <v>0</v>
      </c>
      <c r="I18" s="8">
        <v>0</v>
      </c>
      <c r="J18" s="8">
        <v>450</v>
      </c>
      <c r="K18" s="8">
        <v>450</v>
      </c>
      <c r="L18" s="8">
        <v>200</v>
      </c>
      <c r="M18" s="8">
        <v>0</v>
      </c>
      <c r="N18" s="13">
        <f t="shared" si="0"/>
        <v>6100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110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110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87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87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220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220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1524</v>
      </c>
      <c r="G22" s="1"/>
      <c r="H22" s="8">
        <v>0</v>
      </c>
      <c r="I22" s="8">
        <v>0</v>
      </c>
      <c r="J22" s="8">
        <v>20</v>
      </c>
      <c r="K22" s="8">
        <v>28</v>
      </c>
      <c r="L22" s="8">
        <v>0</v>
      </c>
      <c r="M22" s="8">
        <v>0</v>
      </c>
      <c r="N22" s="15">
        <f t="shared" si="0"/>
        <v>1476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3125</v>
      </c>
      <c r="G23" s="1"/>
      <c r="H23" s="8">
        <v>504</v>
      </c>
      <c r="I23" s="8">
        <v>16</v>
      </c>
      <c r="J23" s="8">
        <v>224</v>
      </c>
      <c r="K23" s="8">
        <v>633</v>
      </c>
      <c r="L23" s="8">
        <v>152</v>
      </c>
      <c r="M23" s="8">
        <v>40</v>
      </c>
      <c r="N23" s="15">
        <f t="shared" si="0"/>
        <v>2564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150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2040</v>
      </c>
      <c r="G25" s="1"/>
      <c r="H25" s="8">
        <v>0</v>
      </c>
      <c r="I25" s="8">
        <v>0</v>
      </c>
      <c r="J25" s="8">
        <v>180</v>
      </c>
      <c r="K25" s="8">
        <v>465</v>
      </c>
      <c r="L25" s="8">
        <v>0</v>
      </c>
      <c r="M25" s="8">
        <v>0</v>
      </c>
      <c r="N25" s="15">
        <f t="shared" si="0"/>
        <v>1395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14550</v>
      </c>
      <c r="G26" s="1"/>
      <c r="H26" s="8">
        <v>0</v>
      </c>
      <c r="I26" s="8">
        <v>0</v>
      </c>
      <c r="J26" s="8">
        <v>800</v>
      </c>
      <c r="K26" s="8">
        <v>800</v>
      </c>
      <c r="L26" s="8">
        <v>600</v>
      </c>
      <c r="M26" s="8">
        <v>1000</v>
      </c>
      <c r="N26" s="15">
        <f t="shared" si="0"/>
        <v>11350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362</v>
      </c>
      <c r="G27" s="1"/>
      <c r="H27" s="8">
        <v>0</v>
      </c>
      <c r="I27" s="8">
        <v>0</v>
      </c>
      <c r="J27" s="8">
        <v>0</v>
      </c>
      <c r="K27" s="8">
        <v>56</v>
      </c>
      <c r="L27" s="8">
        <v>205</v>
      </c>
      <c r="M27" s="8">
        <v>25</v>
      </c>
      <c r="N27" s="15">
        <f t="shared" si="0"/>
        <v>76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721</v>
      </c>
      <c r="G29" s="1"/>
      <c r="H29" s="8">
        <v>0</v>
      </c>
      <c r="I29" s="8">
        <v>0</v>
      </c>
      <c r="J29" s="8">
        <v>12</v>
      </c>
      <c r="K29" s="8">
        <v>0</v>
      </c>
      <c r="L29" s="8">
        <v>0</v>
      </c>
      <c r="M29" s="8">
        <v>0</v>
      </c>
      <c r="N29" s="15">
        <f t="shared" si="0"/>
        <v>709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160</v>
      </c>
      <c r="G30" s="1"/>
      <c r="H30" s="8">
        <v>0</v>
      </c>
      <c r="I30" s="8">
        <v>10</v>
      </c>
      <c r="J30" s="8">
        <v>102</v>
      </c>
      <c r="K30" s="8">
        <v>0</v>
      </c>
      <c r="L30" s="8">
        <v>0</v>
      </c>
      <c r="M30" s="8">
        <v>1</v>
      </c>
      <c r="N30" s="15">
        <f t="shared" si="0"/>
        <v>47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7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7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550</v>
      </c>
      <c r="G34" s="1"/>
      <c r="H34" s="8">
        <v>0</v>
      </c>
      <c r="I34" s="8">
        <v>0</v>
      </c>
      <c r="J34" s="8">
        <v>0</v>
      </c>
      <c r="K34" s="8">
        <v>100</v>
      </c>
      <c r="L34" s="8">
        <v>0</v>
      </c>
      <c r="M34" s="8">
        <v>0</v>
      </c>
      <c r="N34" s="48">
        <f t="shared" si="0"/>
        <v>450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2000</v>
      </c>
      <c r="G35" s="1"/>
      <c r="H35" s="8">
        <v>0</v>
      </c>
      <c r="I35" s="8">
        <v>0</v>
      </c>
      <c r="J35" s="8">
        <v>0</v>
      </c>
      <c r="K35" s="8">
        <v>200</v>
      </c>
      <c r="L35" s="8">
        <v>0</v>
      </c>
      <c r="M35" s="8">
        <v>0</v>
      </c>
      <c r="N35" s="48">
        <f t="shared" si="0"/>
        <v>1800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DB03-D433-4A29-B42B-68360EA12248}">
  <dimension ref="A1:Q37"/>
  <sheetViews>
    <sheetView topLeftCell="A7" workbookViewId="0">
      <selection activeCell="L14" sqref="L1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73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45786</v>
      </c>
      <c r="J2" s="6">
        <v>45793</v>
      </c>
      <c r="K2" s="6">
        <v>45800</v>
      </c>
      <c r="L2" s="6">
        <v>45807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2920</v>
      </c>
      <c r="G3" s="1"/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4">
        <f t="shared" ref="N3:N37" si="0">+F3-I3-J3-K3-L3-M3+H3</f>
        <v>2920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7000</v>
      </c>
      <c r="G4" s="1"/>
      <c r="H4" s="8">
        <v>0</v>
      </c>
      <c r="I4" s="8">
        <v>1000</v>
      </c>
      <c r="J4" s="8">
        <v>0</v>
      </c>
      <c r="K4" s="8">
        <v>0</v>
      </c>
      <c r="L4" s="8">
        <v>1000</v>
      </c>
      <c r="M4" s="8">
        <v>0</v>
      </c>
      <c r="N4" s="14">
        <f t="shared" si="0"/>
        <v>5000</v>
      </c>
      <c r="O4" s="1"/>
      <c r="P4" s="34">
        <v>7500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870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870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2450</v>
      </c>
      <c r="G6" s="1"/>
      <c r="H6" s="8">
        <v>0</v>
      </c>
      <c r="I6" s="8">
        <v>290</v>
      </c>
      <c r="J6" s="8">
        <v>100</v>
      </c>
      <c r="K6" s="8">
        <v>0</v>
      </c>
      <c r="L6" s="8">
        <v>0</v>
      </c>
      <c r="M6" s="8">
        <v>0</v>
      </c>
      <c r="N6" s="14">
        <f t="shared" si="0"/>
        <v>2060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500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2500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2500</v>
      </c>
      <c r="O8" s="1" t="s">
        <v>48</v>
      </c>
      <c r="P8" s="34">
        <v>3000</v>
      </c>
      <c r="Q8" s="27">
        <v>15000</v>
      </c>
    </row>
    <row r="9" spans="1:17" ht="23.25" customHeight="1" x14ac:dyDescent="0.25">
      <c r="A9" s="10">
        <v>7</v>
      </c>
      <c r="B9" s="2" t="s">
        <v>5</v>
      </c>
      <c r="F9" s="9">
        <v>2105</v>
      </c>
      <c r="G9" s="1"/>
      <c r="H9" s="8">
        <v>0</v>
      </c>
      <c r="I9" s="8">
        <v>150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1955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18500</v>
      </c>
      <c r="G10" s="1"/>
      <c r="H10" s="8">
        <v>0</v>
      </c>
      <c r="I10" s="8">
        <v>5000</v>
      </c>
      <c r="J10" s="8">
        <v>5000</v>
      </c>
      <c r="K10" s="8">
        <v>0</v>
      </c>
      <c r="L10" s="8">
        <v>0</v>
      </c>
      <c r="M10" s="8">
        <v>0</v>
      </c>
      <c r="N10" s="14">
        <f t="shared" si="0"/>
        <v>8500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10625</v>
      </c>
      <c r="G11" s="1">
        <v>0</v>
      </c>
      <c r="H11" s="8">
        <v>0</v>
      </c>
      <c r="I11" s="8">
        <v>600</v>
      </c>
      <c r="J11" s="8">
        <v>200</v>
      </c>
      <c r="K11" s="8">
        <v>1400</v>
      </c>
      <c r="L11" s="8">
        <v>600</v>
      </c>
      <c r="M11" s="8">
        <v>0</v>
      </c>
      <c r="N11" s="14">
        <f t="shared" si="0"/>
        <v>7825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1187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1187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200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90</v>
      </c>
      <c r="M14" s="8">
        <v>0</v>
      </c>
      <c r="N14" s="15">
        <f t="shared" si="0"/>
        <v>110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1420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1420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430</v>
      </c>
      <c r="G17" s="1">
        <v>165</v>
      </c>
      <c r="H17" s="8">
        <v>0</v>
      </c>
      <c r="I17" s="8">
        <v>120</v>
      </c>
      <c r="J17" s="8">
        <v>40</v>
      </c>
      <c r="K17" s="8">
        <v>60</v>
      </c>
      <c r="L17" s="8">
        <v>40</v>
      </c>
      <c r="M17" s="8">
        <v>0</v>
      </c>
      <c r="N17" s="15">
        <f t="shared" si="0"/>
        <v>170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6100</v>
      </c>
      <c r="G18" s="1">
        <v>500</v>
      </c>
      <c r="H18" s="8">
        <v>0</v>
      </c>
      <c r="I18" s="8">
        <v>450</v>
      </c>
      <c r="J18" s="8">
        <v>0</v>
      </c>
      <c r="K18" s="8">
        <v>0</v>
      </c>
      <c r="L18" s="8">
        <v>400</v>
      </c>
      <c r="M18" s="8">
        <v>0</v>
      </c>
      <c r="N18" s="13">
        <f t="shared" si="0"/>
        <v>5250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110</v>
      </c>
      <c r="G19" s="1"/>
      <c r="H19" s="8">
        <v>0</v>
      </c>
      <c r="I19" s="8">
        <v>0</v>
      </c>
      <c r="J19" s="8">
        <v>30</v>
      </c>
      <c r="K19" s="8">
        <v>1</v>
      </c>
      <c r="L19" s="8">
        <v>0</v>
      </c>
      <c r="M19" s="8">
        <v>0</v>
      </c>
      <c r="N19" s="15">
        <f t="shared" si="0"/>
        <v>79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87</v>
      </c>
      <c r="G20" s="1"/>
      <c r="H20" s="8">
        <v>0</v>
      </c>
      <c r="I20" s="8">
        <v>0</v>
      </c>
      <c r="J20" s="8">
        <v>30</v>
      </c>
      <c r="K20" s="8">
        <v>0</v>
      </c>
      <c r="L20" s="8">
        <v>0</v>
      </c>
      <c r="M20" s="8">
        <v>0</v>
      </c>
      <c r="N20" s="15">
        <f t="shared" si="0"/>
        <v>57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220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220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1476</v>
      </c>
      <c r="G22" s="1"/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15">
        <f t="shared" si="0"/>
        <v>1476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2564</v>
      </c>
      <c r="G23" s="1"/>
      <c r="H23" s="8">
        <v>504</v>
      </c>
      <c r="I23" s="8">
        <v>47</v>
      </c>
      <c r="J23" s="8">
        <v>24</v>
      </c>
      <c r="K23" s="8">
        <v>44</v>
      </c>
      <c r="L23" s="8">
        <v>504</v>
      </c>
      <c r="M23" s="8">
        <v>0</v>
      </c>
      <c r="N23" s="15">
        <f t="shared" si="0"/>
        <v>2449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150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1395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1395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11350</v>
      </c>
      <c r="G26" s="1"/>
      <c r="H26" s="8">
        <v>0</v>
      </c>
      <c r="I26" s="8">
        <v>800</v>
      </c>
      <c r="J26" s="8">
        <v>600</v>
      </c>
      <c r="K26" s="8">
        <v>1200</v>
      </c>
      <c r="L26" s="8">
        <v>600</v>
      </c>
      <c r="M26" s="8">
        <v>0</v>
      </c>
      <c r="N26" s="15">
        <f t="shared" si="0"/>
        <v>8150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76</v>
      </c>
      <c r="G27" s="1"/>
      <c r="H27" s="8">
        <v>500</v>
      </c>
      <c r="I27" s="8">
        <v>41</v>
      </c>
      <c r="J27" s="8">
        <v>10</v>
      </c>
      <c r="K27" s="8">
        <v>34</v>
      </c>
      <c r="L27" s="8">
        <v>10</v>
      </c>
      <c r="M27" s="8">
        <v>0</v>
      </c>
      <c r="N27" s="15">
        <f t="shared" si="0"/>
        <v>481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709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709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47</v>
      </c>
      <c r="G30" s="1"/>
      <c r="H30" s="8">
        <v>120</v>
      </c>
      <c r="I30" s="8">
        <v>8</v>
      </c>
      <c r="J30" s="8">
        <v>0</v>
      </c>
      <c r="K30" s="8">
        <v>26</v>
      </c>
      <c r="L30" s="8">
        <v>18</v>
      </c>
      <c r="M30" s="8">
        <v>0</v>
      </c>
      <c r="N30" s="15">
        <f t="shared" si="0"/>
        <v>115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7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7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450</v>
      </c>
      <c r="G34" s="1"/>
      <c r="H34" s="8">
        <v>0</v>
      </c>
      <c r="I34" s="8">
        <v>0</v>
      </c>
      <c r="J34" s="8">
        <v>0</v>
      </c>
      <c r="K34" s="8">
        <v>40</v>
      </c>
      <c r="L34" s="8">
        <v>40</v>
      </c>
      <c r="M34" s="8">
        <v>0</v>
      </c>
      <c r="N34" s="48">
        <f t="shared" si="0"/>
        <v>370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1800</v>
      </c>
      <c r="G35" s="1"/>
      <c r="H35" s="8">
        <v>0</v>
      </c>
      <c r="I35" s="8">
        <v>120</v>
      </c>
      <c r="J35" s="8">
        <v>120</v>
      </c>
      <c r="K35" s="8">
        <v>80</v>
      </c>
      <c r="L35" s="8">
        <v>0</v>
      </c>
      <c r="M35" s="8">
        <v>0</v>
      </c>
      <c r="N35" s="48">
        <f t="shared" si="0"/>
        <v>1480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5B0A-2477-4E63-9EE3-E9C483092165}">
  <dimension ref="A1:Q37"/>
  <sheetViews>
    <sheetView topLeftCell="A15" workbookViewId="0">
      <selection activeCell="H27" sqref="H27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74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45814</v>
      </c>
      <c r="J2" s="6">
        <v>45821</v>
      </c>
      <c r="K2" s="6">
        <v>45828</v>
      </c>
      <c r="L2" s="6">
        <v>45835</v>
      </c>
      <c r="M2" s="6">
        <v>45838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2920</v>
      </c>
      <c r="G3" s="1"/>
      <c r="H3" s="8">
        <v>0</v>
      </c>
      <c r="I3" s="8">
        <v>0</v>
      </c>
      <c r="J3" s="8">
        <v>500</v>
      </c>
      <c r="K3" s="8">
        <v>500</v>
      </c>
      <c r="L3" s="8">
        <v>0</v>
      </c>
      <c r="M3" s="8">
        <v>0</v>
      </c>
      <c r="N3" s="14">
        <f t="shared" ref="N3:N37" si="0">+F3-I3-J3-K3-L3-M3+H3</f>
        <v>1920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5000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500</v>
      </c>
      <c r="M4" s="8">
        <v>0</v>
      </c>
      <c r="N4" s="14">
        <f t="shared" si="0"/>
        <v>4500</v>
      </c>
      <c r="O4" s="1"/>
      <c r="P4" s="34">
        <v>7500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870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870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2060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2060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500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2500</v>
      </c>
      <c r="G8" s="1"/>
      <c r="H8" s="8">
        <v>0</v>
      </c>
      <c r="I8" s="8">
        <v>0</v>
      </c>
      <c r="J8" s="8">
        <v>500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3000</v>
      </c>
      <c r="Q8" s="27">
        <v>15000</v>
      </c>
    </row>
    <row r="9" spans="1:17" ht="23.25" customHeight="1" x14ac:dyDescent="0.25">
      <c r="A9" s="10">
        <v>7</v>
      </c>
      <c r="B9" s="2" t="s">
        <v>5</v>
      </c>
      <c r="F9" s="9">
        <v>1955</v>
      </c>
      <c r="G9" s="1"/>
      <c r="H9" s="8">
        <v>0</v>
      </c>
      <c r="I9" s="8">
        <v>0</v>
      </c>
      <c r="J9" s="8">
        <v>300</v>
      </c>
      <c r="K9" s="8">
        <v>0</v>
      </c>
      <c r="L9" s="8">
        <v>0</v>
      </c>
      <c r="M9" s="8">
        <v>0</v>
      </c>
      <c r="N9" s="14">
        <f t="shared" si="0"/>
        <v>1655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8500</v>
      </c>
      <c r="G10" s="1"/>
      <c r="H10" s="8">
        <v>0</v>
      </c>
      <c r="I10" s="8">
        <v>0</v>
      </c>
      <c r="J10" s="8">
        <v>500</v>
      </c>
      <c r="K10" s="8">
        <v>0</v>
      </c>
      <c r="L10" s="8">
        <v>0</v>
      </c>
      <c r="M10" s="8">
        <v>0</v>
      </c>
      <c r="N10" s="14">
        <f t="shared" si="0"/>
        <v>8000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7000</v>
      </c>
      <c r="G11" s="1">
        <v>0</v>
      </c>
      <c r="H11" s="8">
        <v>0</v>
      </c>
      <c r="I11" s="8">
        <v>0</v>
      </c>
      <c r="J11" s="8">
        <v>0</v>
      </c>
      <c r="K11" s="8">
        <v>200</v>
      </c>
      <c r="L11" s="8">
        <v>1000</v>
      </c>
      <c r="M11" s="8">
        <v>0</v>
      </c>
      <c r="N11" s="14">
        <f t="shared" si="0"/>
        <v>5800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1187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1187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110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110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1420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1420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270</v>
      </c>
      <c r="G17" s="1">
        <v>165</v>
      </c>
      <c r="H17" s="8">
        <v>500</v>
      </c>
      <c r="I17" s="8">
        <v>0</v>
      </c>
      <c r="J17" s="8">
        <v>20</v>
      </c>
      <c r="K17" s="8">
        <v>0</v>
      </c>
      <c r="L17" s="8">
        <v>80</v>
      </c>
      <c r="M17" s="8">
        <v>0</v>
      </c>
      <c r="N17" s="15">
        <f t="shared" si="0"/>
        <v>670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5250</v>
      </c>
      <c r="G18" s="1">
        <v>500</v>
      </c>
      <c r="H18" s="8">
        <v>0</v>
      </c>
      <c r="I18" s="8">
        <v>0</v>
      </c>
      <c r="J18" s="8">
        <v>900</v>
      </c>
      <c r="K18" s="8">
        <v>0</v>
      </c>
      <c r="L18" s="8">
        <v>80</v>
      </c>
      <c r="M18" s="8">
        <v>0</v>
      </c>
      <c r="N18" s="13">
        <f t="shared" si="0"/>
        <v>4270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79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79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57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220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220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1476</v>
      </c>
      <c r="G22" s="1"/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15">
        <f t="shared" si="0"/>
        <v>1476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2449</v>
      </c>
      <c r="G23" s="1"/>
      <c r="H23" s="8">
        <v>1000</v>
      </c>
      <c r="I23" s="8">
        <v>0</v>
      </c>
      <c r="J23" s="8">
        <v>0</v>
      </c>
      <c r="K23" s="8">
        <v>0</v>
      </c>
      <c r="L23" s="8">
        <v>920</v>
      </c>
      <c r="M23" s="8">
        <v>0</v>
      </c>
      <c r="N23" s="15">
        <f t="shared" si="0"/>
        <v>2529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150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1395</v>
      </c>
      <c r="G25" s="1"/>
      <c r="H25" s="8">
        <v>0</v>
      </c>
      <c r="I25" s="8">
        <v>0</v>
      </c>
      <c r="J25" s="8">
        <v>910</v>
      </c>
      <c r="K25" s="8">
        <v>20</v>
      </c>
      <c r="L25" s="8">
        <v>120</v>
      </c>
      <c r="M25" s="8">
        <v>0</v>
      </c>
      <c r="N25" s="15">
        <f t="shared" si="0"/>
        <v>345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5800</v>
      </c>
      <c r="G26" s="1"/>
      <c r="H26" s="8">
        <v>9800</v>
      </c>
      <c r="I26" s="8">
        <v>0</v>
      </c>
      <c r="J26" s="8">
        <v>0</v>
      </c>
      <c r="K26" s="8">
        <v>600</v>
      </c>
      <c r="L26" s="8">
        <v>0</v>
      </c>
      <c r="M26" s="8">
        <v>0</v>
      </c>
      <c r="N26" s="15">
        <f t="shared" si="0"/>
        <v>15000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481</v>
      </c>
      <c r="G27" s="1"/>
      <c r="H27" s="8">
        <v>0</v>
      </c>
      <c r="I27" s="8">
        <v>0</v>
      </c>
      <c r="J27" s="8">
        <v>0</v>
      </c>
      <c r="K27" s="8">
        <v>52</v>
      </c>
      <c r="L27" s="8">
        <v>12</v>
      </c>
      <c r="M27" s="8">
        <v>0</v>
      </c>
      <c r="N27" s="15">
        <f t="shared" si="0"/>
        <v>417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709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709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115</v>
      </c>
      <c r="G30" s="1"/>
      <c r="H30" s="8">
        <v>60</v>
      </c>
      <c r="I30" s="8">
        <v>0</v>
      </c>
      <c r="J30" s="8">
        <v>14</v>
      </c>
      <c r="K30" s="8">
        <v>10</v>
      </c>
      <c r="L30" s="8">
        <v>151</v>
      </c>
      <c r="M30" s="8">
        <v>0</v>
      </c>
      <c r="N30" s="15">
        <f t="shared" si="0"/>
        <v>0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7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7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370</v>
      </c>
      <c r="G34" s="1"/>
      <c r="H34" s="8">
        <v>0</v>
      </c>
      <c r="I34" s="8">
        <v>0</v>
      </c>
      <c r="J34" s="8">
        <v>0</v>
      </c>
      <c r="K34" s="8">
        <v>40</v>
      </c>
      <c r="L34" s="8">
        <v>0</v>
      </c>
      <c r="M34" s="8">
        <v>0</v>
      </c>
      <c r="N34" s="48">
        <f t="shared" si="0"/>
        <v>330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1480</v>
      </c>
      <c r="G35" s="1"/>
      <c r="H35" s="8">
        <v>0</v>
      </c>
      <c r="I35" s="8">
        <v>0</v>
      </c>
      <c r="J35" s="8">
        <v>80</v>
      </c>
      <c r="K35" s="8">
        <v>0</v>
      </c>
      <c r="L35" s="8">
        <v>0</v>
      </c>
      <c r="M35" s="8">
        <v>0</v>
      </c>
      <c r="N35" s="48">
        <f t="shared" si="0"/>
        <v>1400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F03E-7766-4FBB-8D69-F7A8D6B073FC}">
  <dimension ref="A1:Q37"/>
  <sheetViews>
    <sheetView topLeftCell="A8" workbookViewId="0">
      <selection activeCell="H11" sqref="H11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75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45842</v>
      </c>
      <c r="J2" s="6">
        <v>45849</v>
      </c>
      <c r="K2" s="6">
        <v>45856</v>
      </c>
      <c r="L2" s="6">
        <v>45863</v>
      </c>
      <c r="M2" s="6">
        <v>45869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1920</v>
      </c>
      <c r="G3" s="1"/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4">
        <f t="shared" ref="N3:N37" si="0">+F3-I3-J3-K3-L3-M3+H3</f>
        <v>1920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4500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4500</v>
      </c>
      <c r="O4" s="1"/>
      <c r="P4" s="34">
        <v>7500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870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870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300</v>
      </c>
      <c r="G6" s="1"/>
      <c r="H6" s="8">
        <v>600</v>
      </c>
      <c r="I6" s="8">
        <v>600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300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500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3000</v>
      </c>
      <c r="Q8" s="27">
        <v>15000</v>
      </c>
    </row>
    <row r="9" spans="1:17" ht="23.25" customHeight="1" x14ac:dyDescent="0.25">
      <c r="A9" s="10">
        <v>7</v>
      </c>
      <c r="B9" s="2" t="s">
        <v>5</v>
      </c>
      <c r="F9" s="9">
        <v>150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150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8000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8000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5800</v>
      </c>
      <c r="G11" s="1">
        <v>0</v>
      </c>
      <c r="H11" s="8">
        <v>7700</v>
      </c>
      <c r="I11" s="8">
        <v>600</v>
      </c>
      <c r="J11" s="8">
        <v>200</v>
      </c>
      <c r="K11" s="8">
        <v>600</v>
      </c>
      <c r="L11" s="8">
        <v>600</v>
      </c>
      <c r="M11" s="8">
        <v>800</v>
      </c>
      <c r="N11" s="14">
        <f t="shared" si="0"/>
        <v>10700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1187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1187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600</v>
      </c>
      <c r="G14" s="2"/>
      <c r="H14" s="8">
        <v>0</v>
      </c>
      <c r="I14" s="8">
        <v>160</v>
      </c>
      <c r="J14" s="8">
        <v>200</v>
      </c>
      <c r="K14" s="8">
        <v>0</v>
      </c>
      <c r="L14" s="8">
        <v>0</v>
      </c>
      <c r="M14" s="8">
        <v>0</v>
      </c>
      <c r="N14" s="15">
        <f t="shared" si="0"/>
        <v>240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500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1420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1420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670</v>
      </c>
      <c r="G17" s="1">
        <v>165</v>
      </c>
      <c r="H17" s="8">
        <v>0</v>
      </c>
      <c r="I17" s="8">
        <v>0</v>
      </c>
      <c r="J17" s="8">
        <v>80</v>
      </c>
      <c r="K17" s="8">
        <v>80</v>
      </c>
      <c r="L17" s="8">
        <v>40</v>
      </c>
      <c r="M17" s="8">
        <v>100</v>
      </c>
      <c r="N17" s="15">
        <f t="shared" si="0"/>
        <v>370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4270</v>
      </c>
      <c r="G18" s="1">
        <v>500</v>
      </c>
      <c r="H18" s="8">
        <v>0</v>
      </c>
      <c r="I18" s="8">
        <v>70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4200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79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13</v>
      </c>
      <c r="M19" s="8">
        <v>0</v>
      </c>
      <c r="N19" s="15">
        <f t="shared" si="0"/>
        <v>66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57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220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220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1476</v>
      </c>
      <c r="G22" s="1"/>
      <c r="H22" s="8">
        <v>0</v>
      </c>
      <c r="I22" s="8">
        <v>0</v>
      </c>
      <c r="J22" s="8">
        <v>0</v>
      </c>
      <c r="K22" s="8">
        <v>0</v>
      </c>
      <c r="L22" s="8">
        <v>62</v>
      </c>
      <c r="M22" s="8">
        <v>0</v>
      </c>
      <c r="N22" s="15">
        <f t="shared" si="0"/>
        <v>1414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2529</v>
      </c>
      <c r="G23" s="1"/>
      <c r="H23" s="8">
        <v>0</v>
      </c>
      <c r="I23" s="8">
        <v>38</v>
      </c>
      <c r="J23" s="8">
        <v>0</v>
      </c>
      <c r="K23" s="8">
        <v>38</v>
      </c>
      <c r="L23" s="8">
        <v>0</v>
      </c>
      <c r="M23" s="8">
        <v>0</v>
      </c>
      <c r="N23" s="15">
        <f t="shared" si="0"/>
        <v>2453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150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13</v>
      </c>
      <c r="M24" s="8">
        <v>0</v>
      </c>
      <c r="N24" s="15">
        <f t="shared" si="0"/>
        <v>137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345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345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15000</v>
      </c>
      <c r="G26" s="1"/>
      <c r="H26" s="8">
        <v>0</v>
      </c>
      <c r="I26" s="8">
        <v>600</v>
      </c>
      <c r="J26" s="8">
        <v>400</v>
      </c>
      <c r="K26" s="8">
        <v>400</v>
      </c>
      <c r="L26" s="8">
        <v>1000</v>
      </c>
      <c r="M26" s="8">
        <v>1000</v>
      </c>
      <c r="N26" s="15">
        <f t="shared" si="0"/>
        <v>11600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417</v>
      </c>
      <c r="G27" s="1"/>
      <c r="H27" s="8">
        <v>0</v>
      </c>
      <c r="I27" s="8">
        <v>18</v>
      </c>
      <c r="J27" s="8">
        <v>130</v>
      </c>
      <c r="K27" s="8">
        <v>46</v>
      </c>
      <c r="L27" s="8">
        <v>65</v>
      </c>
      <c r="M27" s="8">
        <v>0</v>
      </c>
      <c r="N27" s="15">
        <f t="shared" si="0"/>
        <v>158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709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6</v>
      </c>
      <c r="M29" s="8">
        <v>0</v>
      </c>
      <c r="N29" s="15">
        <f t="shared" si="0"/>
        <v>703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115</v>
      </c>
      <c r="G30" s="1"/>
      <c r="H30" s="8">
        <v>0</v>
      </c>
      <c r="I30" s="8">
        <v>39</v>
      </c>
      <c r="J30" s="8">
        <v>1</v>
      </c>
      <c r="K30" s="8">
        <v>32</v>
      </c>
      <c r="L30" s="8">
        <v>0</v>
      </c>
      <c r="M30" s="8">
        <v>0</v>
      </c>
      <c r="N30" s="15">
        <f t="shared" si="0"/>
        <v>43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7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7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370</v>
      </c>
      <c r="G34" s="1"/>
      <c r="H34" s="8">
        <v>0</v>
      </c>
      <c r="I34" s="8">
        <v>0</v>
      </c>
      <c r="J34" s="8">
        <v>0</v>
      </c>
      <c r="K34" s="8">
        <v>0</v>
      </c>
      <c r="L34" s="8">
        <v>40</v>
      </c>
      <c r="M34" s="8">
        <v>0</v>
      </c>
      <c r="N34" s="48">
        <f t="shared" si="0"/>
        <v>330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1480</v>
      </c>
      <c r="G35" s="1"/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48">
        <f t="shared" si="0"/>
        <v>1480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660D-C01F-466D-B526-E23B2F50B864}">
  <dimension ref="A1:Q37"/>
  <sheetViews>
    <sheetView topLeftCell="A9" workbookViewId="0">
      <selection activeCell="L26" sqref="L26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76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45877</v>
      </c>
      <c r="J2" s="6">
        <v>45884</v>
      </c>
      <c r="K2" s="6">
        <v>45891</v>
      </c>
      <c r="L2" s="6">
        <v>45898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1950</v>
      </c>
      <c r="G3" s="1"/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4">
        <f t="shared" ref="N3:N37" si="0">+F3-I3-J3-K3-L3-M3+H3</f>
        <v>1950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4500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4500</v>
      </c>
      <c r="O4" s="1"/>
      <c r="P4" s="34">
        <v>7500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870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870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300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300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500</v>
      </c>
      <c r="Q7" s="27">
        <v>1000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3000</v>
      </c>
      <c r="Q8" s="27">
        <v>15000</v>
      </c>
    </row>
    <row r="9" spans="1:17" ht="23.25" customHeight="1" x14ac:dyDescent="0.25">
      <c r="A9" s="10">
        <v>7</v>
      </c>
      <c r="B9" s="2" t="s">
        <v>5</v>
      </c>
      <c r="F9" s="9">
        <v>150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150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8000</v>
      </c>
      <c r="G10" s="1"/>
      <c r="H10" s="8">
        <v>0</v>
      </c>
      <c r="I10" s="8">
        <v>1000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7000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10700</v>
      </c>
      <c r="G11" s="1">
        <v>0</v>
      </c>
      <c r="H11" s="8">
        <v>0</v>
      </c>
      <c r="I11" s="8">
        <v>600</v>
      </c>
      <c r="J11" s="8">
        <v>2400</v>
      </c>
      <c r="K11" s="8">
        <v>600</v>
      </c>
      <c r="L11" s="8">
        <v>1000</v>
      </c>
      <c r="M11" s="8">
        <v>0</v>
      </c>
      <c r="N11" s="14">
        <f t="shared" si="0"/>
        <v>6100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1187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1187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240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240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300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300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1420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1420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370</v>
      </c>
      <c r="G17" s="1">
        <v>165</v>
      </c>
      <c r="H17" s="8">
        <v>0</v>
      </c>
      <c r="I17" s="8">
        <v>0</v>
      </c>
      <c r="J17" s="8">
        <v>40</v>
      </c>
      <c r="K17" s="8">
        <v>40</v>
      </c>
      <c r="L17" s="8">
        <v>40</v>
      </c>
      <c r="M17" s="8">
        <v>0</v>
      </c>
      <c r="N17" s="15">
        <f t="shared" si="0"/>
        <v>250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4200</v>
      </c>
      <c r="G18" s="1">
        <v>500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4200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66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66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57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57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25</v>
      </c>
      <c r="C21" s="3"/>
      <c r="D21" s="3"/>
      <c r="E21" s="3"/>
      <c r="F21" s="9">
        <v>220</v>
      </c>
      <c r="G21" s="19">
        <v>425</v>
      </c>
      <c r="H21" s="8">
        <v>0</v>
      </c>
      <c r="I21" s="8">
        <v>150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70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1414</v>
      </c>
      <c r="G22" s="1"/>
      <c r="H22" s="8">
        <v>0</v>
      </c>
      <c r="I22" s="8">
        <v>0</v>
      </c>
      <c r="J22" s="8">
        <v>0</v>
      </c>
      <c r="K22" s="8">
        <v>5</v>
      </c>
      <c r="L22" s="8">
        <v>0</v>
      </c>
      <c r="M22" s="8">
        <v>0</v>
      </c>
      <c r="N22" s="15">
        <f t="shared" si="0"/>
        <v>1409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2453</v>
      </c>
      <c r="G23" s="1"/>
      <c r="H23" s="8">
        <v>0</v>
      </c>
      <c r="I23" s="8">
        <v>160</v>
      </c>
      <c r="J23" s="8">
        <v>232</v>
      </c>
      <c r="K23" s="8">
        <v>290</v>
      </c>
      <c r="L23" s="8">
        <v>320</v>
      </c>
      <c r="M23" s="8">
        <v>0</v>
      </c>
      <c r="N23" s="15">
        <f t="shared" si="0"/>
        <v>1451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137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137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62</v>
      </c>
      <c r="C25" s="2"/>
      <c r="D25" s="2"/>
      <c r="E25" s="2"/>
      <c r="F25" s="32">
        <v>0</v>
      </c>
      <c r="G25" s="1"/>
      <c r="H25" s="8">
        <v>330</v>
      </c>
      <c r="I25" s="8">
        <v>25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305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11600</v>
      </c>
      <c r="G26" s="1"/>
      <c r="H26" s="8">
        <v>0</v>
      </c>
      <c r="I26" s="8">
        <v>150</v>
      </c>
      <c r="J26" s="8">
        <v>800</v>
      </c>
      <c r="K26" s="8">
        <v>800</v>
      </c>
      <c r="L26" s="8">
        <v>400</v>
      </c>
      <c r="M26" s="8">
        <v>0</v>
      </c>
      <c r="N26" s="15">
        <f t="shared" si="0"/>
        <v>9450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158</v>
      </c>
      <c r="G27" s="1"/>
      <c r="H27" s="8">
        <v>330</v>
      </c>
      <c r="I27" s="8">
        <v>0</v>
      </c>
      <c r="J27" s="8">
        <v>120</v>
      </c>
      <c r="K27" s="8">
        <v>0</v>
      </c>
      <c r="L27" s="8">
        <v>0</v>
      </c>
      <c r="M27" s="8">
        <v>0</v>
      </c>
      <c r="N27" s="15">
        <f t="shared" si="0"/>
        <v>368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703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703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43</v>
      </c>
      <c r="G30" s="1"/>
      <c r="H30" s="8">
        <v>0</v>
      </c>
      <c r="I30" s="8">
        <v>27</v>
      </c>
      <c r="J30" s="8">
        <v>16</v>
      </c>
      <c r="K30" s="8">
        <v>0</v>
      </c>
      <c r="L30" s="8">
        <v>0</v>
      </c>
      <c r="M30" s="8">
        <v>0</v>
      </c>
      <c r="N30" s="15">
        <f t="shared" si="0"/>
        <v>0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7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7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330</v>
      </c>
      <c r="G34" s="1"/>
      <c r="H34" s="8">
        <v>0</v>
      </c>
      <c r="I34" s="8">
        <v>0</v>
      </c>
      <c r="J34" s="8">
        <v>40</v>
      </c>
      <c r="K34" s="8">
        <v>0</v>
      </c>
      <c r="L34" s="8">
        <v>0</v>
      </c>
      <c r="M34" s="8">
        <v>0</v>
      </c>
      <c r="N34" s="48">
        <f t="shared" si="0"/>
        <v>290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1400</v>
      </c>
      <c r="G35" s="1"/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48">
        <f t="shared" si="0"/>
        <v>1400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B604-81B4-412F-BBC7-CA5ED3C50366}">
  <dimension ref="A1:Q37"/>
  <sheetViews>
    <sheetView topLeftCell="A17" workbookViewId="0">
      <selection activeCell="H34" sqref="H3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77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45905</v>
      </c>
      <c r="J2" s="6">
        <v>45912</v>
      </c>
      <c r="K2" s="6">
        <v>45919</v>
      </c>
      <c r="L2" s="6">
        <v>45926</v>
      </c>
      <c r="M2" s="6">
        <v>45930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1950</v>
      </c>
      <c r="G3" s="1"/>
      <c r="H3" s="8">
        <v>5000</v>
      </c>
      <c r="I3" s="8">
        <v>0</v>
      </c>
      <c r="J3" s="8">
        <v>0</v>
      </c>
      <c r="K3" s="8">
        <v>500</v>
      </c>
      <c r="L3" s="8">
        <v>500</v>
      </c>
      <c r="M3" s="8">
        <v>500</v>
      </c>
      <c r="N3" s="14">
        <f t="shared" ref="N3:N37" si="0">+F3-I3-J3-K3-L3-M3+H3</f>
        <v>5450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6500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1500</v>
      </c>
      <c r="N4" s="14">
        <f t="shared" si="0"/>
        <v>5000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750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150</v>
      </c>
      <c r="N5" s="14">
        <f t="shared" si="0"/>
        <v>600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3000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500</v>
      </c>
      <c r="N6" s="14">
        <f t="shared" si="0"/>
        <v>2500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1000</v>
      </c>
      <c r="G9" s="1"/>
      <c r="H9" s="8">
        <v>1000</v>
      </c>
      <c r="I9" s="8">
        <v>0</v>
      </c>
      <c r="J9" s="8">
        <v>0</v>
      </c>
      <c r="K9" s="8">
        <v>0</v>
      </c>
      <c r="L9" s="8">
        <v>0</v>
      </c>
      <c r="M9" s="8">
        <v>500</v>
      </c>
      <c r="N9" s="14">
        <f t="shared" si="0"/>
        <v>1500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12000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2000</v>
      </c>
      <c r="N10" s="14">
        <f t="shared" si="0"/>
        <v>10000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5000</v>
      </c>
      <c r="G11" s="1">
        <v>0</v>
      </c>
      <c r="H11" s="8">
        <v>15000</v>
      </c>
      <c r="I11" s="8">
        <v>1000</v>
      </c>
      <c r="J11" s="8">
        <v>1800</v>
      </c>
      <c r="K11" s="8">
        <v>1750</v>
      </c>
      <c r="L11" s="8">
        <v>1000</v>
      </c>
      <c r="M11" s="8">
        <v>850</v>
      </c>
      <c r="N11" s="14">
        <f t="shared" si="0"/>
        <v>13600</v>
      </c>
      <c r="O11" s="1"/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1187</v>
      </c>
      <c r="G12" s="1"/>
      <c r="H12" s="8">
        <v>0</v>
      </c>
      <c r="I12" s="8">
        <v>0</v>
      </c>
      <c r="J12" s="8">
        <v>4</v>
      </c>
      <c r="K12" s="8">
        <v>0</v>
      </c>
      <c r="L12" s="8">
        <v>0</v>
      </c>
      <c r="M12" s="8">
        <v>4</v>
      </c>
      <c r="N12" s="14">
        <f t="shared" si="0"/>
        <v>1179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500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51</v>
      </c>
      <c r="M14" s="8">
        <v>0</v>
      </c>
      <c r="N14" s="15">
        <f t="shared" si="0"/>
        <v>449</v>
      </c>
      <c r="O14" s="1"/>
      <c r="P14" s="34">
        <v>500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1650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1650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250</v>
      </c>
      <c r="G17" s="1">
        <v>165</v>
      </c>
      <c r="H17" s="8">
        <v>0</v>
      </c>
      <c r="I17" s="8">
        <v>0</v>
      </c>
      <c r="J17" s="8">
        <v>40</v>
      </c>
      <c r="K17" s="8">
        <v>40</v>
      </c>
      <c r="L17" s="8">
        <v>0</v>
      </c>
      <c r="M17" s="8">
        <v>0</v>
      </c>
      <c r="N17" s="15">
        <f t="shared" si="0"/>
        <v>170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4500</v>
      </c>
      <c r="G18" s="1">
        <v>500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4500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66</v>
      </c>
      <c r="G19" s="1"/>
      <c r="H19" s="8">
        <v>100</v>
      </c>
      <c r="I19" s="8">
        <v>0</v>
      </c>
      <c r="J19" s="8">
        <v>0</v>
      </c>
      <c r="K19" s="8">
        <v>30</v>
      </c>
      <c r="L19" s="8">
        <v>0</v>
      </c>
      <c r="M19" s="8">
        <v>0</v>
      </c>
      <c r="N19" s="15">
        <f t="shared" si="0"/>
        <v>136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50</v>
      </c>
      <c r="G20" s="1"/>
      <c r="H20" s="8">
        <v>50</v>
      </c>
      <c r="I20" s="8">
        <v>0</v>
      </c>
      <c r="J20" s="8">
        <v>0</v>
      </c>
      <c r="K20" s="8">
        <v>70</v>
      </c>
      <c r="L20" s="8">
        <v>0</v>
      </c>
      <c r="M20" s="8">
        <v>0</v>
      </c>
      <c r="N20" s="15">
        <f t="shared" si="0"/>
        <v>30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1409</v>
      </c>
      <c r="G22" s="1"/>
      <c r="H22" s="8">
        <v>0</v>
      </c>
      <c r="I22" s="8">
        <v>0</v>
      </c>
      <c r="J22" s="8">
        <v>32</v>
      </c>
      <c r="K22" s="8">
        <v>44</v>
      </c>
      <c r="L22" s="8">
        <v>8</v>
      </c>
      <c r="M22" s="8">
        <v>0</v>
      </c>
      <c r="N22" s="15">
        <f t="shared" si="0"/>
        <v>1325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1451</v>
      </c>
      <c r="G23" s="1"/>
      <c r="H23" s="8">
        <v>1000</v>
      </c>
      <c r="I23" s="8">
        <v>0</v>
      </c>
      <c r="J23" s="8">
        <v>360</v>
      </c>
      <c r="K23" s="8">
        <v>240</v>
      </c>
      <c r="L23" s="8">
        <v>320</v>
      </c>
      <c r="M23" s="8">
        <v>1000</v>
      </c>
      <c r="N23" s="15">
        <f t="shared" si="0"/>
        <v>531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120</v>
      </c>
      <c r="G24" s="1"/>
      <c r="H24" s="8">
        <v>100</v>
      </c>
      <c r="I24" s="8">
        <v>0</v>
      </c>
      <c r="J24" s="8">
        <v>0</v>
      </c>
      <c r="K24" s="8">
        <v>30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305</v>
      </c>
      <c r="G25" s="1"/>
      <c r="H25" s="8">
        <v>657</v>
      </c>
      <c r="I25" s="8">
        <v>150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812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9200</v>
      </c>
      <c r="G26" s="1"/>
      <c r="H26" s="8">
        <v>0</v>
      </c>
      <c r="I26" s="8">
        <v>0</v>
      </c>
      <c r="J26" s="8">
        <v>600</v>
      </c>
      <c r="K26" s="8">
        <v>2400</v>
      </c>
      <c r="L26" s="8">
        <v>0</v>
      </c>
      <c r="M26" s="8">
        <v>1000</v>
      </c>
      <c r="N26" s="15">
        <f t="shared" si="0"/>
        <v>5200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368</v>
      </c>
      <c r="G27" s="1"/>
      <c r="H27" s="8">
        <v>0</v>
      </c>
      <c r="I27" s="8">
        <v>0</v>
      </c>
      <c r="J27" s="8">
        <v>0</v>
      </c>
      <c r="K27" s="8">
        <v>0</v>
      </c>
      <c r="L27" s="8">
        <v>30</v>
      </c>
      <c r="M27" s="8">
        <v>30</v>
      </c>
      <c r="N27" s="15">
        <f t="shared" si="0"/>
        <v>308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703</v>
      </c>
      <c r="G29" s="1"/>
      <c r="H29" s="8">
        <v>0</v>
      </c>
      <c r="I29" s="8">
        <v>0</v>
      </c>
      <c r="J29" s="8">
        <v>4</v>
      </c>
      <c r="K29" s="8">
        <v>0</v>
      </c>
      <c r="L29" s="8">
        <v>0</v>
      </c>
      <c r="M29" s="8">
        <v>0</v>
      </c>
      <c r="N29" s="15">
        <f t="shared" si="0"/>
        <v>699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0</v>
      </c>
      <c r="G30" s="1"/>
      <c r="H30" s="8">
        <v>504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15">
        <f t="shared" si="0"/>
        <v>504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0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0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2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2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450</v>
      </c>
      <c r="G34" s="1"/>
      <c r="H34" s="8">
        <v>300</v>
      </c>
      <c r="I34" s="8">
        <v>0</v>
      </c>
      <c r="J34" s="8">
        <v>40</v>
      </c>
      <c r="K34" s="8">
        <v>257</v>
      </c>
      <c r="L34" s="8">
        <v>153</v>
      </c>
      <c r="M34" s="8">
        <v>0</v>
      </c>
      <c r="N34" s="48">
        <f t="shared" si="0"/>
        <v>300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1000</v>
      </c>
      <c r="G35" s="1"/>
      <c r="H35" s="8">
        <v>0</v>
      </c>
      <c r="I35" s="8">
        <v>0</v>
      </c>
      <c r="J35" s="8">
        <v>40</v>
      </c>
      <c r="K35" s="8">
        <v>40</v>
      </c>
      <c r="L35" s="8">
        <v>0</v>
      </c>
      <c r="M35" s="8">
        <v>0</v>
      </c>
      <c r="N35" s="48">
        <f t="shared" si="0"/>
        <v>920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0A89-615F-460B-914F-DA00ED5D4A56}">
  <dimension ref="A1:Q37"/>
  <sheetViews>
    <sheetView topLeftCell="A12" workbookViewId="0">
      <selection activeCell="L23" sqref="L23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79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45940</v>
      </c>
      <c r="J2" s="6">
        <v>45947</v>
      </c>
      <c r="K2" s="6">
        <v>45954</v>
      </c>
      <c r="L2" s="6">
        <v>45961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5450</v>
      </c>
      <c r="G3" s="1"/>
      <c r="H3" s="8">
        <v>0</v>
      </c>
      <c r="I3" s="8">
        <v>500</v>
      </c>
      <c r="J3" s="8">
        <v>500</v>
      </c>
      <c r="K3" s="8">
        <v>500</v>
      </c>
      <c r="L3" s="8">
        <v>0</v>
      </c>
      <c r="M3" s="8">
        <v>0</v>
      </c>
      <c r="N3" s="14">
        <f t="shared" ref="N3:N37" si="0">+F3-I3-J3-K3-L3-M3+H3</f>
        <v>3950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5000</v>
      </c>
      <c r="G4" s="1"/>
      <c r="H4" s="8">
        <v>0</v>
      </c>
      <c r="I4" s="8">
        <v>0</v>
      </c>
      <c r="J4" s="8">
        <v>500</v>
      </c>
      <c r="K4" s="8">
        <v>0</v>
      </c>
      <c r="L4" s="8">
        <v>0</v>
      </c>
      <c r="M4" s="8">
        <v>0</v>
      </c>
      <c r="N4" s="14">
        <f t="shared" si="0"/>
        <v>4500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600</v>
      </c>
      <c r="G5" s="1">
        <v>1000</v>
      </c>
      <c r="H5" s="8">
        <v>0</v>
      </c>
      <c r="I5" s="8">
        <v>0</v>
      </c>
      <c r="J5" s="8">
        <v>20</v>
      </c>
      <c r="K5" s="8">
        <v>0</v>
      </c>
      <c r="L5" s="8">
        <v>0</v>
      </c>
      <c r="M5" s="8">
        <v>0</v>
      </c>
      <c r="N5" s="14">
        <f t="shared" si="0"/>
        <v>580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2500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2500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1500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1500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10000</v>
      </c>
      <c r="G10" s="1"/>
      <c r="H10" s="8">
        <v>0</v>
      </c>
      <c r="I10" s="8">
        <v>0</v>
      </c>
      <c r="J10" s="8">
        <v>2000</v>
      </c>
      <c r="K10" s="8">
        <v>0</v>
      </c>
      <c r="L10" s="8">
        <v>0</v>
      </c>
      <c r="M10" s="8">
        <v>0</v>
      </c>
      <c r="N10" s="14">
        <f t="shared" si="0"/>
        <v>8000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13600</v>
      </c>
      <c r="G11" s="1">
        <v>0</v>
      </c>
      <c r="H11" s="8">
        <v>10000</v>
      </c>
      <c r="I11" s="8">
        <v>1000</v>
      </c>
      <c r="J11" s="8">
        <v>1000</v>
      </c>
      <c r="K11" s="8">
        <v>1000</v>
      </c>
      <c r="L11" s="8">
        <v>1600</v>
      </c>
      <c r="M11" s="8">
        <v>10000</v>
      </c>
      <c r="N11" s="14">
        <f t="shared" si="0"/>
        <v>9000</v>
      </c>
      <c r="O11" s="1" t="s">
        <v>80</v>
      </c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1179</v>
      </c>
      <c r="G12" s="1"/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8">
        <v>0</v>
      </c>
      <c r="N12" s="14">
        <f t="shared" si="0"/>
        <v>1178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449</v>
      </c>
      <c r="G14" s="2"/>
      <c r="H14" s="8">
        <v>0</v>
      </c>
      <c r="I14" s="8">
        <v>150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299</v>
      </c>
      <c r="O14" s="1"/>
      <c r="P14" s="34">
        <v>300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400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400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1350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1350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170</v>
      </c>
      <c r="G17" s="1">
        <v>165</v>
      </c>
      <c r="H17" s="8">
        <v>500</v>
      </c>
      <c r="I17" s="8">
        <v>0</v>
      </c>
      <c r="J17" s="8">
        <v>40</v>
      </c>
      <c r="K17" s="8">
        <v>0</v>
      </c>
      <c r="L17" s="8">
        <v>40</v>
      </c>
      <c r="M17" s="8">
        <v>0</v>
      </c>
      <c r="N17" s="15">
        <f t="shared" si="0"/>
        <v>590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4500</v>
      </c>
      <c r="G18" s="1">
        <v>500</v>
      </c>
      <c r="H18" s="8">
        <v>0</v>
      </c>
      <c r="I18" s="8">
        <v>0</v>
      </c>
      <c r="J18" s="8">
        <v>0</v>
      </c>
      <c r="K18" s="8">
        <v>450</v>
      </c>
      <c r="L18" s="8">
        <v>0</v>
      </c>
      <c r="M18" s="8">
        <v>0</v>
      </c>
      <c r="N18" s="13">
        <f t="shared" si="0"/>
        <v>4050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136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136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30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1325</v>
      </c>
      <c r="G22" s="1"/>
      <c r="H22" s="8">
        <v>0</v>
      </c>
      <c r="I22" s="8">
        <v>0</v>
      </c>
      <c r="J22" s="8">
        <v>0</v>
      </c>
      <c r="K22" s="8">
        <v>16</v>
      </c>
      <c r="L22" s="8">
        <v>100</v>
      </c>
      <c r="M22" s="8">
        <v>0</v>
      </c>
      <c r="N22" s="15">
        <f t="shared" si="0"/>
        <v>1209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531</v>
      </c>
      <c r="G23" s="1"/>
      <c r="H23" s="8">
        <v>0</v>
      </c>
      <c r="I23" s="8">
        <v>0</v>
      </c>
      <c r="J23" s="8">
        <v>0</v>
      </c>
      <c r="K23" s="8">
        <v>0</v>
      </c>
      <c r="L23" s="8">
        <v>72</v>
      </c>
      <c r="M23" s="8">
        <v>0</v>
      </c>
      <c r="N23" s="15">
        <f t="shared" si="0"/>
        <v>459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190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812</v>
      </c>
      <c r="G25" s="1"/>
      <c r="H25" s="8">
        <v>200</v>
      </c>
      <c r="I25" s="8">
        <v>0</v>
      </c>
      <c r="J25" s="8">
        <v>0</v>
      </c>
      <c r="K25" s="8">
        <v>200</v>
      </c>
      <c r="L25" s="8">
        <v>0</v>
      </c>
      <c r="M25" s="8">
        <v>0</v>
      </c>
      <c r="N25" s="15">
        <f t="shared" si="0"/>
        <v>812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5200</v>
      </c>
      <c r="G26" s="1"/>
      <c r="H26" s="8">
        <v>5000</v>
      </c>
      <c r="I26" s="8">
        <v>400</v>
      </c>
      <c r="J26" s="8">
        <v>800</v>
      </c>
      <c r="K26" s="8">
        <v>200</v>
      </c>
      <c r="L26" s="8">
        <v>800</v>
      </c>
      <c r="M26" s="8">
        <v>0</v>
      </c>
      <c r="N26" s="15">
        <f t="shared" si="0"/>
        <v>8000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308</v>
      </c>
      <c r="G27" s="1"/>
      <c r="H27" s="8">
        <v>1000</v>
      </c>
      <c r="I27" s="8">
        <v>308</v>
      </c>
      <c r="J27" s="8">
        <v>344</v>
      </c>
      <c r="K27" s="8">
        <v>164</v>
      </c>
      <c r="L27" s="8">
        <v>32</v>
      </c>
      <c r="M27" s="8">
        <v>0</v>
      </c>
      <c r="N27" s="15">
        <f t="shared" si="0"/>
        <v>460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699</v>
      </c>
      <c r="G29" s="1"/>
      <c r="H29" s="8">
        <v>0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15">
        <f t="shared" si="0"/>
        <v>698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504</v>
      </c>
      <c r="G30" s="1"/>
      <c r="H30" s="8">
        <v>0</v>
      </c>
      <c r="I30" s="8">
        <v>10</v>
      </c>
      <c r="J30" s="8">
        <v>18</v>
      </c>
      <c r="K30" s="8">
        <v>13</v>
      </c>
      <c r="L30" s="8">
        <v>16</v>
      </c>
      <c r="M30" s="8">
        <v>0</v>
      </c>
      <c r="N30" s="15">
        <f t="shared" si="0"/>
        <v>447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0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0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2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2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300</v>
      </c>
      <c r="G34" s="1"/>
      <c r="H34" s="8">
        <v>600</v>
      </c>
      <c r="I34" s="8">
        <v>180</v>
      </c>
      <c r="J34" s="8">
        <v>0</v>
      </c>
      <c r="K34" s="8">
        <v>20</v>
      </c>
      <c r="L34" s="8">
        <v>20</v>
      </c>
      <c r="M34" s="8">
        <v>0</v>
      </c>
      <c r="N34" s="48">
        <f t="shared" si="0"/>
        <v>680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920</v>
      </c>
      <c r="G35" s="1"/>
      <c r="H35" s="8">
        <v>0</v>
      </c>
      <c r="I35" s="8">
        <v>40</v>
      </c>
      <c r="J35" s="8">
        <v>0</v>
      </c>
      <c r="K35" s="8">
        <v>0</v>
      </c>
      <c r="L35" s="8">
        <v>0</v>
      </c>
      <c r="M35" s="8">
        <v>0</v>
      </c>
      <c r="N35" s="48">
        <f t="shared" si="0"/>
        <v>880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C159-B372-4E4D-9889-739DAEC5CEF3}">
  <dimension ref="A1:Q37"/>
  <sheetViews>
    <sheetView workbookViewId="0">
      <selection activeCell="L4" sqref="L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81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45968</v>
      </c>
      <c r="J2" s="6">
        <v>45975</v>
      </c>
      <c r="K2" s="6">
        <v>45982</v>
      </c>
      <c r="L2" s="6">
        <v>45989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3950</v>
      </c>
      <c r="G3" s="1"/>
      <c r="H3" s="8">
        <v>7000</v>
      </c>
      <c r="I3" s="8">
        <v>500</v>
      </c>
      <c r="J3" s="8">
        <v>500</v>
      </c>
      <c r="K3" s="8">
        <v>500</v>
      </c>
      <c r="L3" s="8">
        <v>500</v>
      </c>
      <c r="M3" s="8">
        <v>0</v>
      </c>
      <c r="N3" s="14">
        <f t="shared" ref="N3:N37" si="0">+F3-I3-J3-K3-L3-M3+H3</f>
        <v>8950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4500</v>
      </c>
      <c r="G4" s="1"/>
      <c r="H4" s="8">
        <v>0</v>
      </c>
      <c r="I4" s="8">
        <v>0</v>
      </c>
      <c r="J4" s="8">
        <v>500</v>
      </c>
      <c r="K4" s="8">
        <v>500</v>
      </c>
      <c r="L4" s="8">
        <v>0</v>
      </c>
      <c r="M4" s="8">
        <v>0</v>
      </c>
      <c r="N4" s="14">
        <f t="shared" si="0"/>
        <v>3500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150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150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2500</v>
      </c>
      <c r="G6" s="1"/>
      <c r="H6" s="8">
        <v>0</v>
      </c>
      <c r="I6" s="8">
        <v>500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2000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1500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1500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8000</v>
      </c>
      <c r="G10" s="1"/>
      <c r="H10" s="8">
        <v>0</v>
      </c>
      <c r="I10" s="8">
        <v>0</v>
      </c>
      <c r="J10" s="8">
        <v>2000</v>
      </c>
      <c r="K10" s="8">
        <v>0</v>
      </c>
      <c r="L10" s="8">
        <v>0</v>
      </c>
      <c r="M10" s="8">
        <v>0</v>
      </c>
      <c r="N10" s="14">
        <f t="shared" si="0"/>
        <v>6000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9000</v>
      </c>
      <c r="G11" s="1">
        <v>0</v>
      </c>
      <c r="H11" s="8">
        <v>5000</v>
      </c>
      <c r="I11" s="8">
        <v>600</v>
      </c>
      <c r="J11" s="8">
        <v>400</v>
      </c>
      <c r="K11" s="8">
        <v>800</v>
      </c>
      <c r="L11" s="8">
        <v>1600</v>
      </c>
      <c r="M11" s="8">
        <v>0</v>
      </c>
      <c r="N11" s="14">
        <f t="shared" si="0"/>
        <v>10600</v>
      </c>
      <c r="O11" s="1" t="s">
        <v>48</v>
      </c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1178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1178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299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299</v>
      </c>
      <c r="O14" s="1"/>
      <c r="P14" s="34">
        <v>300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400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400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200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200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590</v>
      </c>
      <c r="G17" s="1">
        <v>165</v>
      </c>
      <c r="H17" s="8">
        <v>0</v>
      </c>
      <c r="I17" s="8">
        <v>40</v>
      </c>
      <c r="J17" s="8">
        <v>60</v>
      </c>
      <c r="K17" s="8">
        <v>0</v>
      </c>
      <c r="L17" s="8">
        <v>40</v>
      </c>
      <c r="M17" s="8">
        <v>0</v>
      </c>
      <c r="N17" s="15">
        <f t="shared" si="0"/>
        <v>450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1700</v>
      </c>
      <c r="G18" s="1">
        <v>500</v>
      </c>
      <c r="H18" s="8">
        <v>0</v>
      </c>
      <c r="I18" s="8">
        <v>500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1200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136</v>
      </c>
      <c r="G19" s="1"/>
      <c r="H19" s="8">
        <v>200</v>
      </c>
      <c r="I19" s="8">
        <v>15</v>
      </c>
      <c r="J19" s="8">
        <v>0</v>
      </c>
      <c r="K19" s="8">
        <v>0</v>
      </c>
      <c r="L19" s="8">
        <v>2</v>
      </c>
      <c r="M19" s="8">
        <v>0</v>
      </c>
      <c r="N19" s="15">
        <f t="shared" si="0"/>
        <v>319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30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1209</v>
      </c>
      <c r="G22" s="1"/>
      <c r="H22" s="8">
        <v>0</v>
      </c>
      <c r="I22" s="8">
        <v>0</v>
      </c>
      <c r="J22" s="8">
        <v>0</v>
      </c>
      <c r="K22" s="8">
        <v>71</v>
      </c>
      <c r="L22" s="8">
        <v>0</v>
      </c>
      <c r="M22" s="8">
        <v>0</v>
      </c>
      <c r="N22" s="15">
        <f t="shared" si="0"/>
        <v>1138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459</v>
      </c>
      <c r="G23" s="1"/>
      <c r="H23" s="8">
        <v>1080</v>
      </c>
      <c r="I23" s="8">
        <v>0</v>
      </c>
      <c r="J23" s="8">
        <v>160</v>
      </c>
      <c r="K23" s="8">
        <v>210</v>
      </c>
      <c r="L23" s="8">
        <v>576</v>
      </c>
      <c r="M23" s="8">
        <v>0</v>
      </c>
      <c r="N23" s="15">
        <f t="shared" si="0"/>
        <v>593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190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60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60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8000</v>
      </c>
      <c r="G26" s="1"/>
      <c r="H26" s="8">
        <v>7000</v>
      </c>
      <c r="I26" s="8">
        <v>1400</v>
      </c>
      <c r="J26" s="8">
        <v>800</v>
      </c>
      <c r="K26" s="8">
        <v>200</v>
      </c>
      <c r="L26" s="8">
        <v>2800</v>
      </c>
      <c r="M26" s="8">
        <v>0</v>
      </c>
      <c r="N26" s="15">
        <f t="shared" si="0"/>
        <v>9800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460</v>
      </c>
      <c r="G27" s="1"/>
      <c r="H27" s="8">
        <v>500</v>
      </c>
      <c r="I27" s="8">
        <v>36</v>
      </c>
      <c r="J27" s="8">
        <v>85</v>
      </c>
      <c r="K27" s="8">
        <v>64</v>
      </c>
      <c r="L27" s="8">
        <v>60</v>
      </c>
      <c r="M27" s="8">
        <v>0</v>
      </c>
      <c r="N27" s="15">
        <f t="shared" si="0"/>
        <v>715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698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698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447</v>
      </c>
      <c r="G30" s="1"/>
      <c r="H30" s="8">
        <v>0</v>
      </c>
      <c r="I30" s="8">
        <v>0</v>
      </c>
      <c r="J30" s="8">
        <v>0</v>
      </c>
      <c r="K30" s="8">
        <v>44</v>
      </c>
      <c r="L30" s="8">
        <v>38</v>
      </c>
      <c r="M30" s="8">
        <v>0</v>
      </c>
      <c r="N30" s="15">
        <f t="shared" si="0"/>
        <v>365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5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5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5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5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680</v>
      </c>
      <c r="G34" s="1"/>
      <c r="H34" s="8">
        <v>0</v>
      </c>
      <c r="I34" s="8">
        <v>0</v>
      </c>
      <c r="J34" s="8">
        <v>30</v>
      </c>
      <c r="K34" s="8">
        <v>0</v>
      </c>
      <c r="L34" s="8">
        <v>40</v>
      </c>
      <c r="M34" s="8">
        <v>0</v>
      </c>
      <c r="N34" s="48">
        <f t="shared" si="0"/>
        <v>610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880</v>
      </c>
      <c r="G35" s="1"/>
      <c r="H35" s="8">
        <v>0</v>
      </c>
      <c r="I35" s="8">
        <v>40</v>
      </c>
      <c r="J35" s="8">
        <v>80</v>
      </c>
      <c r="K35" s="8">
        <v>0</v>
      </c>
      <c r="L35" s="8">
        <v>0</v>
      </c>
      <c r="M35" s="8">
        <v>0</v>
      </c>
      <c r="N35" s="48">
        <f t="shared" si="0"/>
        <v>760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0AC-5D1E-4760-B4AE-7036FC6CB6CF}">
  <dimension ref="A1:Q37"/>
  <sheetViews>
    <sheetView workbookViewId="0">
      <selection activeCell="M12" sqref="M12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82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45996</v>
      </c>
      <c r="J2" s="6">
        <v>46003</v>
      </c>
      <c r="K2" s="6">
        <v>46010</v>
      </c>
      <c r="L2" s="6">
        <v>46017</v>
      </c>
      <c r="M2" s="6">
        <v>46022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8950</v>
      </c>
      <c r="G3" s="1"/>
      <c r="H3" s="8">
        <v>0</v>
      </c>
      <c r="I3" s="8">
        <v>500</v>
      </c>
      <c r="J3" s="8">
        <v>0</v>
      </c>
      <c r="K3" s="8">
        <v>500</v>
      </c>
      <c r="L3" s="8">
        <v>500</v>
      </c>
      <c r="M3" s="8">
        <v>0</v>
      </c>
      <c r="N3" s="14">
        <f t="shared" ref="N3:N37" si="0">+F3-I3-J3-K3-L3-M3+H3</f>
        <v>7450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3500</v>
      </c>
      <c r="G4" s="1"/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3500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250</v>
      </c>
      <c r="G5" s="1">
        <v>1000</v>
      </c>
      <c r="H5" s="8">
        <v>200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450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2000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2000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1500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1500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4000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4000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10600</v>
      </c>
      <c r="G11" s="1">
        <v>0</v>
      </c>
      <c r="H11" s="8">
        <v>0</v>
      </c>
      <c r="I11" s="8">
        <v>1100</v>
      </c>
      <c r="J11" s="8">
        <v>0</v>
      </c>
      <c r="K11" s="8">
        <v>1600</v>
      </c>
      <c r="L11" s="8">
        <v>400</v>
      </c>
      <c r="M11" s="8">
        <v>200</v>
      </c>
      <c r="N11" s="14">
        <f t="shared" si="0"/>
        <v>7300</v>
      </c>
      <c r="O11" s="1" t="s">
        <v>48</v>
      </c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1178</v>
      </c>
      <c r="G12" s="1"/>
      <c r="H12" s="8">
        <v>0</v>
      </c>
      <c r="I12" s="8">
        <v>3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1175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299</v>
      </c>
      <c r="G14" s="2"/>
      <c r="H14" s="8">
        <v>0</v>
      </c>
      <c r="I14" s="8">
        <v>0</v>
      </c>
      <c r="J14" s="8">
        <v>0</v>
      </c>
      <c r="K14" s="8">
        <v>0</v>
      </c>
      <c r="L14" s="8">
        <v>40</v>
      </c>
      <c r="M14" s="8">
        <v>0</v>
      </c>
      <c r="N14" s="15">
        <f t="shared" si="0"/>
        <v>259</v>
      </c>
      <c r="O14" s="1"/>
      <c r="P14" s="34">
        <v>300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0</v>
      </c>
      <c r="G16" s="1"/>
      <c r="H16" s="8">
        <v>1000</v>
      </c>
      <c r="I16" s="8">
        <v>0</v>
      </c>
      <c r="J16" s="8">
        <v>850</v>
      </c>
      <c r="K16" s="8">
        <v>0</v>
      </c>
      <c r="L16" s="8">
        <v>0</v>
      </c>
      <c r="M16" s="8">
        <v>0</v>
      </c>
      <c r="N16" s="15">
        <f t="shared" si="0"/>
        <v>150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450</v>
      </c>
      <c r="G17" s="1">
        <v>165</v>
      </c>
      <c r="H17" s="8">
        <v>0</v>
      </c>
      <c r="I17" s="8">
        <v>20</v>
      </c>
      <c r="J17" s="8">
        <v>40</v>
      </c>
      <c r="K17" s="8">
        <v>40</v>
      </c>
      <c r="L17" s="8">
        <v>80</v>
      </c>
      <c r="M17" s="8">
        <v>0</v>
      </c>
      <c r="N17" s="15">
        <f t="shared" si="0"/>
        <v>270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0</v>
      </c>
      <c r="G18" s="1">
        <v>500</v>
      </c>
      <c r="H18" s="8">
        <v>5000</v>
      </c>
      <c r="I18" s="8">
        <v>300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4700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319</v>
      </c>
      <c r="G19" s="1"/>
      <c r="H19" s="8">
        <v>0</v>
      </c>
      <c r="I19" s="8">
        <v>209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110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30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1138</v>
      </c>
      <c r="G22" s="1"/>
      <c r="H22" s="8">
        <v>0</v>
      </c>
      <c r="I22" s="8">
        <v>82</v>
      </c>
      <c r="J22" s="8">
        <v>19</v>
      </c>
      <c r="K22" s="8">
        <v>20</v>
      </c>
      <c r="L22" s="8">
        <v>0</v>
      </c>
      <c r="M22" s="8">
        <v>0</v>
      </c>
      <c r="N22" s="15">
        <f t="shared" si="0"/>
        <v>1017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593</v>
      </c>
      <c r="G23" s="1"/>
      <c r="H23" s="8">
        <v>504</v>
      </c>
      <c r="I23" s="8">
        <v>234</v>
      </c>
      <c r="J23" s="8">
        <v>37</v>
      </c>
      <c r="K23" s="8">
        <v>137</v>
      </c>
      <c r="L23" s="8">
        <v>100</v>
      </c>
      <c r="M23" s="8">
        <v>29</v>
      </c>
      <c r="N23" s="15">
        <f t="shared" si="0"/>
        <v>560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190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60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60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9800</v>
      </c>
      <c r="G26" s="1"/>
      <c r="H26" s="8">
        <v>0</v>
      </c>
      <c r="I26" s="8">
        <v>200</v>
      </c>
      <c r="J26" s="8">
        <v>0</v>
      </c>
      <c r="K26" s="8">
        <v>600</v>
      </c>
      <c r="L26" s="8">
        <v>400</v>
      </c>
      <c r="M26" s="8">
        <v>200</v>
      </c>
      <c r="N26" s="15">
        <f t="shared" si="0"/>
        <v>8400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715</v>
      </c>
      <c r="G27" s="1"/>
      <c r="H27" s="8">
        <v>0</v>
      </c>
      <c r="I27" s="8">
        <v>36</v>
      </c>
      <c r="J27" s="8">
        <v>30</v>
      </c>
      <c r="K27" s="8">
        <v>150</v>
      </c>
      <c r="L27" s="8">
        <v>0</v>
      </c>
      <c r="M27" s="8">
        <v>0</v>
      </c>
      <c r="N27" s="15">
        <f t="shared" si="0"/>
        <v>499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698</v>
      </c>
      <c r="G29" s="1"/>
      <c r="H29" s="8">
        <v>0</v>
      </c>
      <c r="I29" s="8">
        <v>3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695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365</v>
      </c>
      <c r="G30" s="1"/>
      <c r="H30" s="8">
        <v>0</v>
      </c>
      <c r="I30" s="8">
        <v>0</v>
      </c>
      <c r="J30" s="8">
        <v>20</v>
      </c>
      <c r="K30" s="8">
        <v>0</v>
      </c>
      <c r="L30" s="8">
        <v>10</v>
      </c>
      <c r="M30" s="8">
        <v>12</v>
      </c>
      <c r="N30" s="15">
        <f t="shared" si="0"/>
        <v>323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5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5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5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5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5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5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610</v>
      </c>
      <c r="G34" s="1"/>
      <c r="H34" s="8">
        <v>0</v>
      </c>
      <c r="I34" s="8">
        <v>30</v>
      </c>
      <c r="J34" s="8">
        <v>40</v>
      </c>
      <c r="K34" s="8">
        <v>46</v>
      </c>
      <c r="L34" s="8">
        <v>40</v>
      </c>
      <c r="M34" s="8">
        <v>0</v>
      </c>
      <c r="N34" s="48">
        <f t="shared" si="0"/>
        <v>454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760</v>
      </c>
      <c r="G35" s="1"/>
      <c r="H35" s="8">
        <v>0</v>
      </c>
      <c r="I35" s="8">
        <v>30</v>
      </c>
      <c r="J35" s="8">
        <v>0</v>
      </c>
      <c r="K35" s="8">
        <v>46</v>
      </c>
      <c r="L35" s="8">
        <v>40</v>
      </c>
      <c r="M35" s="8">
        <v>0</v>
      </c>
      <c r="N35" s="48">
        <f t="shared" si="0"/>
        <v>644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330F-9CE9-4517-81FB-AE3EFAB15A3E}">
  <dimension ref="A1:Q37"/>
  <sheetViews>
    <sheetView workbookViewId="0">
      <selection activeCell="L4" sqref="L4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33" t="s">
        <v>83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46031</v>
      </c>
      <c r="J2" s="6">
        <v>46038</v>
      </c>
      <c r="K2" s="6">
        <v>46045</v>
      </c>
      <c r="L2" s="6">
        <v>46052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7400</v>
      </c>
      <c r="G3" s="1"/>
      <c r="H3" s="8">
        <v>0</v>
      </c>
      <c r="I3" s="8">
        <v>0</v>
      </c>
      <c r="J3" s="8">
        <v>500</v>
      </c>
      <c r="K3" s="8">
        <v>500</v>
      </c>
      <c r="L3" s="8">
        <v>500</v>
      </c>
      <c r="M3" s="8">
        <v>0</v>
      </c>
      <c r="N3" s="14">
        <f t="shared" ref="N3:N37" si="0">+F3-I3-J3-K3-L3-M3+H3</f>
        <v>5900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3500</v>
      </c>
      <c r="G4" s="1"/>
      <c r="H4" s="8">
        <v>0</v>
      </c>
      <c r="I4" s="8">
        <v>0</v>
      </c>
      <c r="J4" s="8">
        <v>0</v>
      </c>
      <c r="K4" s="8">
        <v>1000</v>
      </c>
      <c r="L4" s="8">
        <v>0</v>
      </c>
      <c r="M4" s="8">
        <v>0</v>
      </c>
      <c r="N4" s="14">
        <f t="shared" si="0"/>
        <v>2500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450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450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2000</v>
      </c>
      <c r="G6" s="1"/>
      <c r="H6" s="8">
        <v>0</v>
      </c>
      <c r="I6" s="8">
        <v>0</v>
      </c>
      <c r="J6" s="8">
        <v>0</v>
      </c>
      <c r="K6" s="8">
        <v>300</v>
      </c>
      <c r="L6" s="8">
        <v>0</v>
      </c>
      <c r="M6" s="8">
        <v>0</v>
      </c>
      <c r="N6" s="14">
        <f t="shared" si="0"/>
        <v>1700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1500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1500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10000</v>
      </c>
      <c r="G10" s="1"/>
      <c r="H10" s="8">
        <v>0</v>
      </c>
      <c r="I10" s="8">
        <v>0</v>
      </c>
      <c r="J10" s="8">
        <v>0</v>
      </c>
      <c r="K10" s="8">
        <v>2000</v>
      </c>
      <c r="L10" s="8">
        <v>0</v>
      </c>
      <c r="M10" s="8">
        <v>0</v>
      </c>
      <c r="N10" s="14">
        <f t="shared" si="0"/>
        <v>8000</v>
      </c>
      <c r="O10" s="1"/>
      <c r="P10" s="34">
        <v>10000</v>
      </c>
      <c r="Q10" s="27">
        <v>50000</v>
      </c>
    </row>
    <row r="11" spans="1:17" ht="23.25" customHeight="1" x14ac:dyDescent="0.25">
      <c r="A11" s="10">
        <v>9</v>
      </c>
      <c r="B11" s="2" t="s">
        <v>7</v>
      </c>
      <c r="F11" s="9">
        <v>7300</v>
      </c>
      <c r="G11" s="1">
        <v>0</v>
      </c>
      <c r="H11" s="8">
        <v>5000</v>
      </c>
      <c r="I11" s="8">
        <v>900</v>
      </c>
      <c r="J11" s="8">
        <v>600</v>
      </c>
      <c r="K11" s="8">
        <v>1280</v>
      </c>
      <c r="L11" s="8">
        <v>650</v>
      </c>
      <c r="M11" s="8">
        <v>0</v>
      </c>
      <c r="N11" s="14">
        <f t="shared" si="0"/>
        <v>8870</v>
      </c>
      <c r="O11" s="1" t="s">
        <v>48</v>
      </c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1155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1155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259</v>
      </c>
      <c r="G14" s="2"/>
      <c r="H14" s="8">
        <v>0</v>
      </c>
      <c r="I14" s="8">
        <v>0</v>
      </c>
      <c r="J14" s="8">
        <v>70</v>
      </c>
      <c r="K14" s="8">
        <v>0</v>
      </c>
      <c r="L14" s="8">
        <v>0</v>
      </c>
      <c r="M14" s="8">
        <v>0</v>
      </c>
      <c r="N14" s="15">
        <f t="shared" si="0"/>
        <v>189</v>
      </c>
      <c r="O14" s="1"/>
      <c r="P14" s="34">
        <v>300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0</v>
      </c>
      <c r="G15" s="1"/>
      <c r="H15" s="8">
        <v>500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270</v>
      </c>
      <c r="G17" s="1">
        <v>165</v>
      </c>
      <c r="H17" s="8">
        <v>500</v>
      </c>
      <c r="I17" s="8">
        <v>80</v>
      </c>
      <c r="J17" s="8">
        <v>0</v>
      </c>
      <c r="K17" s="8">
        <v>40</v>
      </c>
      <c r="L17" s="8">
        <v>90</v>
      </c>
      <c r="M17" s="8">
        <v>0</v>
      </c>
      <c r="N17" s="15">
        <f t="shared" si="0"/>
        <v>560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4700</v>
      </c>
      <c r="G18" s="1">
        <v>500</v>
      </c>
      <c r="H18" s="8">
        <v>0</v>
      </c>
      <c r="I18" s="8">
        <v>0</v>
      </c>
      <c r="J18" s="8">
        <v>600</v>
      </c>
      <c r="K18" s="8">
        <v>0</v>
      </c>
      <c r="L18" s="8">
        <v>0</v>
      </c>
      <c r="M18" s="8">
        <v>0</v>
      </c>
      <c r="N18" s="13">
        <f t="shared" si="0"/>
        <v>4100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110</v>
      </c>
      <c r="G19" s="1"/>
      <c r="H19" s="8">
        <v>0</v>
      </c>
      <c r="I19" s="8">
        <v>0</v>
      </c>
      <c r="J19" s="8">
        <v>0</v>
      </c>
      <c r="K19" s="8">
        <v>0</v>
      </c>
      <c r="L19" s="8">
        <v>40</v>
      </c>
      <c r="M19" s="8">
        <v>0</v>
      </c>
      <c r="N19" s="15">
        <f t="shared" si="0"/>
        <v>70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30</v>
      </c>
      <c r="G20" s="1"/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30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920</v>
      </c>
      <c r="G22" s="1"/>
      <c r="H22" s="8">
        <v>0</v>
      </c>
      <c r="I22" s="8">
        <v>0</v>
      </c>
      <c r="J22" s="8">
        <v>20</v>
      </c>
      <c r="K22" s="8">
        <v>0</v>
      </c>
      <c r="L22" s="8">
        <v>0</v>
      </c>
      <c r="M22" s="8">
        <v>0</v>
      </c>
      <c r="N22" s="15">
        <f t="shared" si="0"/>
        <v>900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215</v>
      </c>
      <c r="G23" s="1"/>
      <c r="H23" s="8">
        <v>1000</v>
      </c>
      <c r="I23" s="8">
        <v>164</v>
      </c>
      <c r="J23" s="8">
        <v>160</v>
      </c>
      <c r="K23" s="8">
        <v>629</v>
      </c>
      <c r="L23" s="8">
        <v>202</v>
      </c>
      <c r="M23" s="8">
        <v>0</v>
      </c>
      <c r="N23" s="15">
        <f t="shared" si="0"/>
        <v>60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190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60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60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8400</v>
      </c>
      <c r="G26" s="1"/>
      <c r="H26" s="8">
        <v>5000</v>
      </c>
      <c r="I26" s="8">
        <v>650</v>
      </c>
      <c r="J26" s="8">
        <v>1000</v>
      </c>
      <c r="K26" s="8">
        <v>1000</v>
      </c>
      <c r="L26" s="8">
        <v>800</v>
      </c>
      <c r="M26" s="8">
        <v>0</v>
      </c>
      <c r="N26" s="15">
        <f t="shared" si="0"/>
        <v>9950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499</v>
      </c>
      <c r="G27" s="1"/>
      <c r="H27" s="8">
        <v>500</v>
      </c>
      <c r="I27" s="8">
        <v>0</v>
      </c>
      <c r="J27" s="8">
        <v>220</v>
      </c>
      <c r="K27" s="8">
        <v>0</v>
      </c>
      <c r="L27" s="8">
        <v>0</v>
      </c>
      <c r="M27" s="8">
        <v>0</v>
      </c>
      <c r="N27" s="15">
        <f t="shared" si="0"/>
        <v>779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565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565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101</v>
      </c>
      <c r="G30" s="1"/>
      <c r="H30" s="8">
        <v>0</v>
      </c>
      <c r="I30" s="8">
        <v>22</v>
      </c>
      <c r="J30" s="8">
        <v>0</v>
      </c>
      <c r="K30" s="8">
        <v>32</v>
      </c>
      <c r="L30" s="8">
        <v>23</v>
      </c>
      <c r="M30" s="8">
        <v>0</v>
      </c>
      <c r="N30" s="15">
        <f t="shared" si="0"/>
        <v>24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10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10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10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10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10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10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1">
        <v>454</v>
      </c>
      <c r="G34" s="1"/>
      <c r="H34" s="8">
        <v>900</v>
      </c>
      <c r="I34" s="8">
        <v>60</v>
      </c>
      <c r="J34" s="8">
        <v>40</v>
      </c>
      <c r="K34" s="8">
        <v>0</v>
      </c>
      <c r="L34" s="8">
        <v>0</v>
      </c>
      <c r="M34" s="8">
        <v>0</v>
      </c>
      <c r="N34" s="48">
        <f t="shared" si="0"/>
        <v>1254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644</v>
      </c>
      <c r="G35" s="1"/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48">
        <f t="shared" si="0"/>
        <v>644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6BF0-232A-4BF7-8813-19B264355CA7}">
  <dimension ref="A1:Q37"/>
  <sheetViews>
    <sheetView tabSelected="1" topLeftCell="A8" workbookViewId="0">
      <selection activeCell="K8" sqref="K8"/>
    </sheetView>
  </sheetViews>
  <sheetFormatPr defaultRowHeight="15" x14ac:dyDescent="0.25"/>
  <cols>
    <col min="1" max="1" width="6.42578125" customWidth="1"/>
    <col min="2" max="2" width="26.85546875" customWidth="1"/>
    <col min="3" max="3" width="0.140625" customWidth="1"/>
    <col min="4" max="4" width="9" hidden="1" customWidth="1"/>
    <col min="5" max="5" width="9.140625" hidden="1" customWidth="1"/>
    <col min="6" max="6" width="9.42578125" customWidth="1"/>
    <col min="7" max="7" width="0.140625" customWidth="1"/>
    <col min="9" max="10" width="10.140625" bestFit="1" customWidth="1"/>
    <col min="11" max="11" width="9.85546875" customWidth="1"/>
    <col min="12" max="13" width="10.140625" bestFit="1" customWidth="1"/>
    <col min="15" max="15" width="19.28515625" customWidth="1"/>
    <col min="16" max="16" width="10.85546875" customWidth="1"/>
    <col min="17" max="17" width="12" customWidth="1"/>
  </cols>
  <sheetData>
    <row r="1" spans="1:17" x14ac:dyDescent="0.25">
      <c r="B1" s="49" t="s">
        <v>84</v>
      </c>
      <c r="Q1" s="45">
        <v>45656</v>
      </c>
    </row>
    <row r="2" spans="1:17" ht="23.25" customHeight="1" x14ac:dyDescent="0.25">
      <c r="A2" s="7" t="s">
        <v>29</v>
      </c>
      <c r="B2" s="2" t="s">
        <v>9</v>
      </c>
      <c r="C2" s="3"/>
      <c r="D2" s="3"/>
      <c r="E2" s="3"/>
      <c r="F2" s="29" t="s">
        <v>35</v>
      </c>
      <c r="G2" s="5" t="s">
        <v>19</v>
      </c>
      <c r="H2" s="7" t="s">
        <v>11</v>
      </c>
      <c r="I2" s="6">
        <v>46059</v>
      </c>
      <c r="J2" s="6">
        <v>46066</v>
      </c>
      <c r="K2" s="6">
        <v>46073</v>
      </c>
      <c r="L2" s="6">
        <v>46080</v>
      </c>
      <c r="M2" s="6">
        <v>0</v>
      </c>
      <c r="N2" s="2" t="s">
        <v>10</v>
      </c>
      <c r="O2" s="2" t="s">
        <v>13</v>
      </c>
      <c r="P2" s="36" t="s">
        <v>30</v>
      </c>
      <c r="Q2" s="26" t="s">
        <v>31</v>
      </c>
    </row>
    <row r="3" spans="1:17" ht="23.25" customHeight="1" x14ac:dyDescent="0.25">
      <c r="A3" s="10">
        <v>1</v>
      </c>
      <c r="B3" s="2" t="s">
        <v>0</v>
      </c>
      <c r="C3" t="s">
        <v>48</v>
      </c>
      <c r="F3" s="9">
        <v>5900</v>
      </c>
      <c r="G3" s="1"/>
      <c r="H3" s="8">
        <v>0</v>
      </c>
      <c r="I3" s="8">
        <v>500</v>
      </c>
      <c r="J3" s="8">
        <v>500</v>
      </c>
      <c r="K3" s="8">
        <v>500</v>
      </c>
      <c r="L3" s="8">
        <v>0</v>
      </c>
      <c r="M3" s="8">
        <v>0</v>
      </c>
      <c r="N3" s="14">
        <f t="shared" ref="N3:N37" si="0">+F3-I3-J3-K3-L3-M3+H3</f>
        <v>4400</v>
      </c>
      <c r="O3" s="1"/>
      <c r="P3" s="34">
        <v>3000</v>
      </c>
      <c r="Q3" s="27">
        <v>10000</v>
      </c>
    </row>
    <row r="4" spans="1:17" ht="23.25" customHeight="1" x14ac:dyDescent="0.25">
      <c r="A4" s="10">
        <v>2</v>
      </c>
      <c r="B4" s="2" t="s">
        <v>1</v>
      </c>
      <c r="F4" s="9">
        <v>2500</v>
      </c>
      <c r="G4" s="1"/>
      <c r="H4" s="8">
        <v>5000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f t="shared" si="0"/>
        <v>7500</v>
      </c>
      <c r="O4" s="1"/>
      <c r="P4" s="34">
        <v>7000</v>
      </c>
      <c r="Q4" s="27">
        <v>20000</v>
      </c>
    </row>
    <row r="5" spans="1:17" ht="23.25" customHeight="1" x14ac:dyDescent="0.25">
      <c r="A5" s="10">
        <v>3</v>
      </c>
      <c r="B5" s="2" t="s">
        <v>71</v>
      </c>
      <c r="F5" s="9">
        <v>450</v>
      </c>
      <c r="G5" s="1">
        <v>1000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4">
        <f t="shared" si="0"/>
        <v>450</v>
      </c>
      <c r="O5" s="1" t="s">
        <v>48</v>
      </c>
      <c r="P5" s="34">
        <v>500</v>
      </c>
      <c r="Q5" s="27">
        <v>2000</v>
      </c>
    </row>
    <row r="6" spans="1:17" ht="23.25" customHeight="1" x14ac:dyDescent="0.25">
      <c r="A6" s="10">
        <v>4</v>
      </c>
      <c r="B6" s="2" t="s">
        <v>3</v>
      </c>
      <c r="F6" s="9">
        <v>1700</v>
      </c>
      <c r="G6" s="1"/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f t="shared" si="0"/>
        <v>1700</v>
      </c>
      <c r="O6" s="1" t="s">
        <v>17</v>
      </c>
      <c r="P6" s="34">
        <v>250</v>
      </c>
      <c r="Q6" s="38">
        <v>1000</v>
      </c>
    </row>
    <row r="7" spans="1:17" ht="23.25" customHeight="1" x14ac:dyDescent="0.25">
      <c r="A7" s="10">
        <v>5</v>
      </c>
      <c r="B7" s="2" t="s">
        <v>4</v>
      </c>
      <c r="F7" s="9">
        <v>121</v>
      </c>
      <c r="G7" s="1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4">
        <f t="shared" si="0"/>
        <v>121</v>
      </c>
      <c r="O7" s="1" t="s">
        <v>14</v>
      </c>
      <c r="P7" s="34">
        <v>100</v>
      </c>
      <c r="Q7" s="27">
        <v>500</v>
      </c>
    </row>
    <row r="8" spans="1:17" ht="23.25" customHeight="1" x14ac:dyDescent="0.25">
      <c r="A8" s="10">
        <v>6</v>
      </c>
      <c r="B8" s="2" t="s">
        <v>54</v>
      </c>
      <c r="F8" s="9">
        <v>2000</v>
      </c>
      <c r="G8" s="1"/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 t="shared" si="0"/>
        <v>2000</v>
      </c>
      <c r="O8" s="1" t="s">
        <v>48</v>
      </c>
      <c r="P8" s="34">
        <v>1000</v>
      </c>
      <c r="Q8" s="27">
        <v>10000</v>
      </c>
    </row>
    <row r="9" spans="1:17" ht="23.25" customHeight="1" x14ac:dyDescent="0.25">
      <c r="A9" s="10">
        <v>7</v>
      </c>
      <c r="B9" s="2" t="s">
        <v>5</v>
      </c>
      <c r="F9" s="9">
        <v>1200</v>
      </c>
      <c r="G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4">
        <f t="shared" si="0"/>
        <v>1200</v>
      </c>
      <c r="O9" s="1" t="s">
        <v>15</v>
      </c>
      <c r="P9" s="34">
        <v>1000</v>
      </c>
      <c r="Q9" s="27">
        <v>3000</v>
      </c>
    </row>
    <row r="10" spans="1:17" ht="23.25" customHeight="1" x14ac:dyDescent="0.25">
      <c r="A10" s="10">
        <v>8</v>
      </c>
      <c r="B10" s="2" t="s">
        <v>6</v>
      </c>
      <c r="F10" s="9">
        <v>8000</v>
      </c>
      <c r="G10" s="1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14">
        <f t="shared" si="0"/>
        <v>8000</v>
      </c>
      <c r="O10" s="1"/>
      <c r="P10" s="34">
        <v>5000</v>
      </c>
      <c r="Q10" s="27">
        <v>20000</v>
      </c>
    </row>
    <row r="11" spans="1:17" ht="23.25" customHeight="1" x14ac:dyDescent="0.25">
      <c r="A11" s="10">
        <v>9</v>
      </c>
      <c r="B11" s="2" t="s">
        <v>7</v>
      </c>
      <c r="F11" s="9">
        <v>8870</v>
      </c>
      <c r="G11" s="1">
        <v>0</v>
      </c>
      <c r="H11" s="8">
        <v>0</v>
      </c>
      <c r="I11" s="8">
        <v>600</v>
      </c>
      <c r="J11" s="8">
        <v>400</v>
      </c>
      <c r="K11" s="8">
        <v>400</v>
      </c>
      <c r="L11" s="8">
        <v>0</v>
      </c>
      <c r="M11" s="8">
        <v>0</v>
      </c>
      <c r="N11" s="14">
        <f t="shared" si="0"/>
        <v>7470</v>
      </c>
      <c r="O11" s="1" t="s">
        <v>48</v>
      </c>
      <c r="P11" s="34">
        <v>7500</v>
      </c>
      <c r="Q11" s="27">
        <v>30000</v>
      </c>
    </row>
    <row r="12" spans="1:17" ht="23.25" customHeight="1" x14ac:dyDescent="0.25">
      <c r="A12" s="10">
        <v>10</v>
      </c>
      <c r="B12" s="2" t="s">
        <v>59</v>
      </c>
      <c r="F12" s="9">
        <v>1155</v>
      </c>
      <c r="G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14">
        <f t="shared" si="0"/>
        <v>1155</v>
      </c>
      <c r="O12" s="1"/>
      <c r="P12" s="34">
        <v>200</v>
      </c>
      <c r="Q12" s="38">
        <v>1500</v>
      </c>
    </row>
    <row r="13" spans="1:17" ht="23.25" customHeight="1" x14ac:dyDescent="0.25">
      <c r="A13" s="10">
        <v>11</v>
      </c>
      <c r="B13" s="2" t="s">
        <v>12</v>
      </c>
      <c r="F13" s="9">
        <v>700</v>
      </c>
      <c r="G13" s="1"/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4">
        <f t="shared" si="0"/>
        <v>700</v>
      </c>
      <c r="O13" s="1"/>
      <c r="P13" s="34">
        <v>2000</v>
      </c>
      <c r="Q13" s="27">
        <v>5000</v>
      </c>
    </row>
    <row r="14" spans="1:17" ht="23.25" customHeight="1" x14ac:dyDescent="0.25">
      <c r="A14" s="10">
        <v>12</v>
      </c>
      <c r="B14" s="2" t="s">
        <v>24</v>
      </c>
      <c r="C14" s="3"/>
      <c r="D14" s="3"/>
      <c r="E14" s="3"/>
      <c r="F14" s="9">
        <v>189</v>
      </c>
      <c r="G14" s="2"/>
      <c r="H14" s="8">
        <v>1500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5">
        <f t="shared" si="0"/>
        <v>1689</v>
      </c>
      <c r="O14" s="1"/>
      <c r="P14" s="34">
        <v>300</v>
      </c>
      <c r="Q14" s="27">
        <v>3000</v>
      </c>
    </row>
    <row r="15" spans="1:17" ht="23.25" customHeight="1" x14ac:dyDescent="0.25">
      <c r="A15" s="10">
        <v>13</v>
      </c>
      <c r="B15" s="2" t="s">
        <v>18</v>
      </c>
      <c r="F15" s="9">
        <v>500</v>
      </c>
      <c r="G15" s="1"/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5">
        <f t="shared" si="0"/>
        <v>500</v>
      </c>
      <c r="O15" s="1"/>
      <c r="P15" s="34">
        <v>500</v>
      </c>
      <c r="Q15" s="27">
        <v>3000</v>
      </c>
    </row>
    <row r="16" spans="1:17" ht="23.25" customHeight="1" x14ac:dyDescent="0.25">
      <c r="A16" s="10">
        <v>14</v>
      </c>
      <c r="B16" s="2" t="s">
        <v>70</v>
      </c>
      <c r="C16" s="3">
        <v>350</v>
      </c>
      <c r="D16" s="3"/>
      <c r="E16" s="3"/>
      <c r="F16" s="9">
        <v>150</v>
      </c>
      <c r="G16" s="1"/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5">
        <f t="shared" si="0"/>
        <v>150</v>
      </c>
      <c r="O16" s="1"/>
      <c r="P16" s="34">
        <v>500</v>
      </c>
      <c r="Q16" s="27">
        <v>2000</v>
      </c>
    </row>
    <row r="17" spans="1:17" ht="23.25" customHeight="1" x14ac:dyDescent="0.25">
      <c r="A17" s="10">
        <v>15</v>
      </c>
      <c r="B17" s="2" t="s">
        <v>32</v>
      </c>
      <c r="C17" s="3"/>
      <c r="D17" s="3"/>
      <c r="E17" s="3"/>
      <c r="F17" s="9">
        <v>560</v>
      </c>
      <c r="G17" s="1">
        <v>165</v>
      </c>
      <c r="H17" s="8">
        <v>0</v>
      </c>
      <c r="I17" s="8">
        <v>40</v>
      </c>
      <c r="J17" s="8">
        <v>90</v>
      </c>
      <c r="K17" s="8">
        <v>40</v>
      </c>
      <c r="L17" s="8">
        <v>0</v>
      </c>
      <c r="M17" s="8">
        <v>0</v>
      </c>
      <c r="N17" s="15">
        <f t="shared" si="0"/>
        <v>390</v>
      </c>
      <c r="O17" s="1"/>
      <c r="P17" s="34">
        <v>200</v>
      </c>
      <c r="Q17" s="27">
        <v>1000</v>
      </c>
    </row>
    <row r="18" spans="1:17" ht="23.25" customHeight="1" x14ac:dyDescent="0.25">
      <c r="A18" s="10">
        <v>16</v>
      </c>
      <c r="B18" s="2" t="s">
        <v>21</v>
      </c>
      <c r="C18" s="3"/>
      <c r="D18" s="3"/>
      <c r="E18" s="3"/>
      <c r="F18" s="9">
        <v>1900</v>
      </c>
      <c r="G18" s="1">
        <v>500</v>
      </c>
      <c r="H18" s="8">
        <v>5000</v>
      </c>
      <c r="I18" s="8">
        <v>500</v>
      </c>
      <c r="J18" s="8">
        <v>0</v>
      </c>
      <c r="K18" s="8">
        <v>0</v>
      </c>
      <c r="L18" s="8">
        <v>0</v>
      </c>
      <c r="M18" s="8">
        <v>0</v>
      </c>
      <c r="N18" s="13">
        <f t="shared" si="0"/>
        <v>6400</v>
      </c>
      <c r="O18" s="1"/>
      <c r="P18" s="34">
        <v>2000</v>
      </c>
      <c r="Q18" s="27">
        <v>5000</v>
      </c>
    </row>
    <row r="19" spans="1:17" ht="23.25" customHeight="1" x14ac:dyDescent="0.25">
      <c r="A19" s="10">
        <v>17</v>
      </c>
      <c r="B19" s="2" t="s">
        <v>53</v>
      </c>
      <c r="C19" s="3"/>
      <c r="D19" s="3"/>
      <c r="E19" s="3"/>
      <c r="F19" s="9">
        <v>120</v>
      </c>
      <c r="G19" s="1"/>
      <c r="H19" s="8">
        <v>200</v>
      </c>
      <c r="I19" s="8">
        <v>155</v>
      </c>
      <c r="J19" s="8">
        <v>0</v>
      </c>
      <c r="K19" s="8">
        <v>0</v>
      </c>
      <c r="L19" s="8">
        <v>0</v>
      </c>
      <c r="M19" s="8">
        <v>0</v>
      </c>
      <c r="N19" s="15">
        <f t="shared" si="0"/>
        <v>165</v>
      </c>
      <c r="O19" s="1"/>
      <c r="P19" s="34">
        <v>100</v>
      </c>
      <c r="Q19" s="27">
        <v>300</v>
      </c>
    </row>
    <row r="20" spans="1:17" ht="23.25" customHeight="1" x14ac:dyDescent="0.25">
      <c r="A20" s="10">
        <v>18</v>
      </c>
      <c r="B20" s="2" t="s">
        <v>55</v>
      </c>
      <c r="C20" s="3"/>
      <c r="D20" s="3"/>
      <c r="E20" s="3"/>
      <c r="F20" s="9">
        <v>30</v>
      </c>
      <c r="G20" s="1"/>
      <c r="H20" s="8">
        <v>100</v>
      </c>
      <c r="I20" s="8">
        <v>50</v>
      </c>
      <c r="J20" s="8">
        <v>0</v>
      </c>
      <c r="K20" s="8">
        <v>0</v>
      </c>
      <c r="L20" s="8">
        <v>0</v>
      </c>
      <c r="M20" s="8">
        <v>0</v>
      </c>
      <c r="N20" s="15">
        <f t="shared" si="0"/>
        <v>80</v>
      </c>
      <c r="O20" s="1" t="s">
        <v>63</v>
      </c>
      <c r="P20" s="34">
        <v>100</v>
      </c>
      <c r="Q20" s="27">
        <v>300</v>
      </c>
    </row>
    <row r="21" spans="1:17" ht="21" customHeight="1" x14ac:dyDescent="0.25">
      <c r="A21" s="10">
        <v>19</v>
      </c>
      <c r="B21" s="22" t="s">
        <v>48</v>
      </c>
      <c r="C21" s="3"/>
      <c r="D21" s="3"/>
      <c r="E21" s="3"/>
      <c r="F21" s="9">
        <v>0</v>
      </c>
      <c r="G21" s="19">
        <v>425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21">
        <f t="shared" si="0"/>
        <v>0</v>
      </c>
      <c r="O21" s="19"/>
      <c r="P21" s="34" t="s">
        <v>48</v>
      </c>
      <c r="Q21" s="27" t="s">
        <v>48</v>
      </c>
    </row>
    <row r="22" spans="1:17" ht="18.75" customHeight="1" x14ac:dyDescent="0.25">
      <c r="A22" s="10">
        <v>20</v>
      </c>
      <c r="B22" s="16" t="s">
        <v>26</v>
      </c>
      <c r="C22" s="1"/>
      <c r="D22" s="1"/>
      <c r="E22" s="1"/>
      <c r="F22" s="9">
        <v>900</v>
      </c>
      <c r="G22" s="1"/>
      <c r="H22" s="8">
        <v>0</v>
      </c>
      <c r="I22" s="8">
        <v>10</v>
      </c>
      <c r="J22" s="8">
        <v>31</v>
      </c>
      <c r="K22" s="8">
        <v>8</v>
      </c>
      <c r="L22" s="8">
        <v>0</v>
      </c>
      <c r="M22" s="8">
        <v>0</v>
      </c>
      <c r="N22" s="15">
        <f t="shared" si="0"/>
        <v>851</v>
      </c>
      <c r="O22" s="1"/>
      <c r="P22" s="34">
        <v>500</v>
      </c>
      <c r="Q22" s="27">
        <v>1000</v>
      </c>
    </row>
    <row r="23" spans="1:17" ht="19.5" customHeight="1" x14ac:dyDescent="0.25">
      <c r="A23" s="10">
        <v>21</v>
      </c>
      <c r="B23" s="16" t="s">
        <v>46</v>
      </c>
      <c r="F23" s="32">
        <v>60</v>
      </c>
      <c r="G23" s="1"/>
      <c r="H23" s="8">
        <v>944</v>
      </c>
      <c r="I23" s="8">
        <v>300</v>
      </c>
      <c r="J23" s="8">
        <v>192</v>
      </c>
      <c r="K23" s="8">
        <v>90</v>
      </c>
      <c r="L23" s="8">
        <v>0</v>
      </c>
      <c r="M23" s="8">
        <v>0</v>
      </c>
      <c r="N23" s="15">
        <f t="shared" si="0"/>
        <v>422</v>
      </c>
      <c r="O23" s="1"/>
      <c r="P23" s="35">
        <v>1000</v>
      </c>
      <c r="Q23" s="38">
        <v>5000</v>
      </c>
    </row>
    <row r="24" spans="1:17" ht="18.75" customHeight="1" x14ac:dyDescent="0.25">
      <c r="A24" s="10">
        <v>22</v>
      </c>
      <c r="B24" s="2" t="s">
        <v>22</v>
      </c>
      <c r="C24" s="2"/>
      <c r="D24" s="2"/>
      <c r="E24" s="2"/>
      <c r="F24" s="2">
        <v>190</v>
      </c>
      <c r="G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5">
        <f t="shared" si="0"/>
        <v>190</v>
      </c>
      <c r="O24" s="1"/>
      <c r="P24" s="35">
        <v>100</v>
      </c>
      <c r="Q24" s="38">
        <v>250</v>
      </c>
    </row>
    <row r="25" spans="1:17" ht="18.75" customHeight="1" x14ac:dyDescent="0.25">
      <c r="A25" s="10">
        <v>23</v>
      </c>
      <c r="B25" s="2" t="s">
        <v>78</v>
      </c>
      <c r="C25" s="2"/>
      <c r="D25" s="2"/>
      <c r="E25" s="2"/>
      <c r="F25" s="32">
        <v>60</v>
      </c>
      <c r="G25" s="1"/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5">
        <f t="shared" si="0"/>
        <v>60</v>
      </c>
      <c r="O25" s="1"/>
      <c r="P25" s="35">
        <v>300</v>
      </c>
      <c r="Q25" s="38">
        <v>100</v>
      </c>
    </row>
    <row r="26" spans="1:17" ht="18.75" customHeight="1" x14ac:dyDescent="0.25">
      <c r="A26" s="10">
        <v>24</v>
      </c>
      <c r="B26" s="2" t="s">
        <v>43</v>
      </c>
      <c r="F26" s="32">
        <v>9950</v>
      </c>
      <c r="G26" s="1"/>
      <c r="H26" s="8">
        <v>10000</v>
      </c>
      <c r="I26" s="8">
        <v>2800</v>
      </c>
      <c r="J26" s="8">
        <v>865</v>
      </c>
      <c r="K26" s="8">
        <v>200</v>
      </c>
      <c r="L26" s="8">
        <v>0</v>
      </c>
      <c r="M26" s="8">
        <v>0</v>
      </c>
      <c r="N26" s="15">
        <f t="shared" si="0"/>
        <v>16085</v>
      </c>
      <c r="O26" s="1"/>
      <c r="P26" s="35">
        <v>7500</v>
      </c>
      <c r="Q26" s="38">
        <v>15000</v>
      </c>
    </row>
    <row r="27" spans="1:17" ht="18.75" customHeight="1" x14ac:dyDescent="0.25">
      <c r="A27" s="10">
        <v>25</v>
      </c>
      <c r="B27" s="2" t="s">
        <v>28</v>
      </c>
      <c r="C27" s="1"/>
      <c r="D27" s="1"/>
      <c r="E27" s="1"/>
      <c r="F27" s="9">
        <v>779</v>
      </c>
      <c r="G27" s="1"/>
      <c r="H27" s="8">
        <v>0</v>
      </c>
      <c r="I27" s="8">
        <v>220</v>
      </c>
      <c r="J27" s="8">
        <v>0</v>
      </c>
      <c r="K27" s="8">
        <v>110</v>
      </c>
      <c r="L27" s="8">
        <v>0</v>
      </c>
      <c r="M27" s="8">
        <v>0</v>
      </c>
      <c r="N27" s="15">
        <f t="shared" si="0"/>
        <v>449</v>
      </c>
      <c r="O27" s="1"/>
      <c r="P27" s="34">
        <v>300</v>
      </c>
      <c r="Q27" s="27">
        <v>1000</v>
      </c>
    </row>
    <row r="28" spans="1:17" ht="18.75" customHeight="1" x14ac:dyDescent="0.25">
      <c r="A28" s="39">
        <v>26</v>
      </c>
      <c r="B28" s="22" t="s">
        <v>48</v>
      </c>
      <c r="F28" s="40" t="s">
        <v>48</v>
      </c>
      <c r="G28" s="19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0</v>
      </c>
      <c r="O28" s="19"/>
      <c r="P28" s="46" t="s">
        <v>48</v>
      </c>
      <c r="Q28" s="47">
        <v>0</v>
      </c>
    </row>
    <row r="29" spans="1:17" ht="18" customHeight="1" x14ac:dyDescent="0.25">
      <c r="A29" s="43">
        <v>27</v>
      </c>
      <c r="B29" s="16" t="s">
        <v>60</v>
      </c>
      <c r="C29" s="1"/>
      <c r="D29" s="1"/>
      <c r="E29" s="1"/>
      <c r="F29" s="2">
        <v>564</v>
      </c>
      <c r="G29" s="1"/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15">
        <f t="shared" si="0"/>
        <v>564</v>
      </c>
      <c r="O29" s="1"/>
      <c r="P29" s="35">
        <v>200</v>
      </c>
      <c r="Q29" s="38">
        <v>750</v>
      </c>
    </row>
    <row r="30" spans="1:17" x14ac:dyDescent="0.25">
      <c r="A30" s="10">
        <v>28</v>
      </c>
      <c r="B30" s="2" t="s">
        <v>64</v>
      </c>
      <c r="C30" s="2"/>
      <c r="D30" s="2"/>
      <c r="E30" s="2"/>
      <c r="F30" s="2">
        <v>24</v>
      </c>
      <c r="G30" s="1"/>
      <c r="H30" s="8">
        <v>0</v>
      </c>
      <c r="I30" s="8">
        <v>24</v>
      </c>
      <c r="J30" s="8">
        <v>0</v>
      </c>
      <c r="K30" s="8">
        <v>0</v>
      </c>
      <c r="L30" s="8">
        <v>0</v>
      </c>
      <c r="M30" s="8">
        <v>0</v>
      </c>
      <c r="N30" s="15">
        <f t="shared" si="0"/>
        <v>0</v>
      </c>
      <c r="O30" s="1"/>
      <c r="P30" s="35">
        <v>100</v>
      </c>
      <c r="Q30" s="38">
        <v>300</v>
      </c>
    </row>
    <row r="31" spans="1:17" x14ac:dyDescent="0.25">
      <c r="A31" s="10">
        <v>29</v>
      </c>
      <c r="B31" s="2" t="s">
        <v>67</v>
      </c>
      <c r="C31" s="2"/>
      <c r="D31" s="2"/>
      <c r="E31" s="2"/>
      <c r="F31" s="2">
        <v>10</v>
      </c>
      <c r="G31" s="1"/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5">
        <f t="shared" si="0"/>
        <v>10</v>
      </c>
      <c r="O31" s="1"/>
      <c r="P31" s="35">
        <v>10</v>
      </c>
      <c r="Q31" s="38">
        <v>50</v>
      </c>
    </row>
    <row r="32" spans="1:17" x14ac:dyDescent="0.25">
      <c r="A32" s="10">
        <v>30</v>
      </c>
      <c r="B32" s="2" t="s">
        <v>65</v>
      </c>
      <c r="C32" s="2"/>
      <c r="D32" s="2"/>
      <c r="E32" s="2"/>
      <c r="F32" s="2">
        <v>10</v>
      </c>
      <c r="G32" s="1"/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5">
        <f t="shared" si="0"/>
        <v>10</v>
      </c>
      <c r="O32" s="1"/>
      <c r="P32" s="35">
        <v>7</v>
      </c>
      <c r="Q32" s="38">
        <v>40</v>
      </c>
    </row>
    <row r="33" spans="1:17" x14ac:dyDescent="0.25">
      <c r="A33" s="10">
        <v>31</v>
      </c>
      <c r="B33" s="2" t="s">
        <v>66</v>
      </c>
      <c r="C33" s="2"/>
      <c r="D33" s="2"/>
      <c r="E33" s="2"/>
      <c r="F33" s="2">
        <v>10</v>
      </c>
      <c r="G33" s="1"/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48">
        <f t="shared" si="0"/>
        <v>10</v>
      </c>
      <c r="O33" s="1"/>
      <c r="P33" s="35">
        <v>5</v>
      </c>
      <c r="Q33" s="38">
        <v>20</v>
      </c>
    </row>
    <row r="34" spans="1:17" x14ac:dyDescent="0.25">
      <c r="A34" s="10">
        <v>32</v>
      </c>
      <c r="B34" s="1" t="s">
        <v>68</v>
      </c>
      <c r="C34" s="1"/>
      <c r="D34" s="1"/>
      <c r="E34" s="1"/>
      <c r="F34" s="2">
        <v>1254</v>
      </c>
      <c r="G34" s="1"/>
      <c r="H34" s="8">
        <v>0</v>
      </c>
      <c r="I34" s="8">
        <v>340</v>
      </c>
      <c r="J34" s="8">
        <v>0</v>
      </c>
      <c r="K34" s="8">
        <v>0</v>
      </c>
      <c r="L34" s="8">
        <v>0</v>
      </c>
      <c r="M34" s="8">
        <v>0</v>
      </c>
      <c r="N34" s="48">
        <f t="shared" si="0"/>
        <v>914</v>
      </c>
      <c r="O34" s="1"/>
      <c r="P34" s="35">
        <v>300</v>
      </c>
      <c r="Q34" s="38">
        <v>2000</v>
      </c>
    </row>
    <row r="35" spans="1:17" x14ac:dyDescent="0.25">
      <c r="A35" s="10">
        <v>33</v>
      </c>
      <c r="B35" s="1" t="s">
        <v>69</v>
      </c>
      <c r="C35" s="1"/>
      <c r="D35" s="1"/>
      <c r="E35" s="1"/>
      <c r="F35" s="1">
        <v>644</v>
      </c>
      <c r="G35" s="1"/>
      <c r="H35" s="8">
        <v>0</v>
      </c>
      <c r="I35" s="8">
        <v>40</v>
      </c>
      <c r="J35" s="8">
        <v>0</v>
      </c>
      <c r="K35" s="8">
        <v>0</v>
      </c>
      <c r="L35" s="8">
        <v>0</v>
      </c>
      <c r="M35" s="8">
        <v>0</v>
      </c>
      <c r="N35" s="48">
        <f t="shared" si="0"/>
        <v>604</v>
      </c>
      <c r="O35" s="1"/>
      <c r="P35" s="35">
        <v>500</v>
      </c>
      <c r="Q35" s="38">
        <v>5000</v>
      </c>
    </row>
    <row r="36" spans="1:17" x14ac:dyDescent="0.25">
      <c r="A36" s="10">
        <v>34</v>
      </c>
      <c r="B36" s="1"/>
      <c r="C36" s="1"/>
      <c r="D36" s="1"/>
      <c r="E36" s="1"/>
      <c r="F36" s="1"/>
      <c r="G36" s="1"/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48">
        <f t="shared" si="0"/>
        <v>0</v>
      </c>
      <c r="O36" s="1"/>
      <c r="P36" s="35"/>
      <c r="Q36" s="38"/>
    </row>
    <row r="37" spans="1:17" x14ac:dyDescent="0.25">
      <c r="A37" s="10">
        <v>35</v>
      </c>
      <c r="B37" s="1"/>
      <c r="C37" s="1"/>
      <c r="D37" s="1"/>
      <c r="E37" s="1"/>
      <c r="F37" s="1"/>
      <c r="G37" s="1"/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48">
        <f t="shared" si="0"/>
        <v>0</v>
      </c>
      <c r="O37" s="1"/>
      <c r="P37" s="37"/>
      <c r="Q37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50</vt:i4>
      </vt:variant>
    </vt:vector>
  </HeadingPairs>
  <TitlesOfParts>
    <vt:vector size="50" baseType="lpstr">
      <vt:lpstr>EYLÜL 2025 (2)</vt:lpstr>
      <vt:lpstr>eylül 4 hafta</vt:lpstr>
      <vt:lpstr>ekim 1 hafta </vt:lpstr>
      <vt:lpstr>ekim 2 hafta </vt:lpstr>
      <vt:lpstr>ekim 3 hafta</vt:lpstr>
      <vt:lpstr>ekim 4 hafta </vt:lpstr>
      <vt:lpstr>KASIM 1 HAFTA</vt:lpstr>
      <vt:lpstr>KASIM 2 HAFTA </vt:lpstr>
      <vt:lpstr>KASIM 3 HAFTA </vt:lpstr>
      <vt:lpstr>KASIM 4 HAFTA </vt:lpstr>
      <vt:lpstr>KASIM 5 HAFTA  </vt:lpstr>
      <vt:lpstr>ARALIK 1 HAFTA</vt:lpstr>
      <vt:lpstr>ARALIK 2 HAFTA </vt:lpstr>
      <vt:lpstr>ARALIK 3 HAFTA </vt:lpstr>
      <vt:lpstr>ARALIK 4 HAFTA</vt:lpstr>
      <vt:lpstr>OCAK 1 HAFTA</vt:lpstr>
      <vt:lpstr>OCAK 2 HAFTA </vt:lpstr>
      <vt:lpstr>OCAK 3 HAFTA </vt:lpstr>
      <vt:lpstr>HAZ-TEM.2023</vt:lpstr>
      <vt:lpstr>TEMMUZ 2023</vt:lpstr>
      <vt:lpstr>AĞUSTOS 2023</vt:lpstr>
      <vt:lpstr>EYLÜL 2023</vt:lpstr>
      <vt:lpstr>EKİM 2023</vt:lpstr>
      <vt:lpstr>KASIM 2023</vt:lpstr>
      <vt:lpstr>ARALIK2023</vt:lpstr>
      <vt:lpstr>OCAK 2024</vt:lpstr>
      <vt:lpstr>ŞUBAT 2024</vt:lpstr>
      <vt:lpstr>MART 2024</vt:lpstr>
      <vt:lpstr>NİSAN 2024</vt:lpstr>
      <vt:lpstr>mayıs 2024</vt:lpstr>
      <vt:lpstr>HAZİRAN 2024</vt:lpstr>
      <vt:lpstr>TEMMUZ 2024</vt:lpstr>
      <vt:lpstr>AĞUSTOS 2024</vt:lpstr>
      <vt:lpstr>EYLÜL 2024</vt:lpstr>
      <vt:lpstr>EKİM 2024</vt:lpstr>
      <vt:lpstr>KASIM 2024</vt:lpstr>
      <vt:lpstr>OCAK 2025</vt:lpstr>
      <vt:lpstr>ŞUBAT 2025</vt:lpstr>
      <vt:lpstr>MART 2025</vt:lpstr>
      <vt:lpstr>NİSAN 2025</vt:lpstr>
      <vt:lpstr>MAYIS 2025</vt:lpstr>
      <vt:lpstr>HAZİRAN 2025</vt:lpstr>
      <vt:lpstr>TEMMUZ 2025</vt:lpstr>
      <vt:lpstr>AĞUSTOS 2025</vt:lpstr>
      <vt:lpstr>EYLÜL 2025</vt:lpstr>
      <vt:lpstr>EKİM 2025</vt:lpstr>
      <vt:lpstr>KASIM 2025</vt:lpstr>
      <vt:lpstr>ARALIK 2025</vt:lpstr>
      <vt:lpstr>OCAK 2026</vt:lpstr>
      <vt:lpstr>ŞUBAT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Gürsoy</dc:creator>
  <cp:lastModifiedBy>Abdulkerim Gürsoy</cp:lastModifiedBy>
  <dcterms:created xsi:type="dcterms:W3CDTF">2022-09-02T14:06:51Z</dcterms:created>
  <dcterms:modified xsi:type="dcterms:W3CDTF">2026-02-24T07:57:02Z</dcterms:modified>
</cp:coreProperties>
</file>