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kerim.gursoy\Desktop\DEPO STOK\"/>
    </mc:Choice>
  </mc:AlternateContent>
  <xr:revisionPtr revIDLastSave="0" documentId="13_ncr:1_{63BD8A2E-6A3D-45B3-88FF-0496C0E6EC4B}" xr6:coauthVersionLast="47" xr6:coauthVersionMax="47" xr10:uidLastSave="{00000000-0000-0000-0000-000000000000}"/>
  <bookViews>
    <workbookView xWindow="3795" yWindow="2295" windowWidth="19350" windowHeight="9270" firstSheet="48" activeTab="53" xr2:uid="{00000000-000D-0000-FFFF-FFFF00000000}"/>
  </bookViews>
  <sheets>
    <sheet name="EYLÜL 2025 (2)" sheetId="50" r:id="rId1"/>
    <sheet name="1 HAFTA" sheetId="1" r:id="rId2"/>
    <sheet name="eylül 4 HAFTA" sheetId="2" r:id="rId3"/>
    <sheet name="ekim 1 hafta" sheetId="4" r:id="rId4"/>
    <sheet name="ekim 2 hafta " sheetId="5" r:id="rId5"/>
    <sheet name="ekim 3 hafta " sheetId="6" r:id="rId6"/>
    <sheet name="ekim 4 hafta " sheetId="7" r:id="rId7"/>
    <sheet name="KASIM 1 HAFTA" sheetId="8" r:id="rId8"/>
    <sheet name="KASIM 2 HAFTA " sheetId="9" r:id="rId9"/>
    <sheet name="KASIM 3 HAFTA " sheetId="10" r:id="rId10"/>
    <sheet name="KASIM 4 HAFTA " sheetId="11" r:id="rId11"/>
    <sheet name="KASIM 5 HAFTA " sheetId="12" r:id="rId12"/>
    <sheet name="ARALIK 1 HAFTA " sheetId="13" r:id="rId13"/>
    <sheet name="ARALIK 2 HAFTA " sheetId="14" r:id="rId14"/>
    <sheet name="ARALIK 3 HAFTA " sheetId="15" r:id="rId15"/>
    <sheet name="ARALIK 4 HAFTA " sheetId="16" r:id="rId16"/>
    <sheet name="OCAK 1 HAFTA" sheetId="17" r:id="rId17"/>
    <sheet name="OCAK 2 HAFTA " sheetId="18" r:id="rId18"/>
    <sheet name="OCAK 3 HAFTA " sheetId="19" r:id="rId19"/>
    <sheet name="OCAK 4 HAFTA " sheetId="20" r:id="rId20"/>
    <sheet name="OCAK5-ŞUBAT 1 HAFTA " sheetId="21" r:id="rId21"/>
    <sheet name="MART 3 HAFTA" sheetId="22" r:id="rId22"/>
    <sheet name="HAZ.TEM.2023" sheetId="23" r:id="rId23"/>
    <sheet name="TEMMUZ 2023" sheetId="24" r:id="rId24"/>
    <sheet name="AĞUSTOS 2023 " sheetId="25" r:id="rId25"/>
    <sheet name="EYLÜL 2023" sheetId="26" r:id="rId26"/>
    <sheet name="EKİM 2023" sheetId="27" r:id="rId27"/>
    <sheet name="KASIM2023" sheetId="28" r:id="rId28"/>
    <sheet name="ARALIK2023" sheetId="29" r:id="rId29"/>
    <sheet name="OCAK 2024" sheetId="30" r:id="rId30"/>
    <sheet name="ŞUBAT 2024" sheetId="31" r:id="rId31"/>
    <sheet name="MART 2024" sheetId="32" r:id="rId32"/>
    <sheet name="NİSAN 2024" sheetId="33" r:id="rId33"/>
    <sheet name="MAYIS 2024" sheetId="34" r:id="rId34"/>
    <sheet name="HAZİRAN 2024" sheetId="35" r:id="rId35"/>
    <sheet name="TEMMUZ 2024" sheetId="36" r:id="rId36"/>
    <sheet name="AĞUSTOS 2024" sheetId="37" r:id="rId37"/>
    <sheet name="EYLÜL 2024" sheetId="38" r:id="rId38"/>
    <sheet name="EKİM 2024" sheetId="39" r:id="rId39"/>
    <sheet name="KASIM 2024" sheetId="40" r:id="rId40"/>
    <sheet name="OCAK 2025" sheetId="41" r:id="rId41"/>
    <sheet name="ŞUBAT 2025" sheetId="42" r:id="rId42"/>
    <sheet name="MART 2025" sheetId="43" r:id="rId43"/>
    <sheet name="NİSAN 2025" sheetId="44" r:id="rId44"/>
    <sheet name="MAYIS 2025" sheetId="45" r:id="rId45"/>
    <sheet name="HAZİRAN 2025" sheetId="46" r:id="rId46"/>
    <sheet name="TEMMUZ 2025" sheetId="47" r:id="rId47"/>
    <sheet name="AĞUSTOS 2025" sheetId="48" r:id="rId48"/>
    <sheet name="EYLÜL 2025" sheetId="49" r:id="rId49"/>
    <sheet name="EKİM 2025" sheetId="51" r:id="rId50"/>
    <sheet name="KASIM 2025" sheetId="52" r:id="rId51"/>
    <sheet name="ARALIK 2025" sheetId="53" r:id="rId52"/>
    <sheet name="OCAK 2026" sheetId="54" r:id="rId53"/>
    <sheet name="ŞUBAT 2026" sheetId="55" r:id="rId5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" i="55" l="1"/>
  <c r="O14" i="55"/>
  <c r="O13" i="55"/>
  <c r="O12" i="55"/>
  <c r="O11" i="55"/>
  <c r="O10" i="55"/>
  <c r="O9" i="55"/>
  <c r="O8" i="55"/>
  <c r="O7" i="55"/>
  <c r="O6" i="55"/>
  <c r="O5" i="55"/>
  <c r="O4" i="55"/>
  <c r="O3" i="55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15" i="48"/>
  <c r="O14" i="48"/>
  <c r="O13" i="48"/>
  <c r="O12" i="48"/>
  <c r="O11" i="48"/>
  <c r="O10" i="48"/>
  <c r="O9" i="48"/>
  <c r="O8" i="48"/>
  <c r="O7" i="48"/>
  <c r="O6" i="48"/>
  <c r="O5" i="48"/>
  <c r="O4" i="48"/>
  <c r="O3" i="48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15" i="42" l="1"/>
  <c r="O14" i="42"/>
  <c r="O13" i="42"/>
  <c r="O12" i="42"/>
  <c r="O11" i="42"/>
  <c r="O10" i="42"/>
  <c r="O9" i="42"/>
  <c r="O8" i="42"/>
  <c r="O7" i="42"/>
  <c r="O6" i="42"/>
  <c r="O5" i="42"/>
  <c r="O4" i="42"/>
  <c r="O3" i="42"/>
  <c r="O15" i="41" l="1"/>
  <c r="O14" i="41"/>
  <c r="O13" i="41"/>
  <c r="O12" i="41"/>
  <c r="O11" i="41"/>
  <c r="O10" i="41"/>
  <c r="O9" i="41"/>
  <c r="O8" i="41"/>
  <c r="O7" i="41"/>
  <c r="O6" i="41"/>
  <c r="O5" i="41"/>
  <c r="O4" i="41"/>
  <c r="O3" i="41"/>
  <c r="O15" i="40" l="1"/>
  <c r="O14" i="40"/>
  <c r="O13" i="40"/>
  <c r="O12" i="40"/>
  <c r="O11" i="40"/>
  <c r="O10" i="40"/>
  <c r="O9" i="40"/>
  <c r="O8" i="40"/>
  <c r="O7" i="40"/>
  <c r="O6" i="40"/>
  <c r="O5" i="40"/>
  <c r="O4" i="40"/>
  <c r="O3" i="40"/>
  <c r="O15" i="39" l="1"/>
  <c r="O14" i="39"/>
  <c r="O13" i="39"/>
  <c r="O12" i="39"/>
  <c r="O11" i="39"/>
  <c r="O10" i="39"/>
  <c r="O9" i="39"/>
  <c r="O8" i="39"/>
  <c r="O7" i="39"/>
  <c r="O6" i="39"/>
  <c r="O5" i="39"/>
  <c r="O4" i="39"/>
  <c r="O3" i="39"/>
  <c r="O15" i="38" l="1"/>
  <c r="O14" i="38"/>
  <c r="O13" i="38"/>
  <c r="O12" i="38"/>
  <c r="O11" i="38"/>
  <c r="O10" i="38"/>
  <c r="O9" i="38"/>
  <c r="O8" i="38"/>
  <c r="O7" i="38"/>
  <c r="O6" i="38"/>
  <c r="O5" i="38"/>
  <c r="O4" i="38"/>
  <c r="O3" i="38"/>
  <c r="O15" i="37" l="1"/>
  <c r="O14" i="37"/>
  <c r="O13" i="37"/>
  <c r="O12" i="37"/>
  <c r="O11" i="37"/>
  <c r="O10" i="37"/>
  <c r="O9" i="37"/>
  <c r="O8" i="37"/>
  <c r="O7" i="37"/>
  <c r="O6" i="37"/>
  <c r="O5" i="37"/>
  <c r="O4" i="37"/>
  <c r="O3" i="37"/>
  <c r="O3" i="36" l="1"/>
  <c r="O15" i="36"/>
  <c r="O14" i="36"/>
  <c r="O13" i="36"/>
  <c r="O12" i="36"/>
  <c r="O11" i="36"/>
  <c r="O10" i="36"/>
  <c r="O9" i="36"/>
  <c r="O8" i="36"/>
  <c r="O7" i="36"/>
  <c r="O6" i="36"/>
  <c r="O5" i="36"/>
  <c r="O4" i="36"/>
  <c r="O15" i="35" l="1"/>
  <c r="O14" i="35"/>
  <c r="O13" i="35"/>
  <c r="O12" i="35"/>
  <c r="O11" i="35"/>
  <c r="O10" i="35"/>
  <c r="O9" i="35"/>
  <c r="O8" i="35"/>
  <c r="O7" i="35"/>
  <c r="O6" i="35"/>
  <c r="O5" i="35"/>
  <c r="O4" i="35"/>
  <c r="O3" i="35"/>
  <c r="O15" i="34" l="1"/>
  <c r="O14" i="34"/>
  <c r="O13" i="34"/>
  <c r="O12" i="34"/>
  <c r="O11" i="34"/>
  <c r="O10" i="34"/>
  <c r="O9" i="34"/>
  <c r="O8" i="34"/>
  <c r="O7" i="34"/>
  <c r="O6" i="34"/>
  <c r="O5" i="34"/>
  <c r="O4" i="34"/>
  <c r="O3" i="34"/>
  <c r="O15" i="33" l="1"/>
  <c r="O14" i="33"/>
  <c r="O13" i="33"/>
  <c r="O12" i="33"/>
  <c r="O11" i="33"/>
  <c r="O10" i="33"/>
  <c r="O9" i="33"/>
  <c r="O8" i="33"/>
  <c r="O7" i="33"/>
  <c r="O6" i="33"/>
  <c r="O5" i="33"/>
  <c r="O4" i="33"/>
  <c r="O3" i="33"/>
  <c r="O15" i="32" l="1"/>
  <c r="O14" i="32"/>
  <c r="O13" i="32"/>
  <c r="O12" i="32"/>
  <c r="O11" i="32"/>
  <c r="O10" i="32"/>
  <c r="O9" i="32"/>
  <c r="O8" i="32"/>
  <c r="O7" i="32"/>
  <c r="O6" i="32"/>
  <c r="O5" i="32"/>
  <c r="O4" i="32"/>
  <c r="O3" i="32"/>
  <c r="O15" i="31" l="1"/>
  <c r="O14" i="31"/>
  <c r="O13" i="31"/>
  <c r="O12" i="31"/>
  <c r="O11" i="31"/>
  <c r="O10" i="31"/>
  <c r="O9" i="31"/>
  <c r="O8" i="31"/>
  <c r="O7" i="31"/>
  <c r="O6" i="31"/>
  <c r="O5" i="31"/>
  <c r="O4" i="31"/>
  <c r="O3" i="31"/>
  <c r="O15" i="30" l="1"/>
  <c r="O14" i="30"/>
  <c r="O13" i="30"/>
  <c r="O12" i="30"/>
  <c r="O11" i="30"/>
  <c r="O10" i="30"/>
  <c r="O9" i="30"/>
  <c r="O8" i="30"/>
  <c r="O7" i="30"/>
  <c r="O6" i="30"/>
  <c r="O5" i="30"/>
  <c r="O4" i="30"/>
  <c r="O3" i="30"/>
  <c r="O15" i="29" l="1"/>
  <c r="O14" i="29"/>
  <c r="O13" i="29"/>
  <c r="O12" i="29"/>
  <c r="O11" i="29"/>
  <c r="O10" i="29"/>
  <c r="O9" i="29"/>
  <c r="O8" i="29"/>
  <c r="O7" i="29"/>
  <c r="O6" i="29"/>
  <c r="O5" i="29"/>
  <c r="O4" i="29"/>
  <c r="O3" i="29"/>
  <c r="O15" i="28" l="1"/>
  <c r="O14" i="28"/>
  <c r="O13" i="28"/>
  <c r="O12" i="28"/>
  <c r="O11" i="28"/>
  <c r="O10" i="28"/>
  <c r="O9" i="28"/>
  <c r="O8" i="28"/>
  <c r="O7" i="28"/>
  <c r="O6" i="28"/>
  <c r="O5" i="28"/>
  <c r="O4" i="28"/>
  <c r="O3" i="28"/>
  <c r="O15" i="27" l="1"/>
  <c r="O14" i="27"/>
  <c r="O13" i="27"/>
  <c r="O12" i="27"/>
  <c r="O11" i="27"/>
  <c r="O10" i="27"/>
  <c r="O9" i="27"/>
  <c r="O8" i="27"/>
  <c r="O7" i="27"/>
  <c r="O6" i="27"/>
  <c r="O5" i="27"/>
  <c r="O4" i="27"/>
  <c r="O3" i="27"/>
  <c r="O15" i="26" l="1"/>
  <c r="O14" i="26"/>
  <c r="O13" i="26"/>
  <c r="O12" i="26"/>
  <c r="O11" i="26"/>
  <c r="O10" i="26"/>
  <c r="O9" i="26"/>
  <c r="O8" i="26"/>
  <c r="O7" i="26"/>
  <c r="O6" i="26"/>
  <c r="O5" i="26"/>
  <c r="O4" i="26"/>
  <c r="O3" i="26"/>
  <c r="O15" i="25" l="1"/>
  <c r="O14" i="25"/>
  <c r="O13" i="25"/>
  <c r="O12" i="25"/>
  <c r="O11" i="25"/>
  <c r="O10" i="25"/>
  <c r="O9" i="25"/>
  <c r="O8" i="25"/>
  <c r="O7" i="25"/>
  <c r="O6" i="25"/>
  <c r="O5" i="25"/>
  <c r="O4" i="25"/>
  <c r="O3" i="25"/>
  <c r="O15" i="24" l="1"/>
  <c r="O14" i="24"/>
  <c r="O13" i="24"/>
  <c r="O12" i="24"/>
  <c r="O11" i="24"/>
  <c r="O10" i="24"/>
  <c r="O9" i="24"/>
  <c r="O8" i="24"/>
  <c r="O7" i="24"/>
  <c r="O6" i="24"/>
  <c r="O5" i="24"/>
  <c r="O4" i="24"/>
  <c r="O3" i="24"/>
  <c r="O15" i="23" l="1"/>
  <c r="O14" i="23"/>
  <c r="O13" i="23"/>
  <c r="O12" i="23"/>
  <c r="O11" i="23"/>
  <c r="O10" i="23"/>
  <c r="O9" i="23"/>
  <c r="O8" i="23"/>
  <c r="O7" i="23"/>
  <c r="O6" i="23"/>
  <c r="O5" i="23"/>
  <c r="O4" i="23"/>
  <c r="O3" i="23"/>
  <c r="O15" i="22" l="1"/>
  <c r="O14" i="22"/>
  <c r="O13" i="22"/>
  <c r="O12" i="22"/>
  <c r="O11" i="22"/>
  <c r="O10" i="22"/>
  <c r="O9" i="22"/>
  <c r="O8" i="22"/>
  <c r="O7" i="22"/>
  <c r="O6" i="22"/>
  <c r="O5" i="22"/>
  <c r="O4" i="22"/>
  <c r="O3" i="22"/>
  <c r="O15" i="21" l="1"/>
  <c r="O14" i="21"/>
  <c r="O13" i="21"/>
  <c r="O12" i="21"/>
  <c r="O11" i="21"/>
  <c r="O10" i="21"/>
  <c r="O9" i="21"/>
  <c r="O8" i="21"/>
  <c r="O7" i="21"/>
  <c r="O6" i="21"/>
  <c r="O5" i="21"/>
  <c r="O4" i="21"/>
  <c r="O3" i="21"/>
  <c r="O15" i="20" l="1"/>
  <c r="O14" i="20"/>
  <c r="O13" i="20"/>
  <c r="O12" i="20"/>
  <c r="O11" i="20"/>
  <c r="O10" i="20"/>
  <c r="O9" i="20"/>
  <c r="O8" i="20"/>
  <c r="O7" i="20"/>
  <c r="O6" i="20"/>
  <c r="O5" i="20"/>
  <c r="O4" i="20"/>
  <c r="O3" i="20"/>
  <c r="O15" i="19" l="1"/>
  <c r="O14" i="19"/>
  <c r="O13" i="19"/>
  <c r="O12" i="19"/>
  <c r="O11" i="19"/>
  <c r="O10" i="19"/>
  <c r="O9" i="19"/>
  <c r="O8" i="19"/>
  <c r="O7" i="19"/>
  <c r="O6" i="19"/>
  <c r="O5" i="19"/>
  <c r="O4" i="19"/>
  <c r="O3" i="19"/>
  <c r="O15" i="18" l="1"/>
  <c r="O14" i="18"/>
  <c r="O13" i="18"/>
  <c r="O12" i="18"/>
  <c r="O11" i="18"/>
  <c r="O10" i="18"/>
  <c r="O9" i="18"/>
  <c r="O8" i="18"/>
  <c r="O7" i="18"/>
  <c r="O6" i="18"/>
  <c r="O5" i="18"/>
  <c r="O4" i="18"/>
  <c r="O3" i="18"/>
  <c r="O15" i="17" l="1"/>
  <c r="O14" i="17"/>
  <c r="O13" i="17"/>
  <c r="O12" i="17"/>
  <c r="O11" i="17"/>
  <c r="O10" i="17"/>
  <c r="O9" i="17"/>
  <c r="O8" i="17"/>
  <c r="O7" i="17"/>
  <c r="O6" i="17"/>
  <c r="O5" i="17"/>
  <c r="O4" i="17"/>
  <c r="O3" i="17"/>
  <c r="O15" i="16" l="1"/>
  <c r="O14" i="16"/>
  <c r="O12" i="16"/>
  <c r="O11" i="16"/>
  <c r="O10" i="16"/>
  <c r="O9" i="16"/>
  <c r="O8" i="16"/>
  <c r="O7" i="16"/>
  <c r="O6" i="16"/>
  <c r="O5" i="16"/>
  <c r="O4" i="16"/>
  <c r="O3" i="16"/>
  <c r="O15" i="15" l="1"/>
  <c r="O14" i="15"/>
  <c r="O12" i="15"/>
  <c r="O11" i="15"/>
  <c r="O10" i="15"/>
  <c r="O9" i="15"/>
  <c r="O8" i="15"/>
  <c r="O7" i="15"/>
  <c r="O6" i="15"/>
  <c r="O5" i="15"/>
  <c r="O4" i="15"/>
  <c r="O3" i="15"/>
  <c r="O15" i="14" l="1"/>
  <c r="O14" i="14"/>
  <c r="O12" i="14"/>
  <c r="O11" i="14"/>
  <c r="O10" i="14"/>
  <c r="O9" i="14"/>
  <c r="O8" i="14"/>
  <c r="O7" i="14"/>
  <c r="O6" i="14"/>
  <c r="O5" i="14"/>
  <c r="O4" i="14"/>
  <c r="O3" i="14"/>
  <c r="O15" i="13" l="1"/>
  <c r="O12" i="13"/>
  <c r="O11" i="13"/>
  <c r="O10" i="13"/>
  <c r="O8" i="13"/>
  <c r="O7" i="13"/>
  <c r="O6" i="13"/>
  <c r="O5" i="13"/>
  <c r="O4" i="13"/>
  <c r="O3" i="13"/>
  <c r="O15" i="12" l="1"/>
  <c r="O12" i="12"/>
  <c r="O11" i="12"/>
  <c r="O10" i="12"/>
  <c r="O8" i="12"/>
  <c r="O7" i="12"/>
  <c r="O6" i="12"/>
  <c r="O5" i="12"/>
  <c r="O4" i="12"/>
  <c r="O3" i="12"/>
  <c r="O15" i="11" l="1"/>
  <c r="O16" i="10" l="1"/>
  <c r="N16" i="9" l="1"/>
  <c r="O10" i="11" l="1"/>
  <c r="O8" i="10"/>
  <c r="F8" i="11" s="1"/>
  <c r="O8" i="11" s="1"/>
  <c r="N12" i="9"/>
  <c r="F12" i="10" s="1"/>
  <c r="O12" i="10" s="1"/>
  <c r="F11" i="11" s="1"/>
  <c r="O11" i="11" s="1"/>
  <c r="M16" i="6" l="1"/>
  <c r="L16" i="6"/>
  <c r="K16" i="6"/>
  <c r="J16" i="6"/>
  <c r="I16" i="6"/>
  <c r="M16" i="5"/>
  <c r="L16" i="5"/>
  <c r="K16" i="5"/>
  <c r="J16" i="5"/>
  <c r="I16" i="5"/>
  <c r="M16" i="4"/>
  <c r="L16" i="4"/>
  <c r="K16" i="4"/>
  <c r="J16" i="4"/>
  <c r="I16" i="4"/>
  <c r="K16" i="2"/>
  <c r="J16" i="2"/>
  <c r="I16" i="2"/>
  <c r="N15" i="7" l="1"/>
  <c r="E15" i="8" s="1"/>
  <c r="N15" i="8" s="1"/>
  <c r="E15" i="9" s="1"/>
  <c r="N15" i="9" s="1"/>
  <c r="F15" i="10" s="1"/>
  <c r="O15" i="10" s="1"/>
  <c r="N15" i="6"/>
  <c r="E15" i="7" s="1"/>
  <c r="N14" i="6"/>
  <c r="E14" i="7" s="1"/>
  <c r="N14" i="7" s="1"/>
  <c r="E14" i="8" s="1"/>
  <c r="N14" i="8" s="1"/>
  <c r="E14" i="9" s="1"/>
  <c r="N14" i="9" s="1"/>
  <c r="F14" i="10" s="1"/>
  <c r="O14" i="10" s="1"/>
  <c r="F13" i="16" l="1"/>
  <c r="O13" i="16" s="1"/>
  <c r="F13" i="15"/>
  <c r="O13" i="15" s="1"/>
  <c r="F13" i="14"/>
  <c r="O13" i="14" s="1"/>
  <c r="F13" i="13"/>
  <c r="O13" i="13" s="1"/>
  <c r="F13" i="12"/>
  <c r="O13" i="12" s="1"/>
  <c r="F13" i="11"/>
  <c r="O13" i="11" s="1"/>
  <c r="F14" i="13"/>
  <c r="O14" i="13" s="1"/>
  <c r="F14" i="12"/>
  <c r="O14" i="12" s="1"/>
  <c r="F14" i="11"/>
  <c r="O14" i="11" s="1"/>
  <c r="N15" i="5"/>
  <c r="N14" i="5"/>
  <c r="N13" i="5"/>
  <c r="E13" i="6" s="1"/>
  <c r="N13" i="6" s="1"/>
  <c r="E13" i="7" s="1"/>
  <c r="N13" i="7" s="1"/>
  <c r="E13" i="8" s="1"/>
  <c r="N13" i="8" s="1"/>
  <c r="E13" i="9" s="1"/>
  <c r="N13" i="9" s="1"/>
  <c r="F13" i="10" s="1"/>
  <c r="O13" i="10" s="1"/>
  <c r="F12" i="11" s="1"/>
  <c r="O12" i="11" s="1"/>
  <c r="N12" i="5"/>
  <c r="E12" i="6" s="1"/>
  <c r="N12" i="6" s="1"/>
  <c r="E12" i="7" s="1"/>
  <c r="N12" i="7" s="1"/>
  <c r="E12" i="8" s="1"/>
  <c r="N12" i="8" s="1"/>
  <c r="N11" i="5"/>
  <c r="E11" i="6" s="1"/>
  <c r="N11" i="6" s="1"/>
  <c r="E11" i="7" s="1"/>
  <c r="N11" i="7" s="1"/>
  <c r="E11" i="8" s="1"/>
  <c r="N11" i="8" s="1"/>
  <c r="E11" i="9" s="1"/>
  <c r="N11" i="9" s="1"/>
  <c r="F11" i="10" s="1"/>
  <c r="O11" i="10" s="1"/>
  <c r="N10" i="5"/>
  <c r="E10" i="6" s="1"/>
  <c r="N10" i="6" s="1"/>
  <c r="E10" i="7" s="1"/>
  <c r="N10" i="7" s="1"/>
  <c r="E10" i="8" s="1"/>
  <c r="N10" i="8" s="1"/>
  <c r="E10" i="9" s="1"/>
  <c r="N10" i="9" s="1"/>
  <c r="F10" i="10" s="1"/>
  <c r="O10" i="10" s="1"/>
  <c r="N9" i="5"/>
  <c r="E9" i="6" s="1"/>
  <c r="N9" i="6" s="1"/>
  <c r="E9" i="7" s="1"/>
  <c r="N9" i="7" s="1"/>
  <c r="E9" i="8" s="1"/>
  <c r="N9" i="8" s="1"/>
  <c r="E9" i="9" s="1"/>
  <c r="N9" i="9" s="1"/>
  <c r="F9" i="10" s="1"/>
  <c r="O9" i="10" s="1"/>
  <c r="N8" i="5"/>
  <c r="E8" i="6" s="1"/>
  <c r="N8" i="6" s="1"/>
  <c r="E8" i="7" s="1"/>
  <c r="N8" i="7" s="1"/>
  <c r="E8" i="8" s="1"/>
  <c r="N8" i="8" s="1"/>
  <c r="E8" i="9" s="1"/>
  <c r="N8" i="9" s="1"/>
  <c r="N7" i="5"/>
  <c r="E7" i="6" s="1"/>
  <c r="N7" i="6" s="1"/>
  <c r="E7" i="7" s="1"/>
  <c r="N7" i="7" s="1"/>
  <c r="E7" i="8" s="1"/>
  <c r="N7" i="8" s="1"/>
  <c r="E7" i="9" s="1"/>
  <c r="N7" i="9" s="1"/>
  <c r="F7" i="10" s="1"/>
  <c r="O7" i="10" s="1"/>
  <c r="F7" i="11" s="1"/>
  <c r="O7" i="11" s="1"/>
  <c r="N6" i="5"/>
  <c r="E6" i="6" s="1"/>
  <c r="N6" i="6" s="1"/>
  <c r="E6" i="7" s="1"/>
  <c r="N6" i="7" s="1"/>
  <c r="E6" i="8" s="1"/>
  <c r="N6" i="8" s="1"/>
  <c r="E6" i="9" s="1"/>
  <c r="N6" i="9" s="1"/>
  <c r="F6" i="10" s="1"/>
  <c r="O6" i="10" s="1"/>
  <c r="F6" i="11" s="1"/>
  <c r="O6" i="11" s="1"/>
  <c r="N5" i="5"/>
  <c r="E5" i="6" s="1"/>
  <c r="N5" i="6" s="1"/>
  <c r="E5" i="7" s="1"/>
  <c r="N5" i="7" s="1"/>
  <c r="E5" i="8" s="1"/>
  <c r="N5" i="8" s="1"/>
  <c r="E5" i="9" s="1"/>
  <c r="N5" i="9" s="1"/>
  <c r="F5" i="10" s="1"/>
  <c r="O5" i="10" s="1"/>
  <c r="F5" i="11" s="1"/>
  <c r="O5" i="11" s="1"/>
  <c r="N4" i="5"/>
  <c r="E4" i="6" s="1"/>
  <c r="N4" i="6" s="1"/>
  <c r="E4" i="7" s="1"/>
  <c r="N4" i="7" s="1"/>
  <c r="E4" i="8" s="1"/>
  <c r="N4" i="8" s="1"/>
  <c r="E4" i="9" s="1"/>
  <c r="N4" i="9" s="1"/>
  <c r="F4" i="10" s="1"/>
  <c r="O4" i="10" s="1"/>
  <c r="F4" i="11" s="1"/>
  <c r="O4" i="11" s="1"/>
  <c r="N3" i="5"/>
  <c r="E3" i="6" s="1"/>
  <c r="N3" i="6" s="1"/>
  <c r="E3" i="7" s="1"/>
  <c r="N3" i="7" s="1"/>
  <c r="E3" i="8" s="1"/>
  <c r="N3" i="8" s="1"/>
  <c r="E3" i="9" s="1"/>
  <c r="N3" i="9" s="1"/>
  <c r="F3" i="10" s="1"/>
  <c r="O3" i="10" s="1"/>
  <c r="F3" i="11" s="1"/>
  <c r="O3" i="11" s="1"/>
  <c r="N15" i="4"/>
  <c r="N14" i="4"/>
  <c r="N13" i="4"/>
  <c r="N12" i="4"/>
  <c r="N11" i="4"/>
  <c r="N10" i="4"/>
  <c r="N9" i="4"/>
  <c r="N8" i="4"/>
  <c r="N7" i="4"/>
  <c r="N6" i="4"/>
  <c r="N5" i="4"/>
  <c r="N4" i="4"/>
  <c r="N3" i="4"/>
  <c r="F9" i="13" l="1"/>
  <c r="O9" i="13" s="1"/>
  <c r="F9" i="12"/>
  <c r="O9" i="12" s="1"/>
  <c r="F9" i="11"/>
  <c r="O9" i="11" s="1"/>
  <c r="N15" i="2"/>
  <c r="N14" i="2"/>
  <c r="N13" i="2"/>
  <c r="N12" i="2"/>
  <c r="N11" i="2"/>
  <c r="N10" i="2"/>
  <c r="N9" i="2"/>
  <c r="N8" i="2"/>
  <c r="N7" i="2"/>
  <c r="N6" i="2"/>
  <c r="N5" i="2"/>
  <c r="N4" i="2"/>
  <c r="N3" i="2"/>
  <c r="N16" i="1" l="1"/>
  <c r="N15" i="1"/>
  <c r="N14" i="1"/>
  <c r="N13" i="1"/>
  <c r="N12" i="1"/>
  <c r="N11" i="1"/>
  <c r="N10" i="1"/>
  <c r="N9" i="1"/>
  <c r="N8" i="1"/>
  <c r="N7" i="1"/>
  <c r="N6" i="1"/>
  <c r="N5" i="1"/>
  <c r="N4" i="1" l="1"/>
</calcChain>
</file>

<file path=xl/sharedStrings.xml><?xml version="1.0" encoding="utf-8"?>
<sst xmlns="http://schemas.openxmlformats.org/spreadsheetml/2006/main" count="1917" uniqueCount="65">
  <si>
    <t>Adet</t>
  </si>
  <si>
    <t>ZZ.AMORTİSÖR 100 LÜK</t>
  </si>
  <si>
    <t>ZZ.AMORTİSÖR 120 LÜK</t>
  </si>
  <si>
    <t>ZZ.AMORTİSÖR 80 LİK</t>
  </si>
  <si>
    <t>ZZ.AMORTİSÖR 140 LIK</t>
  </si>
  <si>
    <t>KONUM KORUYUCU D 26 KISA</t>
  </si>
  <si>
    <t xml:space="preserve">AMORTİSÖRÜ 200 LÜK </t>
  </si>
  <si>
    <t>AMORTİSÖR 140 LIK CROM</t>
  </si>
  <si>
    <t>AMORTİSÖR 120 LİK CROM 3 CLASS</t>
  </si>
  <si>
    <t xml:space="preserve">100 LÜK KROM AMORTİSÖR 4 CLASS </t>
  </si>
  <si>
    <t xml:space="preserve">100 LÜK KROM AMORTİSÖR 3 CLASS </t>
  </si>
  <si>
    <t>AMORTİSÖR 100 LÜK 3 CLASS</t>
  </si>
  <si>
    <t>AMORTİSÖR 120 LİK CROM 4 CLASS</t>
  </si>
  <si>
    <t>STOK ADI</t>
  </si>
  <si>
    <t>MİKTAR</t>
  </si>
  <si>
    <t>BİRİM</t>
  </si>
  <si>
    <t>GİRİŞ</t>
  </si>
  <si>
    <t>KALAN</t>
  </si>
  <si>
    <t>DEVİR MİK</t>
  </si>
  <si>
    <t xml:space="preserve"> </t>
  </si>
  <si>
    <t>MAKSİ</t>
  </si>
  <si>
    <t>MİNİMUN</t>
  </si>
  <si>
    <t>yıllık tahmini sarf</t>
  </si>
  <si>
    <t>YARASA ŞASE</t>
  </si>
  <si>
    <t>AMORTİSÖR 60 LIK 3 CLASS SİYAH</t>
  </si>
  <si>
    <t>140 LIK AMORTİSÖR 3 KLASS</t>
  </si>
  <si>
    <t>MAKSİMUN</t>
  </si>
  <si>
    <t>AMORTİSÖR</t>
  </si>
  <si>
    <t>S.NO</t>
  </si>
  <si>
    <t>ARALIK 1 HAFTA</t>
  </si>
  <si>
    <t>ZZ.AMORTİSÖR 120 LÜK 3K</t>
  </si>
  <si>
    <t>ARALIK 2 HAFTA</t>
  </si>
  <si>
    <t>ARALIK 3 HAFTA</t>
  </si>
  <si>
    <t>ARALIK 4 HAFTA</t>
  </si>
  <si>
    <t>OCAK 1 HAFTA</t>
  </si>
  <si>
    <t>OCAK 2 HAFTA</t>
  </si>
  <si>
    <t>OCAK 3 HAFTA</t>
  </si>
  <si>
    <t xml:space="preserve">ZZ.AMORTİSÖR 120 LÜK </t>
  </si>
  <si>
    <t>OCAK 4 HAFTA</t>
  </si>
  <si>
    <t>OCAK5 -ŞUBAT 1 HAFTA</t>
  </si>
  <si>
    <t>MART 3 HAFTA</t>
  </si>
  <si>
    <t>100 LÜK AQMORT 4 CLS. BEYAZ</t>
  </si>
  <si>
    <t>HAZİRAN  HAFTA</t>
  </si>
  <si>
    <t>TEMMUZ  HAFTA</t>
  </si>
  <si>
    <t xml:space="preserve">100 LÜK  AMORTİSÖR 3 CLASS </t>
  </si>
  <si>
    <t>AMORTİSÖRÜ 200 LÜK SİYAH</t>
  </si>
  <si>
    <t>AMORTİSÖRÜ 200 LÜK KROM</t>
  </si>
  <si>
    <t>AMORTİSÖR 120 LİK  3 CLASS</t>
  </si>
  <si>
    <t>AMORTİSÖR 3 KLAS 100 LÜK KROM</t>
  </si>
  <si>
    <t>ZZ.AMORTİSÖR 80 LİK 3 KLASS</t>
  </si>
  <si>
    <t>AMORTİSÖR  80 LİK  4 KLASS</t>
  </si>
  <si>
    <t>260 LIK AMORTİSÖR</t>
  </si>
  <si>
    <t xml:space="preserve">AMORTİSÖR 60 LIK 3 CLASS </t>
  </si>
  <si>
    <t>AMORTİSÖR  80 LİK  KROM</t>
  </si>
  <si>
    <t>*</t>
  </si>
  <si>
    <t>NİSAN N</t>
  </si>
  <si>
    <t>HAZİRAN</t>
  </si>
  <si>
    <t>TEMMUZ</t>
  </si>
  <si>
    <t>AĞUSTOS</t>
  </si>
  <si>
    <t>EYLÜL</t>
  </si>
  <si>
    <t>EKİM</t>
  </si>
  <si>
    <t>KASIM</t>
  </si>
  <si>
    <t>ARALIK</t>
  </si>
  <si>
    <t>OCAK</t>
  </si>
  <si>
    <t>ŞUBAT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</si>
</sst>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14" fontId="1" fillId="0" borderId="10" xfId="0" applyNumberFormat="1" applyFont="1" applyBorder="1"/>
    <xf numFmtId="0" fontId="1" fillId="0" borderId="11" xfId="0" applyFont="1" applyBorder="1"/>
    <xf numFmtId="0" fontId="0" fillId="0" borderId="12" xfId="0" applyBorder="1"/>
    <xf numFmtId="0" fontId="0" fillId="0" borderId="1" xfId="0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0" fillId="0" borderId="3" xfId="0" applyFill="1" applyBorder="1"/>
    <xf numFmtId="0" fontId="1" fillId="0" borderId="15" xfId="0" applyFont="1" applyBorder="1"/>
    <xf numFmtId="0" fontId="1" fillId="0" borderId="12" xfId="0" applyFont="1" applyBorder="1"/>
    <xf numFmtId="0" fontId="1" fillId="0" borderId="14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0" xfId="0" applyFont="1" applyFill="1" applyBorder="1"/>
    <xf numFmtId="0" fontId="1" fillId="2" borderId="15" xfId="0" applyFont="1" applyFill="1" applyBorder="1"/>
    <xf numFmtId="0" fontId="0" fillId="2" borderId="3" xfId="0" applyFill="1" applyBorder="1"/>
    <xf numFmtId="0" fontId="0" fillId="2" borderId="1" xfId="0" applyFill="1" applyBorder="1"/>
    <xf numFmtId="0" fontId="0" fillId="3" borderId="12" xfId="0" applyFill="1" applyBorder="1"/>
    <xf numFmtId="0" fontId="0" fillId="3" borderId="4" xfId="0" applyFill="1" applyBorder="1"/>
    <xf numFmtId="3" fontId="0" fillId="0" borderId="0" xfId="0" applyNumberFormat="1"/>
    <xf numFmtId="0" fontId="0" fillId="4" borderId="12" xfId="0" applyFill="1" applyBorder="1"/>
    <xf numFmtId="0" fontId="0" fillId="4" borderId="4" xfId="0" applyFill="1" applyBorder="1"/>
    <xf numFmtId="0" fontId="0" fillId="3" borderId="3" xfId="0" applyFill="1" applyBorder="1"/>
    <xf numFmtId="0" fontId="0" fillId="3" borderId="1" xfId="0" applyFill="1" applyBorder="1"/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5" borderId="3" xfId="0" applyFill="1" applyBorder="1"/>
    <xf numFmtId="0" fontId="0" fillId="5" borderId="1" xfId="0" applyFill="1" applyBorder="1"/>
    <xf numFmtId="0" fontId="2" fillId="0" borderId="0" xfId="0" applyFont="1"/>
    <xf numFmtId="0" fontId="0" fillId="0" borderId="3" xfId="0" applyBorder="1" applyAlignment="1">
      <alignment horizontal="center"/>
    </xf>
    <xf numFmtId="0" fontId="1" fillId="0" borderId="16" xfId="0" applyFont="1" applyBorder="1" applyAlignment="1">
      <alignment horizontal="center"/>
    </xf>
    <xf numFmtId="17" fontId="2" fillId="0" borderId="0" xfId="0" applyNumberFormat="1" applyFont="1"/>
    <xf numFmtId="164" fontId="1" fillId="0" borderId="13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3" xfId="0" applyNumberFormat="1" applyBorder="1"/>
    <xf numFmtId="164" fontId="0" fillId="3" borderId="4" xfId="0" applyNumberFormat="1" applyFill="1" applyBorder="1"/>
    <xf numFmtId="14" fontId="1" fillId="0" borderId="10" xfId="0" applyNumberFormat="1" applyFont="1" applyBorder="1" applyAlignment="1">
      <alignment horizontal="center"/>
    </xf>
    <xf numFmtId="16" fontId="0" fillId="0" borderId="0" xfId="0" applyNumberFormat="1"/>
    <xf numFmtId="0" fontId="1" fillId="0" borderId="17" xfId="0" applyFont="1" applyBorder="1"/>
    <xf numFmtId="0" fontId="0" fillId="4" borderId="1" xfId="0" applyFill="1" applyBorder="1"/>
    <xf numFmtId="14" fontId="0" fillId="0" borderId="0" xfId="0" applyNumberFormat="1"/>
    <xf numFmtId="0" fontId="3" fillId="3" borderId="1" xfId="0" applyFon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F08E-EC02-425D-B5AF-C6749C819DCC}">
  <dimension ref="A1:R33"/>
  <sheetViews>
    <sheetView zoomScaleNormal="100" workbookViewId="0">
      <selection activeCell="N3" sqref="N3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59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45905</v>
      </c>
      <c r="K2" s="51">
        <v>45912</v>
      </c>
      <c r="L2" s="51">
        <v>45919</v>
      </c>
      <c r="M2" s="51">
        <v>45926</v>
      </c>
      <c r="N2" s="51">
        <v>45930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690</v>
      </c>
      <c r="G3" s="2"/>
      <c r="H3" s="2" t="s">
        <v>0</v>
      </c>
      <c r="I3" s="6">
        <v>1000</v>
      </c>
      <c r="J3" s="6">
        <v>240</v>
      </c>
      <c r="K3" s="6">
        <v>0</v>
      </c>
      <c r="L3" s="6">
        <v>170</v>
      </c>
      <c r="M3" s="6">
        <v>140</v>
      </c>
      <c r="N3" s="6">
        <v>670</v>
      </c>
      <c r="O3" s="56">
        <f t="shared" ref="O3:O15" si="0">+F3+I3-J3-K3-L3-M3-N3</f>
        <v>470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1700</v>
      </c>
      <c r="G4" s="2"/>
      <c r="H4" s="2" t="s">
        <v>0</v>
      </c>
      <c r="I4" s="6">
        <v>0</v>
      </c>
      <c r="J4" s="6">
        <v>140</v>
      </c>
      <c r="K4" s="6">
        <v>440</v>
      </c>
      <c r="L4" s="6">
        <v>180</v>
      </c>
      <c r="M4" s="6">
        <v>40</v>
      </c>
      <c r="N4" s="6">
        <v>0</v>
      </c>
      <c r="O4" s="56">
        <f t="shared" si="0"/>
        <v>900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6">
        <f t="shared" si="0"/>
        <v>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286</v>
      </c>
      <c r="G6" s="2"/>
      <c r="H6" s="2" t="s">
        <v>0</v>
      </c>
      <c r="I6" s="6">
        <v>0</v>
      </c>
      <c r="J6" s="6">
        <v>6</v>
      </c>
      <c r="K6" s="6">
        <v>15</v>
      </c>
      <c r="L6" s="6">
        <v>5</v>
      </c>
      <c r="M6" s="6">
        <v>0</v>
      </c>
      <c r="N6" s="6">
        <v>0</v>
      </c>
      <c r="O6" s="56">
        <f t="shared" si="0"/>
        <v>260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320</v>
      </c>
      <c r="G7" s="2"/>
      <c r="H7" s="2" t="s">
        <v>0</v>
      </c>
      <c r="I7" s="6">
        <v>500</v>
      </c>
      <c r="J7" s="6">
        <v>0</v>
      </c>
      <c r="K7" s="6">
        <v>0</v>
      </c>
      <c r="L7" s="6">
        <v>0</v>
      </c>
      <c r="M7" s="6">
        <v>100</v>
      </c>
      <c r="N7" s="6">
        <v>160</v>
      </c>
      <c r="O7" s="56">
        <f t="shared" si="0"/>
        <v>560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340</v>
      </c>
      <c r="G8" s="2"/>
      <c r="H8" s="2" t="s">
        <v>0</v>
      </c>
      <c r="I8" s="6">
        <v>1000</v>
      </c>
      <c r="J8" s="6">
        <v>320</v>
      </c>
      <c r="K8" s="6">
        <v>0</v>
      </c>
      <c r="L8" s="6">
        <v>0</v>
      </c>
      <c r="M8" s="6">
        <v>0</v>
      </c>
      <c r="N8" s="6">
        <v>0</v>
      </c>
      <c r="O8" s="56">
        <f t="shared" si="0"/>
        <v>1020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15</v>
      </c>
      <c r="G10" s="48"/>
      <c r="H10" s="48" t="s">
        <v>0</v>
      </c>
      <c r="I10" s="6">
        <v>1000</v>
      </c>
      <c r="J10" s="6">
        <v>0</v>
      </c>
      <c r="K10" s="6">
        <v>0</v>
      </c>
      <c r="L10" s="6">
        <v>0</v>
      </c>
      <c r="M10" s="6">
        <v>0</v>
      </c>
      <c r="N10" s="6">
        <v>140</v>
      </c>
      <c r="O10" s="57">
        <f t="shared" si="0"/>
        <v>875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72</v>
      </c>
      <c r="G11" s="48"/>
      <c r="H11" s="48" t="s">
        <v>0</v>
      </c>
      <c r="I11" s="6">
        <v>500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57">
        <f t="shared" si="0"/>
        <v>572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230</v>
      </c>
      <c r="G13" s="2"/>
      <c r="H13" s="2" t="s">
        <v>0</v>
      </c>
      <c r="I13" s="6">
        <v>359</v>
      </c>
      <c r="J13" s="6">
        <v>150</v>
      </c>
      <c r="K13" s="6">
        <v>0</v>
      </c>
      <c r="L13" s="6">
        <v>75</v>
      </c>
      <c r="M13" s="6">
        <v>0</v>
      </c>
      <c r="N13" s="6">
        <v>0</v>
      </c>
      <c r="O13" s="56">
        <f t="shared" si="0"/>
        <v>364</v>
      </c>
      <c r="P13" s="42">
        <v>100</v>
      </c>
      <c r="Q13" s="31">
        <v>500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8"/>
  <sheetViews>
    <sheetView workbookViewId="0">
      <selection activeCell="A3" sqref="A3:N16"/>
    </sheetView>
  </sheetViews>
  <sheetFormatPr defaultRowHeight="15" x14ac:dyDescent="0.25"/>
  <cols>
    <col min="3" max="3" width="16.5703125" customWidth="1"/>
    <col min="4" max="4" width="14.7109375" hidden="1" customWidth="1"/>
    <col min="5" max="5" width="9.140625" customWidth="1"/>
    <col min="6" max="6" width="0.28515625" customWidth="1"/>
    <col min="9" max="9" width="10.140625" bestFit="1" customWidth="1"/>
    <col min="10" max="10" width="10.28515625" customWidth="1"/>
    <col min="11" max="12" width="10.140625" bestFit="1" customWidth="1"/>
  </cols>
  <sheetData>
    <row r="2" spans="1:14" x14ac:dyDescent="0.25">
      <c r="I2" s="1">
        <v>1</v>
      </c>
      <c r="J2" s="1">
        <v>2</v>
      </c>
      <c r="K2" s="1">
        <v>3</v>
      </c>
      <c r="L2" s="1">
        <v>4</v>
      </c>
      <c r="M2" s="1">
        <v>5</v>
      </c>
    </row>
    <row r="3" spans="1:14" ht="27.75" customHeight="1" x14ac:dyDescent="0.25">
      <c r="A3" s="7" t="s">
        <v>13</v>
      </c>
      <c r="B3" s="8"/>
      <c r="C3" s="5"/>
      <c r="D3" s="5"/>
      <c r="E3" s="2" t="s">
        <v>14</v>
      </c>
      <c r="F3" s="2"/>
      <c r="G3" s="2" t="s">
        <v>15</v>
      </c>
      <c r="H3" s="2" t="s">
        <v>16</v>
      </c>
      <c r="I3" s="3">
        <v>44803</v>
      </c>
      <c r="J3" s="3">
        <v>44804</v>
      </c>
      <c r="K3" s="3">
        <v>44805</v>
      </c>
      <c r="L3" s="3">
        <v>44806</v>
      </c>
      <c r="M3" s="2"/>
      <c r="N3" s="2" t="s">
        <v>17</v>
      </c>
    </row>
    <row r="4" spans="1:14" ht="27.75" customHeight="1" x14ac:dyDescent="0.25">
      <c r="A4" s="6" t="s">
        <v>1</v>
      </c>
      <c r="B4" s="6"/>
      <c r="C4" s="6"/>
      <c r="D4" s="2"/>
      <c r="E4" s="4">
        <v>674</v>
      </c>
      <c r="F4" s="2"/>
      <c r="G4" s="2" t="s">
        <v>0</v>
      </c>
      <c r="H4" s="2">
        <v>0</v>
      </c>
      <c r="I4" s="2">
        <v>64</v>
      </c>
      <c r="J4" s="2">
        <v>28</v>
      </c>
      <c r="K4" s="2">
        <v>40</v>
      </c>
      <c r="L4" s="2">
        <v>20</v>
      </c>
      <c r="M4" s="2">
        <v>0</v>
      </c>
      <c r="N4" s="2">
        <f>+E4+H4-I4-J4-K4-L4-M4</f>
        <v>522</v>
      </c>
    </row>
    <row r="5" spans="1:14" ht="27.75" customHeight="1" x14ac:dyDescent="0.25">
      <c r="A5" s="2" t="s">
        <v>2</v>
      </c>
      <c r="B5" s="2"/>
      <c r="C5" s="2"/>
      <c r="D5" s="2"/>
      <c r="E5" s="4">
        <v>2821</v>
      </c>
      <c r="F5" s="2"/>
      <c r="G5" s="2" t="s">
        <v>0</v>
      </c>
      <c r="H5" s="2"/>
      <c r="I5" s="2">
        <v>55</v>
      </c>
      <c r="J5" s="2"/>
      <c r="K5" s="2"/>
      <c r="L5" s="2"/>
      <c r="M5" s="2"/>
      <c r="N5" s="2">
        <f t="shared" ref="N5:N16" si="0">+E5+H5-I5-J5-K5-L5-M5</f>
        <v>2766</v>
      </c>
    </row>
    <row r="6" spans="1:14" ht="27.75" customHeight="1" x14ac:dyDescent="0.25">
      <c r="A6" s="2" t="s">
        <v>3</v>
      </c>
      <c r="B6" s="2"/>
      <c r="C6" s="2"/>
      <c r="D6" s="2"/>
      <c r="E6" s="4">
        <v>4165</v>
      </c>
      <c r="F6" s="2"/>
      <c r="G6" s="2" t="s">
        <v>0</v>
      </c>
      <c r="H6" s="2"/>
      <c r="I6" s="2"/>
      <c r="J6" s="2"/>
      <c r="K6" s="2"/>
      <c r="L6" s="2"/>
      <c r="M6" s="2"/>
      <c r="N6" s="2">
        <f t="shared" si="0"/>
        <v>4165</v>
      </c>
    </row>
    <row r="7" spans="1:14" ht="27.75" customHeight="1" x14ac:dyDescent="0.25">
      <c r="A7" s="2" t="s">
        <v>4</v>
      </c>
      <c r="B7" s="2"/>
      <c r="C7" s="2"/>
      <c r="D7" s="2"/>
      <c r="E7" s="4">
        <v>94</v>
      </c>
      <c r="F7" s="2"/>
      <c r="G7" s="2" t="s">
        <v>0</v>
      </c>
      <c r="H7" s="2"/>
      <c r="I7" s="2">
        <v>35</v>
      </c>
      <c r="J7" s="2"/>
      <c r="K7" s="2"/>
      <c r="L7" s="2"/>
      <c r="M7" s="2"/>
      <c r="N7" s="2">
        <f t="shared" si="0"/>
        <v>59</v>
      </c>
    </row>
    <row r="8" spans="1:14" ht="27.75" customHeight="1" x14ac:dyDescent="0.25">
      <c r="A8" s="2" t="s">
        <v>8</v>
      </c>
      <c r="B8" s="2"/>
      <c r="C8" s="2"/>
      <c r="D8" s="2"/>
      <c r="E8" s="4">
        <v>20</v>
      </c>
      <c r="F8" s="2"/>
      <c r="G8" s="2" t="s">
        <v>0</v>
      </c>
      <c r="H8" s="2"/>
      <c r="I8" s="2"/>
      <c r="J8" s="2"/>
      <c r="K8" s="2"/>
      <c r="L8" s="2"/>
      <c r="M8" s="2"/>
      <c r="N8" s="2">
        <f t="shared" si="0"/>
        <v>20</v>
      </c>
    </row>
    <row r="9" spans="1:14" ht="27.75" customHeight="1" x14ac:dyDescent="0.25">
      <c r="A9" s="2" t="s">
        <v>5</v>
      </c>
      <c r="B9" s="2"/>
      <c r="C9" s="2"/>
      <c r="D9" s="2"/>
      <c r="E9" s="4">
        <v>300</v>
      </c>
      <c r="F9" s="2"/>
      <c r="G9" s="2" t="s">
        <v>0</v>
      </c>
      <c r="H9" s="2"/>
      <c r="I9" s="2"/>
      <c r="J9" s="2"/>
      <c r="K9" s="2">
        <v>20</v>
      </c>
      <c r="L9" s="2"/>
      <c r="M9" s="2"/>
      <c r="N9" s="2">
        <f t="shared" si="0"/>
        <v>280</v>
      </c>
    </row>
    <row r="10" spans="1:14" ht="27.75" customHeight="1" x14ac:dyDescent="0.25">
      <c r="A10" s="2" t="s">
        <v>9</v>
      </c>
      <c r="B10" s="2"/>
      <c r="C10" s="2"/>
      <c r="D10" s="2"/>
      <c r="E10" s="4">
        <v>1020</v>
      </c>
      <c r="F10" s="2"/>
      <c r="G10" s="2" t="s">
        <v>0</v>
      </c>
      <c r="H10" s="2"/>
      <c r="I10" s="2"/>
      <c r="J10" s="2"/>
      <c r="K10" s="2"/>
      <c r="L10" s="2"/>
      <c r="M10" s="2"/>
      <c r="N10" s="2">
        <f t="shared" si="0"/>
        <v>1020</v>
      </c>
    </row>
    <row r="11" spans="1:14" ht="27.75" customHeight="1" x14ac:dyDescent="0.25">
      <c r="A11" s="2" t="s">
        <v>10</v>
      </c>
      <c r="B11" s="2"/>
      <c r="C11" s="2"/>
      <c r="D11" s="2"/>
      <c r="E11" s="4">
        <v>371</v>
      </c>
      <c r="F11" s="2"/>
      <c r="G11" s="2" t="s">
        <v>0</v>
      </c>
      <c r="H11" s="2"/>
      <c r="I11" s="2"/>
      <c r="J11" s="2"/>
      <c r="K11" s="2"/>
      <c r="L11" s="2"/>
      <c r="M11" s="2"/>
      <c r="N11" s="2">
        <f t="shared" si="0"/>
        <v>371</v>
      </c>
    </row>
    <row r="12" spans="1:14" ht="27.75" customHeight="1" x14ac:dyDescent="0.25">
      <c r="A12" s="2" t="s">
        <v>11</v>
      </c>
      <c r="B12" s="2"/>
      <c r="C12" s="2"/>
      <c r="D12" s="2"/>
      <c r="E12" s="4">
        <v>576</v>
      </c>
      <c r="F12" s="2"/>
      <c r="G12" s="2" t="s">
        <v>0</v>
      </c>
      <c r="H12" s="2"/>
      <c r="I12" s="2"/>
      <c r="J12" s="2"/>
      <c r="K12" s="2"/>
      <c r="L12" s="2"/>
      <c r="M12" s="2"/>
      <c r="N12" s="2">
        <f t="shared" si="0"/>
        <v>576</v>
      </c>
    </row>
    <row r="13" spans="1:14" ht="27.75" customHeight="1" x14ac:dyDescent="0.25">
      <c r="A13" s="2" t="s">
        <v>6</v>
      </c>
      <c r="B13" s="2"/>
      <c r="C13" s="2"/>
      <c r="D13" s="2"/>
      <c r="E13" s="4">
        <v>39</v>
      </c>
      <c r="F13" s="2"/>
      <c r="G13" s="2" t="s">
        <v>0</v>
      </c>
      <c r="H13" s="2"/>
      <c r="I13" s="2">
        <v>2</v>
      </c>
      <c r="J13" s="2"/>
      <c r="K13" s="2"/>
      <c r="L13" s="2"/>
      <c r="M13" s="2"/>
      <c r="N13" s="2">
        <f t="shared" si="0"/>
        <v>37</v>
      </c>
    </row>
    <row r="14" spans="1:14" ht="27.75" customHeight="1" x14ac:dyDescent="0.25">
      <c r="A14" s="2" t="s">
        <v>12</v>
      </c>
      <c r="B14" s="2"/>
      <c r="C14" s="2"/>
      <c r="D14" s="2"/>
      <c r="E14" s="4">
        <v>50</v>
      </c>
      <c r="F14" s="2"/>
      <c r="G14" s="2" t="s">
        <v>0</v>
      </c>
      <c r="H14" s="2"/>
      <c r="I14" s="2"/>
      <c r="J14" s="2"/>
      <c r="K14" s="2"/>
      <c r="L14" s="2"/>
      <c r="M14" s="2"/>
      <c r="N14" s="2">
        <f t="shared" si="0"/>
        <v>50</v>
      </c>
    </row>
    <row r="15" spans="1:14" ht="27.75" customHeight="1" x14ac:dyDescent="0.25">
      <c r="A15" s="9" t="s">
        <v>7</v>
      </c>
      <c r="B15" s="9"/>
      <c r="C15" s="9"/>
      <c r="D15" s="2"/>
      <c r="E15" s="4">
        <v>80</v>
      </c>
      <c r="F15" s="2"/>
      <c r="G15" s="2" t="s">
        <v>0</v>
      </c>
      <c r="H15" s="2"/>
      <c r="I15" s="2"/>
      <c r="J15" s="2"/>
      <c r="K15" s="2"/>
      <c r="L15" s="2"/>
      <c r="M15" s="2"/>
      <c r="N15" s="2">
        <f t="shared" si="0"/>
        <v>80</v>
      </c>
    </row>
    <row r="16" spans="1:14" ht="27.75" customHeight="1" x14ac:dyDescent="0.25">
      <c r="A16" s="7"/>
      <c r="B16" s="8"/>
      <c r="C16" s="5"/>
      <c r="D16" s="5"/>
      <c r="E16" s="2"/>
      <c r="F16" s="2"/>
      <c r="G16" s="2"/>
      <c r="H16" s="2"/>
      <c r="I16" s="2"/>
      <c r="J16" s="2"/>
      <c r="K16" s="2"/>
      <c r="L16" s="2"/>
      <c r="M16" s="2"/>
      <c r="N16" s="2">
        <f t="shared" si="0"/>
        <v>0</v>
      </c>
    </row>
    <row r="17" ht="27.75" customHeight="1" x14ac:dyDescent="0.25"/>
    <row r="18" ht="27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opLeftCell="A4" workbookViewId="0">
      <selection activeCell="K3" sqref="K3:K16"/>
    </sheetView>
  </sheetViews>
  <sheetFormatPr defaultRowHeight="15" x14ac:dyDescent="0.25"/>
  <cols>
    <col min="6" max="6" width="0.7109375" customWidth="1"/>
    <col min="9" max="9" width="10.5703125" customWidth="1"/>
    <col min="10" max="10" width="10" customWidth="1"/>
    <col min="11" max="11" width="9.85546875" customWidth="1"/>
    <col min="12" max="12" width="11" customWidth="1"/>
    <col min="13" max="13" width="10.140625" bestFit="1" customWidth="1"/>
    <col min="15" max="15" width="9.42578125" customWidth="1"/>
  </cols>
  <sheetData>
    <row r="1" spans="1:16" ht="27.75" customHeight="1" thickBot="1" x14ac:dyDescent="0.3"/>
    <row r="2" spans="1:16" ht="27.75" customHeight="1" thickBot="1" x14ac:dyDescent="0.3">
      <c r="A2" s="10" t="s">
        <v>13</v>
      </c>
      <c r="B2" s="11"/>
      <c r="C2" s="11"/>
      <c r="D2" s="12"/>
      <c r="E2" s="12" t="s">
        <v>18</v>
      </c>
      <c r="F2" s="13"/>
      <c r="G2" s="13" t="s">
        <v>15</v>
      </c>
      <c r="H2" s="13" t="s">
        <v>16</v>
      </c>
      <c r="I2" s="14">
        <v>44830</v>
      </c>
      <c r="J2" s="14">
        <v>44831</v>
      </c>
      <c r="K2" s="14">
        <v>44832</v>
      </c>
      <c r="L2" s="14">
        <v>44833</v>
      </c>
      <c r="M2" s="14">
        <v>44834</v>
      </c>
      <c r="N2" s="15" t="s">
        <v>17</v>
      </c>
      <c r="O2" s="13" t="s">
        <v>21</v>
      </c>
      <c r="P2" s="22" t="s">
        <v>20</v>
      </c>
    </row>
    <row r="3" spans="1:16" ht="27.75" customHeight="1" x14ac:dyDescent="0.25">
      <c r="A3" s="23" t="s">
        <v>1</v>
      </c>
      <c r="B3" s="24"/>
      <c r="C3" s="24"/>
      <c r="D3" s="25"/>
      <c r="E3" s="26">
        <v>4811</v>
      </c>
      <c r="F3" s="6"/>
      <c r="G3" s="6" t="s">
        <v>0</v>
      </c>
      <c r="H3" s="6">
        <v>0</v>
      </c>
      <c r="I3" s="6">
        <v>0</v>
      </c>
      <c r="J3" s="6">
        <v>20</v>
      </c>
      <c r="K3" s="6">
        <v>80</v>
      </c>
      <c r="L3" s="6">
        <v>0</v>
      </c>
      <c r="M3" s="6">
        <v>0</v>
      </c>
      <c r="N3" s="16">
        <f>+E3+H3-I3-J3-K3-L3-M3</f>
        <v>4711</v>
      </c>
      <c r="O3" s="21">
        <v>750</v>
      </c>
      <c r="P3" s="21">
        <v>5000</v>
      </c>
    </row>
    <row r="4" spans="1:16" ht="27.75" customHeight="1" x14ac:dyDescent="0.25">
      <c r="A4" s="18" t="s">
        <v>2</v>
      </c>
      <c r="B4" s="19"/>
      <c r="C4" s="19"/>
      <c r="D4" s="20"/>
      <c r="E4" s="27">
        <v>2541</v>
      </c>
      <c r="F4" s="2"/>
      <c r="G4" s="2" t="s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7">
        <f t="shared" ref="N4:N15" si="0">+E4+H4-I4-J4-K4-L4-M4</f>
        <v>2541</v>
      </c>
      <c r="O4" s="17">
        <v>500</v>
      </c>
      <c r="P4" s="17">
        <v>3000</v>
      </c>
    </row>
    <row r="5" spans="1:16" ht="27.75" customHeight="1" x14ac:dyDescent="0.25">
      <c r="A5" s="18" t="s">
        <v>3</v>
      </c>
      <c r="B5" s="19"/>
      <c r="C5" s="19"/>
      <c r="D5" s="20"/>
      <c r="E5" s="27">
        <v>4165</v>
      </c>
      <c r="F5" s="2"/>
      <c r="G5" s="2" t="s">
        <v>0</v>
      </c>
      <c r="H5" s="6">
        <v>0</v>
      </c>
      <c r="I5" s="6">
        <v>0</v>
      </c>
      <c r="J5" s="6">
        <v>4</v>
      </c>
      <c r="K5" s="6">
        <v>0</v>
      </c>
      <c r="L5" s="6">
        <v>0</v>
      </c>
      <c r="M5" s="6">
        <v>0</v>
      </c>
      <c r="N5" s="7">
        <f t="shared" si="0"/>
        <v>4161</v>
      </c>
      <c r="O5" s="17">
        <v>300</v>
      </c>
      <c r="P5" s="17">
        <v>3000</v>
      </c>
    </row>
    <row r="6" spans="1:16" ht="27.75" customHeight="1" x14ac:dyDescent="0.25">
      <c r="A6" s="18" t="s">
        <v>4</v>
      </c>
      <c r="B6" s="19"/>
      <c r="C6" s="19"/>
      <c r="D6" s="20"/>
      <c r="E6" s="27">
        <v>800</v>
      </c>
      <c r="F6" s="2"/>
      <c r="G6" s="2" t="s">
        <v>0</v>
      </c>
      <c r="H6" s="6">
        <v>0</v>
      </c>
      <c r="I6" s="6">
        <v>0</v>
      </c>
      <c r="J6" s="6">
        <v>0</v>
      </c>
      <c r="K6" s="6">
        <v>20</v>
      </c>
      <c r="L6" s="6">
        <v>0</v>
      </c>
      <c r="M6" s="6">
        <v>0</v>
      </c>
      <c r="N6" s="7">
        <f t="shared" si="0"/>
        <v>780</v>
      </c>
      <c r="O6" s="17">
        <v>200</v>
      </c>
      <c r="P6" s="17">
        <v>2000</v>
      </c>
    </row>
    <row r="7" spans="1:16" ht="27.75" customHeight="1" x14ac:dyDescent="0.25">
      <c r="A7" s="18" t="s">
        <v>8</v>
      </c>
      <c r="B7" s="19"/>
      <c r="C7" s="19"/>
      <c r="D7" s="20"/>
      <c r="E7" s="27">
        <v>20</v>
      </c>
      <c r="F7" s="2"/>
      <c r="G7" s="2" t="s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7">
        <f t="shared" si="0"/>
        <v>20</v>
      </c>
      <c r="O7" s="2"/>
      <c r="P7" s="2"/>
    </row>
    <row r="8" spans="1:16" ht="27.75" customHeight="1" x14ac:dyDescent="0.25">
      <c r="A8" s="18" t="s">
        <v>5</v>
      </c>
      <c r="B8" s="19"/>
      <c r="C8" s="19"/>
      <c r="D8" s="20"/>
      <c r="E8" s="27">
        <v>260</v>
      </c>
      <c r="F8" s="2"/>
      <c r="G8" s="2" t="s">
        <v>0</v>
      </c>
      <c r="H8" s="6">
        <v>0</v>
      </c>
      <c r="I8" s="6">
        <v>0</v>
      </c>
      <c r="J8" s="6">
        <v>0</v>
      </c>
      <c r="K8" s="6">
        <v>20</v>
      </c>
      <c r="L8" s="6">
        <v>0</v>
      </c>
      <c r="M8" s="6">
        <v>0</v>
      </c>
      <c r="N8" s="7">
        <f t="shared" si="0"/>
        <v>240</v>
      </c>
      <c r="O8" s="2"/>
      <c r="P8" s="2"/>
    </row>
    <row r="9" spans="1:16" ht="27.75" customHeight="1" x14ac:dyDescent="0.25">
      <c r="A9" s="18" t="s">
        <v>9</v>
      </c>
      <c r="B9" s="19"/>
      <c r="C9" s="19"/>
      <c r="D9" s="20"/>
      <c r="E9" s="27">
        <v>1020</v>
      </c>
      <c r="F9" s="2"/>
      <c r="G9" s="2" t="s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7">
        <f t="shared" si="0"/>
        <v>1020</v>
      </c>
      <c r="O9" s="2"/>
      <c r="P9" s="2"/>
    </row>
    <row r="10" spans="1:16" ht="27.75" customHeight="1" x14ac:dyDescent="0.25">
      <c r="A10" s="18" t="s">
        <v>10</v>
      </c>
      <c r="B10" s="19"/>
      <c r="C10" s="19"/>
      <c r="D10" s="20"/>
      <c r="E10" s="27">
        <v>371</v>
      </c>
      <c r="F10" s="2"/>
      <c r="G10" s="2" t="s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7">
        <f t="shared" si="0"/>
        <v>371</v>
      </c>
      <c r="O10" s="2"/>
      <c r="P10" s="2"/>
    </row>
    <row r="11" spans="1:16" ht="27.75" customHeight="1" x14ac:dyDescent="0.25">
      <c r="A11" s="18" t="s">
        <v>11</v>
      </c>
      <c r="B11" s="19"/>
      <c r="C11" s="19"/>
      <c r="D11" s="20"/>
      <c r="E11" s="27">
        <v>576</v>
      </c>
      <c r="F11" s="2"/>
      <c r="G11" s="2" t="s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7">
        <f t="shared" si="0"/>
        <v>576</v>
      </c>
      <c r="O11" s="2"/>
      <c r="P11" s="2"/>
    </row>
    <row r="12" spans="1:16" ht="27.75" customHeight="1" x14ac:dyDescent="0.25">
      <c r="A12" s="18" t="s">
        <v>6</v>
      </c>
      <c r="B12" s="19"/>
      <c r="C12" s="19"/>
      <c r="D12" s="20"/>
      <c r="E12" s="27">
        <v>150</v>
      </c>
      <c r="F12" s="2"/>
      <c r="G12" s="2" t="s">
        <v>0</v>
      </c>
      <c r="H12" s="6">
        <v>50</v>
      </c>
      <c r="I12" s="6">
        <v>0</v>
      </c>
      <c r="J12" s="6">
        <v>100</v>
      </c>
      <c r="K12" s="6">
        <v>50</v>
      </c>
      <c r="L12" s="6">
        <v>0</v>
      </c>
      <c r="M12" s="6">
        <v>0</v>
      </c>
      <c r="N12" s="7">
        <f t="shared" si="0"/>
        <v>50</v>
      </c>
      <c r="O12" s="17">
        <v>150</v>
      </c>
      <c r="P12" s="17">
        <v>2000</v>
      </c>
    </row>
    <row r="13" spans="1:16" ht="27.75" customHeight="1" x14ac:dyDescent="0.25">
      <c r="A13" s="18" t="s">
        <v>12</v>
      </c>
      <c r="B13" s="19"/>
      <c r="C13" s="19"/>
      <c r="D13" s="20"/>
      <c r="E13" s="27">
        <v>50</v>
      </c>
      <c r="F13" s="2"/>
      <c r="G13" s="2" t="s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7">
        <f t="shared" si="0"/>
        <v>50</v>
      </c>
      <c r="O13" s="2"/>
      <c r="P13" s="2"/>
    </row>
    <row r="14" spans="1:16" ht="27.75" customHeight="1" x14ac:dyDescent="0.25">
      <c r="A14" s="18" t="s">
        <v>19</v>
      </c>
      <c r="B14" s="19"/>
      <c r="C14" s="19"/>
      <c r="D14" s="20"/>
      <c r="E14" s="27">
        <v>0</v>
      </c>
      <c r="F14" s="2"/>
      <c r="G14" s="2" t="s">
        <v>19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7">
        <f t="shared" si="0"/>
        <v>0</v>
      </c>
      <c r="O14" s="2"/>
      <c r="P14" s="2"/>
    </row>
    <row r="15" spans="1:16" x14ac:dyDescent="0.25">
      <c r="A15" s="18"/>
      <c r="B15" s="19"/>
      <c r="C15" s="19"/>
      <c r="D15" s="20"/>
      <c r="E15" s="20"/>
      <c r="F15" s="2"/>
      <c r="G15" s="2"/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7">
        <f t="shared" si="0"/>
        <v>0</v>
      </c>
      <c r="O15" s="2"/>
      <c r="P15" s="2"/>
    </row>
    <row r="16" spans="1:16" x14ac:dyDescent="0.25">
      <c r="I16">
        <f>SUM(I3:I15)</f>
        <v>0</v>
      </c>
      <c r="J16">
        <f>SUM(J3:J15)</f>
        <v>124</v>
      </c>
      <c r="K16">
        <f>SUM(K3:K15)</f>
        <v>170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>
      <selection activeCell="M3" sqref="M3:M16"/>
    </sheetView>
  </sheetViews>
  <sheetFormatPr defaultRowHeight="15" x14ac:dyDescent="0.25"/>
  <cols>
    <col min="5" max="5" width="11.140625" customWidth="1"/>
    <col min="6" max="6" width="0.7109375" hidden="1" customWidth="1"/>
    <col min="9" max="9" width="10.5703125" customWidth="1"/>
    <col min="10" max="10" width="10" customWidth="1"/>
    <col min="11" max="11" width="9.85546875" customWidth="1"/>
    <col min="12" max="12" width="11" customWidth="1"/>
    <col min="13" max="13" width="10.140625" bestFit="1" customWidth="1"/>
    <col min="15" max="15" width="9.42578125" customWidth="1"/>
  </cols>
  <sheetData>
    <row r="1" spans="1:16" ht="27.75" customHeight="1" thickBot="1" x14ac:dyDescent="0.3"/>
    <row r="2" spans="1:16" ht="27.75" customHeight="1" thickBot="1" x14ac:dyDescent="0.3">
      <c r="A2" s="10" t="s">
        <v>13</v>
      </c>
      <c r="B2" s="11"/>
      <c r="C2" s="11"/>
      <c r="D2" s="12"/>
      <c r="E2" s="12" t="s">
        <v>18</v>
      </c>
      <c r="F2" s="13"/>
      <c r="G2" s="13" t="s">
        <v>15</v>
      </c>
      <c r="H2" s="13" t="s">
        <v>16</v>
      </c>
      <c r="I2" s="14">
        <v>44837</v>
      </c>
      <c r="J2" s="14">
        <v>44838</v>
      </c>
      <c r="K2" s="14">
        <v>44839</v>
      </c>
      <c r="L2" s="14">
        <v>44840</v>
      </c>
      <c r="M2" s="14">
        <v>44841</v>
      </c>
      <c r="N2" s="15" t="s">
        <v>17</v>
      </c>
      <c r="O2" s="13" t="s">
        <v>21</v>
      </c>
      <c r="P2" s="22" t="s">
        <v>20</v>
      </c>
    </row>
    <row r="3" spans="1:16" ht="27.75" customHeight="1" x14ac:dyDescent="0.25">
      <c r="A3" s="23" t="s">
        <v>1</v>
      </c>
      <c r="B3" s="24"/>
      <c r="C3" s="24"/>
      <c r="D3" s="25"/>
      <c r="E3" s="26">
        <v>4711</v>
      </c>
      <c r="F3" s="6"/>
      <c r="G3" s="6" t="s">
        <v>0</v>
      </c>
      <c r="H3" s="6">
        <v>0</v>
      </c>
      <c r="I3" s="6">
        <v>0</v>
      </c>
      <c r="J3" s="6">
        <v>20</v>
      </c>
      <c r="K3" s="6">
        <v>200</v>
      </c>
      <c r="L3" s="6">
        <v>4</v>
      </c>
      <c r="M3" s="6">
        <v>20</v>
      </c>
      <c r="N3" s="32">
        <f>+E3+H3-I3-J3-K3-L3-M3</f>
        <v>4467</v>
      </c>
      <c r="O3" s="30">
        <v>750</v>
      </c>
      <c r="P3" s="30">
        <v>5000</v>
      </c>
    </row>
    <row r="4" spans="1:16" ht="27.75" customHeight="1" x14ac:dyDescent="0.25">
      <c r="A4" s="18" t="s">
        <v>2</v>
      </c>
      <c r="B4" s="19"/>
      <c r="C4" s="19"/>
      <c r="D4" s="20"/>
      <c r="E4" s="27">
        <v>2541</v>
      </c>
      <c r="F4" s="2"/>
      <c r="G4" s="2" t="s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33">
        <f t="shared" ref="N4:N15" si="0">+E4+H4-I4-J4-K4-L4-M4</f>
        <v>2541</v>
      </c>
      <c r="O4" s="31">
        <v>500</v>
      </c>
      <c r="P4" s="31">
        <v>3000</v>
      </c>
    </row>
    <row r="5" spans="1:16" ht="27.75" customHeight="1" x14ac:dyDescent="0.25">
      <c r="A5" s="18" t="s">
        <v>3</v>
      </c>
      <c r="B5" s="19"/>
      <c r="C5" s="19"/>
      <c r="D5" s="20"/>
      <c r="E5" s="27">
        <v>4161</v>
      </c>
      <c r="F5" s="2"/>
      <c r="G5" s="2" t="s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33">
        <f t="shared" si="0"/>
        <v>4161</v>
      </c>
      <c r="O5" s="31">
        <v>300</v>
      </c>
      <c r="P5" s="31">
        <v>3000</v>
      </c>
    </row>
    <row r="6" spans="1:16" ht="27.75" customHeight="1" x14ac:dyDescent="0.25">
      <c r="A6" s="18" t="s">
        <v>4</v>
      </c>
      <c r="B6" s="19"/>
      <c r="C6" s="19"/>
      <c r="D6" s="20"/>
      <c r="E6" s="27">
        <v>780</v>
      </c>
      <c r="F6" s="2"/>
      <c r="G6" s="2" t="s">
        <v>0</v>
      </c>
      <c r="H6" s="6">
        <v>0</v>
      </c>
      <c r="I6" s="6">
        <v>0</v>
      </c>
      <c r="J6" s="6">
        <v>0</v>
      </c>
      <c r="K6" s="6">
        <v>120</v>
      </c>
      <c r="L6" s="6">
        <v>0</v>
      </c>
      <c r="M6" s="6">
        <v>220</v>
      </c>
      <c r="N6" s="33">
        <f t="shared" si="0"/>
        <v>440</v>
      </c>
      <c r="O6" s="31">
        <v>200</v>
      </c>
      <c r="P6" s="31">
        <v>2000</v>
      </c>
    </row>
    <row r="7" spans="1:16" ht="27.75" customHeight="1" x14ac:dyDescent="0.25">
      <c r="A7" s="18" t="s">
        <v>8</v>
      </c>
      <c r="B7" s="19"/>
      <c r="C7" s="19"/>
      <c r="D7" s="20"/>
      <c r="E7" s="27">
        <v>20</v>
      </c>
      <c r="F7" s="2"/>
      <c r="G7" s="2" t="s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33">
        <f t="shared" si="0"/>
        <v>20</v>
      </c>
      <c r="O7" s="31"/>
      <c r="P7" s="31"/>
    </row>
    <row r="8" spans="1:16" ht="27.75" customHeight="1" x14ac:dyDescent="0.25">
      <c r="A8" s="18" t="s">
        <v>5</v>
      </c>
      <c r="B8" s="19"/>
      <c r="C8" s="19"/>
      <c r="D8" s="20"/>
      <c r="E8" s="27">
        <v>240</v>
      </c>
      <c r="F8" s="2"/>
      <c r="G8" s="2" t="s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33">
        <f t="shared" si="0"/>
        <v>240</v>
      </c>
      <c r="O8" s="31"/>
      <c r="P8" s="31"/>
    </row>
    <row r="9" spans="1:16" ht="27.75" customHeight="1" x14ac:dyDescent="0.25">
      <c r="A9" s="18" t="s">
        <v>9</v>
      </c>
      <c r="B9" s="19"/>
      <c r="C9" s="19"/>
      <c r="D9" s="20"/>
      <c r="E9" s="27">
        <v>1020</v>
      </c>
      <c r="F9" s="2"/>
      <c r="G9" s="2" t="s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33">
        <f t="shared" si="0"/>
        <v>1020</v>
      </c>
      <c r="O9" s="31"/>
      <c r="P9" s="31"/>
    </row>
    <row r="10" spans="1:16" ht="27.75" customHeight="1" x14ac:dyDescent="0.25">
      <c r="A10" s="18" t="s">
        <v>10</v>
      </c>
      <c r="B10" s="19"/>
      <c r="C10" s="19"/>
      <c r="D10" s="20"/>
      <c r="E10" s="27">
        <v>371</v>
      </c>
      <c r="F10" s="2"/>
      <c r="G10" s="2" t="s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33">
        <f t="shared" si="0"/>
        <v>371</v>
      </c>
      <c r="O10" s="31"/>
      <c r="P10" s="31"/>
    </row>
    <row r="11" spans="1:16" ht="27.75" customHeight="1" x14ac:dyDescent="0.25">
      <c r="A11" s="18" t="s">
        <v>11</v>
      </c>
      <c r="B11" s="19"/>
      <c r="C11" s="19"/>
      <c r="D11" s="20"/>
      <c r="E11" s="27">
        <v>576</v>
      </c>
      <c r="F11" s="2"/>
      <c r="G11" s="2" t="s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33">
        <f t="shared" si="0"/>
        <v>576</v>
      </c>
      <c r="O11" s="31"/>
      <c r="P11" s="31"/>
    </row>
    <row r="12" spans="1:16" ht="27.75" customHeight="1" x14ac:dyDescent="0.25">
      <c r="A12" s="18" t="s">
        <v>6</v>
      </c>
      <c r="B12" s="19"/>
      <c r="C12" s="19"/>
      <c r="D12" s="20"/>
      <c r="E12" s="27">
        <v>50</v>
      </c>
      <c r="F12" s="2"/>
      <c r="G12" s="2" t="s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33">
        <f t="shared" si="0"/>
        <v>50</v>
      </c>
      <c r="O12" s="31">
        <v>150</v>
      </c>
      <c r="P12" s="31">
        <v>2000</v>
      </c>
    </row>
    <row r="13" spans="1:16" ht="27.75" customHeight="1" x14ac:dyDescent="0.25">
      <c r="A13" s="18" t="s">
        <v>12</v>
      </c>
      <c r="B13" s="19"/>
      <c r="C13" s="19"/>
      <c r="D13" s="20"/>
      <c r="E13" s="27">
        <v>50</v>
      </c>
      <c r="F13" s="2"/>
      <c r="G13" s="2" t="s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33">
        <f t="shared" si="0"/>
        <v>50</v>
      </c>
      <c r="O13" s="31"/>
      <c r="P13" s="31"/>
    </row>
    <row r="14" spans="1:16" ht="27.75" customHeight="1" x14ac:dyDescent="0.25">
      <c r="A14" s="18" t="s">
        <v>19</v>
      </c>
      <c r="B14" s="19"/>
      <c r="C14" s="19"/>
      <c r="D14" s="20"/>
      <c r="E14" s="27">
        <v>0</v>
      </c>
      <c r="F14" s="2"/>
      <c r="G14" s="2" t="s">
        <v>19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33">
        <f t="shared" si="0"/>
        <v>0</v>
      </c>
      <c r="O14" s="31"/>
      <c r="P14" s="31"/>
    </row>
    <row r="15" spans="1:16" x14ac:dyDescent="0.25">
      <c r="A15" s="18"/>
      <c r="B15" s="19"/>
      <c r="C15" s="19"/>
      <c r="D15" s="20"/>
      <c r="E15" s="20"/>
      <c r="F15" s="2"/>
      <c r="G15" s="2"/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33">
        <f t="shared" si="0"/>
        <v>0</v>
      </c>
      <c r="O15" s="31"/>
      <c r="P15" s="31"/>
    </row>
    <row r="16" spans="1:16" x14ac:dyDescent="0.25">
      <c r="I16">
        <f>SUM(I3:I15)</f>
        <v>0</v>
      </c>
      <c r="J16">
        <f>SUM(J3:J15)</f>
        <v>20</v>
      </c>
      <c r="K16">
        <f>SUM(K3:K15)</f>
        <v>320</v>
      </c>
      <c r="L16">
        <f>SUM(L3:L15)</f>
        <v>4</v>
      </c>
      <c r="M16">
        <f>SUM(M3:M15)</f>
        <v>240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>
      <selection activeCell="M3" sqref="M3:M16"/>
    </sheetView>
  </sheetViews>
  <sheetFormatPr defaultRowHeight="15" x14ac:dyDescent="0.25"/>
  <cols>
    <col min="5" max="5" width="11.42578125" customWidth="1"/>
    <col min="6" max="6" width="0.7109375" hidden="1" customWidth="1"/>
    <col min="9" max="9" width="10.5703125" customWidth="1"/>
    <col min="10" max="10" width="10" customWidth="1"/>
    <col min="11" max="11" width="9.85546875" customWidth="1"/>
    <col min="12" max="12" width="11" customWidth="1"/>
    <col min="13" max="13" width="10.140625" bestFit="1" customWidth="1"/>
    <col min="15" max="15" width="9.42578125" customWidth="1"/>
  </cols>
  <sheetData>
    <row r="1" spans="1:16" ht="27.75" customHeight="1" thickBot="1" x14ac:dyDescent="0.3"/>
    <row r="2" spans="1:16" ht="27.75" customHeight="1" thickBot="1" x14ac:dyDescent="0.3">
      <c r="A2" s="10" t="s">
        <v>13</v>
      </c>
      <c r="B2" s="11"/>
      <c r="C2" s="11"/>
      <c r="D2" s="12"/>
      <c r="E2" s="12" t="s">
        <v>18</v>
      </c>
      <c r="F2" s="13"/>
      <c r="G2" s="13" t="s">
        <v>15</v>
      </c>
      <c r="H2" s="13" t="s">
        <v>16</v>
      </c>
      <c r="I2" s="14">
        <v>44844</v>
      </c>
      <c r="J2" s="14">
        <v>44845</v>
      </c>
      <c r="K2" s="14">
        <v>44846</v>
      </c>
      <c r="L2" s="14">
        <v>44847</v>
      </c>
      <c r="M2" s="14">
        <v>44848</v>
      </c>
      <c r="N2" s="15" t="s">
        <v>17</v>
      </c>
      <c r="O2" s="28" t="s">
        <v>21</v>
      </c>
      <c r="P2" s="29" t="s">
        <v>20</v>
      </c>
    </row>
    <row r="3" spans="1:16" ht="27.75" customHeight="1" x14ac:dyDescent="0.25">
      <c r="A3" s="23" t="s">
        <v>1</v>
      </c>
      <c r="B3" s="24"/>
      <c r="C3" s="24"/>
      <c r="D3" s="25"/>
      <c r="E3" s="26">
        <v>4467</v>
      </c>
      <c r="F3" s="6"/>
      <c r="G3" s="6" t="s">
        <v>0</v>
      </c>
      <c r="H3" s="6">
        <v>0</v>
      </c>
      <c r="I3" s="6">
        <v>200</v>
      </c>
      <c r="J3" s="6">
        <v>0</v>
      </c>
      <c r="K3" s="6">
        <v>0</v>
      </c>
      <c r="L3" s="6">
        <v>40</v>
      </c>
      <c r="M3" s="6">
        <v>100</v>
      </c>
      <c r="N3" s="32">
        <f>+E3+H3-I3-J3-K3-L3-M3</f>
        <v>4127</v>
      </c>
      <c r="O3" s="30">
        <v>750</v>
      </c>
      <c r="P3" s="30">
        <v>5000</v>
      </c>
    </row>
    <row r="4" spans="1:16" ht="27.75" customHeight="1" x14ac:dyDescent="0.25">
      <c r="A4" s="18" t="s">
        <v>2</v>
      </c>
      <c r="B4" s="19"/>
      <c r="C4" s="19"/>
      <c r="D4" s="20"/>
      <c r="E4" s="27">
        <v>2541</v>
      </c>
      <c r="F4" s="2"/>
      <c r="G4" s="2" t="s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33">
        <f t="shared" ref="N4:N15" si="0">+E4+H4-I4-J4-K4-L4-M4</f>
        <v>2541</v>
      </c>
      <c r="O4" s="31">
        <v>500</v>
      </c>
      <c r="P4" s="31">
        <v>3000</v>
      </c>
    </row>
    <row r="5" spans="1:16" ht="27.75" customHeight="1" x14ac:dyDescent="0.25">
      <c r="A5" s="18" t="s">
        <v>3</v>
      </c>
      <c r="B5" s="19"/>
      <c r="C5" s="19"/>
      <c r="D5" s="20"/>
      <c r="E5" s="27">
        <v>4161</v>
      </c>
      <c r="F5" s="2"/>
      <c r="G5" s="2" t="s">
        <v>0</v>
      </c>
      <c r="H5" s="6">
        <v>0</v>
      </c>
      <c r="I5" s="6">
        <v>0</v>
      </c>
      <c r="J5" s="6">
        <v>0</v>
      </c>
      <c r="K5" s="6">
        <v>2</v>
      </c>
      <c r="L5" s="6">
        <v>0</v>
      </c>
      <c r="M5" s="6">
        <v>0</v>
      </c>
      <c r="N5" s="33">
        <f t="shared" si="0"/>
        <v>4159</v>
      </c>
      <c r="O5" s="31">
        <v>300</v>
      </c>
      <c r="P5" s="31">
        <v>3000</v>
      </c>
    </row>
    <row r="6" spans="1:16" ht="27.75" customHeight="1" x14ac:dyDescent="0.25">
      <c r="A6" s="18" t="s">
        <v>4</v>
      </c>
      <c r="B6" s="19"/>
      <c r="C6" s="19"/>
      <c r="D6" s="20"/>
      <c r="E6" s="27">
        <v>440</v>
      </c>
      <c r="F6" s="2"/>
      <c r="G6" s="2" t="s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33">
        <f t="shared" si="0"/>
        <v>440</v>
      </c>
      <c r="O6" s="31">
        <v>200</v>
      </c>
      <c r="P6" s="31">
        <v>2000</v>
      </c>
    </row>
    <row r="7" spans="1:16" ht="27.75" customHeight="1" x14ac:dyDescent="0.25">
      <c r="A7" s="18" t="s">
        <v>8</v>
      </c>
      <c r="B7" s="19"/>
      <c r="C7" s="19"/>
      <c r="D7" s="20"/>
      <c r="E7" s="27">
        <v>20</v>
      </c>
      <c r="F7" s="2"/>
      <c r="G7" s="2" t="s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33">
        <f t="shared" si="0"/>
        <v>20</v>
      </c>
      <c r="O7" s="31"/>
      <c r="P7" s="31"/>
    </row>
    <row r="8" spans="1:16" ht="27.75" customHeight="1" x14ac:dyDescent="0.25">
      <c r="A8" s="18" t="s">
        <v>5</v>
      </c>
      <c r="B8" s="19"/>
      <c r="C8" s="19"/>
      <c r="D8" s="20"/>
      <c r="E8" s="27">
        <v>240</v>
      </c>
      <c r="F8" s="2"/>
      <c r="G8" s="2" t="s">
        <v>0</v>
      </c>
      <c r="H8" s="6">
        <v>0</v>
      </c>
      <c r="I8" s="6">
        <v>0</v>
      </c>
      <c r="J8" s="6">
        <v>0</v>
      </c>
      <c r="K8" s="6">
        <v>20</v>
      </c>
      <c r="L8" s="6">
        <v>60</v>
      </c>
      <c r="M8" s="6">
        <v>0</v>
      </c>
      <c r="N8" s="33">
        <f t="shared" si="0"/>
        <v>160</v>
      </c>
      <c r="O8" s="31"/>
      <c r="P8" s="31"/>
    </row>
    <row r="9" spans="1:16" ht="27.75" customHeight="1" x14ac:dyDescent="0.25">
      <c r="A9" s="18" t="s">
        <v>9</v>
      </c>
      <c r="B9" s="19"/>
      <c r="C9" s="19"/>
      <c r="D9" s="20"/>
      <c r="E9" s="27">
        <v>1020</v>
      </c>
      <c r="F9" s="2"/>
      <c r="G9" s="2" t="s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33">
        <f t="shared" si="0"/>
        <v>1020</v>
      </c>
      <c r="O9" s="31"/>
      <c r="P9" s="31"/>
    </row>
    <row r="10" spans="1:16" ht="27.75" customHeight="1" x14ac:dyDescent="0.25">
      <c r="A10" s="18" t="s">
        <v>10</v>
      </c>
      <c r="B10" s="19"/>
      <c r="C10" s="19"/>
      <c r="D10" s="20"/>
      <c r="E10" s="27">
        <v>371</v>
      </c>
      <c r="F10" s="2"/>
      <c r="G10" s="2" t="s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33">
        <f t="shared" si="0"/>
        <v>371</v>
      </c>
      <c r="O10" s="31"/>
      <c r="P10" s="31"/>
    </row>
    <row r="11" spans="1:16" ht="27.75" customHeight="1" x14ac:dyDescent="0.25">
      <c r="A11" s="18" t="s">
        <v>11</v>
      </c>
      <c r="B11" s="19"/>
      <c r="C11" s="19"/>
      <c r="D11" s="20"/>
      <c r="E11" s="27">
        <v>576</v>
      </c>
      <c r="F11" s="2"/>
      <c r="G11" s="2" t="s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33">
        <f t="shared" si="0"/>
        <v>576</v>
      </c>
      <c r="O11" s="31"/>
      <c r="P11" s="31"/>
    </row>
    <row r="12" spans="1:16" ht="27.75" customHeight="1" x14ac:dyDescent="0.25">
      <c r="A12" s="18" t="s">
        <v>6</v>
      </c>
      <c r="B12" s="19"/>
      <c r="C12" s="19"/>
      <c r="D12" s="20"/>
      <c r="E12" s="27">
        <v>50</v>
      </c>
      <c r="F12" s="2"/>
      <c r="G12" s="2" t="s">
        <v>0</v>
      </c>
      <c r="H12" s="6">
        <v>500</v>
      </c>
      <c r="I12" s="6">
        <v>0</v>
      </c>
      <c r="J12" s="6">
        <v>0</v>
      </c>
      <c r="K12" s="6">
        <v>50</v>
      </c>
      <c r="L12" s="6">
        <v>0</v>
      </c>
      <c r="M12" s="6">
        <v>0</v>
      </c>
      <c r="N12" s="33">
        <f t="shared" si="0"/>
        <v>500</v>
      </c>
      <c r="O12" s="31">
        <v>150</v>
      </c>
      <c r="P12" s="31">
        <v>2000</v>
      </c>
    </row>
    <row r="13" spans="1:16" ht="27.75" customHeight="1" x14ac:dyDescent="0.25">
      <c r="A13" s="18" t="s">
        <v>12</v>
      </c>
      <c r="B13" s="19"/>
      <c r="C13" s="19"/>
      <c r="D13" s="20"/>
      <c r="E13" s="27">
        <v>50</v>
      </c>
      <c r="F13" s="2"/>
      <c r="G13" s="2" t="s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33">
        <f t="shared" si="0"/>
        <v>50</v>
      </c>
      <c r="O13" s="31"/>
      <c r="P13" s="31"/>
    </row>
    <row r="14" spans="1:16" ht="27.75" customHeight="1" x14ac:dyDescent="0.25">
      <c r="A14" s="18" t="s">
        <v>19</v>
      </c>
      <c r="B14" s="19"/>
      <c r="C14" s="19"/>
      <c r="D14" s="20"/>
      <c r="E14" s="27">
        <v>0</v>
      </c>
      <c r="F14" s="2"/>
      <c r="G14" s="2" t="s">
        <v>19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33">
        <f t="shared" si="0"/>
        <v>0</v>
      </c>
      <c r="O14" s="31"/>
      <c r="P14" s="31"/>
    </row>
    <row r="15" spans="1:16" x14ac:dyDescent="0.25">
      <c r="A15" s="18"/>
      <c r="B15" s="19"/>
      <c r="C15" s="19"/>
      <c r="D15" s="20"/>
      <c r="E15" s="20">
        <v>0</v>
      </c>
      <c r="F15" s="2"/>
      <c r="G15" s="2"/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33">
        <f t="shared" si="0"/>
        <v>0</v>
      </c>
      <c r="O15" s="31"/>
      <c r="P15" s="31"/>
    </row>
    <row r="16" spans="1:16" x14ac:dyDescent="0.25">
      <c r="I16">
        <f>SUM(I3:I15)</f>
        <v>200</v>
      </c>
      <c r="J16">
        <f>SUM(J3:J15)</f>
        <v>0</v>
      </c>
      <c r="K16">
        <f>SUM(K3:K15)</f>
        <v>72</v>
      </c>
      <c r="L16">
        <f>SUM(L3:L15)</f>
        <v>100</v>
      </c>
      <c r="M16">
        <f>SUM(M3:M15)</f>
        <v>100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workbookViewId="0">
      <selection activeCell="M3" sqref="M3:M16"/>
    </sheetView>
  </sheetViews>
  <sheetFormatPr defaultRowHeight="15" x14ac:dyDescent="0.25"/>
  <cols>
    <col min="5" max="5" width="11.42578125" customWidth="1"/>
    <col min="6" max="6" width="0.7109375" hidden="1" customWidth="1"/>
    <col min="9" max="9" width="10.5703125" customWidth="1"/>
    <col min="10" max="10" width="10" customWidth="1"/>
    <col min="11" max="11" width="9.85546875" customWidth="1"/>
    <col min="12" max="12" width="11" customWidth="1"/>
    <col min="13" max="13" width="10.140625" bestFit="1" customWidth="1"/>
    <col min="15" max="15" width="9.42578125" customWidth="1"/>
  </cols>
  <sheetData>
    <row r="1" spans="1:17" ht="27.75" customHeight="1" thickBot="1" x14ac:dyDescent="0.3"/>
    <row r="2" spans="1:17" ht="27.75" customHeight="1" thickBot="1" x14ac:dyDescent="0.3">
      <c r="A2" s="10" t="s">
        <v>13</v>
      </c>
      <c r="B2" s="11"/>
      <c r="C2" s="11"/>
      <c r="D2" s="12"/>
      <c r="E2" s="12" t="s">
        <v>18</v>
      </c>
      <c r="F2" s="13"/>
      <c r="G2" s="13" t="s">
        <v>15</v>
      </c>
      <c r="H2" s="13" t="s">
        <v>16</v>
      </c>
      <c r="I2" s="14">
        <v>44851</v>
      </c>
      <c r="J2" s="14">
        <v>44852</v>
      </c>
      <c r="K2" s="14">
        <v>44853</v>
      </c>
      <c r="L2" s="14">
        <v>44854</v>
      </c>
      <c r="M2" s="14">
        <v>44855</v>
      </c>
      <c r="N2" s="15" t="s">
        <v>17</v>
      </c>
      <c r="O2" s="28" t="s">
        <v>21</v>
      </c>
      <c r="P2" s="29" t="s">
        <v>20</v>
      </c>
      <c r="Q2" t="s">
        <v>22</v>
      </c>
    </row>
    <row r="3" spans="1:17" ht="27.75" customHeight="1" x14ac:dyDescent="0.25">
      <c r="A3" s="23" t="s">
        <v>1</v>
      </c>
      <c r="B3" s="24"/>
      <c r="C3" s="24"/>
      <c r="D3" s="25"/>
      <c r="E3" s="26">
        <f>'ekim 2 hafta '!N3</f>
        <v>4127</v>
      </c>
      <c r="F3" s="6"/>
      <c r="G3" s="6" t="s">
        <v>0</v>
      </c>
      <c r="H3" s="6">
        <v>0</v>
      </c>
      <c r="I3" s="6">
        <v>176</v>
      </c>
      <c r="J3" s="6">
        <v>120</v>
      </c>
      <c r="K3" s="6">
        <v>70</v>
      </c>
      <c r="L3" s="6">
        <v>45</v>
      </c>
      <c r="M3" s="6">
        <v>1</v>
      </c>
      <c r="N3" s="32">
        <f>+E3+H3-I3-J3-K3-L3-M3</f>
        <v>3715</v>
      </c>
      <c r="O3" s="30">
        <v>750</v>
      </c>
      <c r="P3" s="30">
        <v>5000</v>
      </c>
      <c r="Q3" s="34">
        <v>10000</v>
      </c>
    </row>
    <row r="4" spans="1:17" ht="27.75" customHeight="1" x14ac:dyDescent="0.25">
      <c r="A4" s="18" t="s">
        <v>2</v>
      </c>
      <c r="B4" s="19"/>
      <c r="C4" s="19"/>
      <c r="D4" s="20"/>
      <c r="E4" s="26">
        <f>'ekim 2 hafta '!N4</f>
        <v>2541</v>
      </c>
      <c r="F4" s="2"/>
      <c r="G4" s="2" t="s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33">
        <f t="shared" ref="N4:N15" si="0">+E4+H4-I4-J4-K4-L4-M4</f>
        <v>2541</v>
      </c>
      <c r="O4" s="31">
        <v>500</v>
      </c>
      <c r="P4" s="31">
        <v>3000</v>
      </c>
    </row>
    <row r="5" spans="1:17" ht="27.75" customHeight="1" x14ac:dyDescent="0.25">
      <c r="A5" s="18" t="s">
        <v>3</v>
      </c>
      <c r="B5" s="19"/>
      <c r="C5" s="19"/>
      <c r="D5" s="20"/>
      <c r="E5" s="26">
        <f>'ekim 2 hafta '!N5</f>
        <v>4159</v>
      </c>
      <c r="F5" s="2"/>
      <c r="G5" s="2" t="s">
        <v>0</v>
      </c>
      <c r="H5" s="6">
        <v>0</v>
      </c>
      <c r="I5" s="6">
        <v>0</v>
      </c>
      <c r="J5" s="6">
        <v>20</v>
      </c>
      <c r="K5" s="6">
        <v>0</v>
      </c>
      <c r="L5" s="6">
        <v>60</v>
      </c>
      <c r="M5" s="6">
        <v>0</v>
      </c>
      <c r="N5" s="33">
        <f t="shared" si="0"/>
        <v>4079</v>
      </c>
      <c r="O5" s="31">
        <v>300</v>
      </c>
      <c r="P5" s="31">
        <v>3000</v>
      </c>
    </row>
    <row r="6" spans="1:17" ht="27.75" customHeight="1" x14ac:dyDescent="0.25">
      <c r="A6" s="18" t="s">
        <v>4</v>
      </c>
      <c r="B6" s="19"/>
      <c r="C6" s="19"/>
      <c r="D6" s="20"/>
      <c r="E6" s="26">
        <f>'ekim 2 hafta '!N6</f>
        <v>440</v>
      </c>
      <c r="F6" s="2"/>
      <c r="G6" s="2" t="s">
        <v>0</v>
      </c>
      <c r="H6" s="6">
        <v>0</v>
      </c>
      <c r="I6" s="6">
        <v>0</v>
      </c>
      <c r="J6" s="6">
        <v>80</v>
      </c>
      <c r="K6" s="6">
        <v>0</v>
      </c>
      <c r="L6" s="6">
        <v>24</v>
      </c>
      <c r="M6" s="6">
        <v>0</v>
      </c>
      <c r="N6" s="33">
        <f t="shared" si="0"/>
        <v>336</v>
      </c>
      <c r="O6" s="31">
        <v>200</v>
      </c>
      <c r="P6" s="31">
        <v>2000</v>
      </c>
    </row>
    <row r="7" spans="1:17" ht="27.75" customHeight="1" x14ac:dyDescent="0.25">
      <c r="A7" s="18" t="s">
        <v>8</v>
      </c>
      <c r="B7" s="19"/>
      <c r="C7" s="19"/>
      <c r="D7" s="20"/>
      <c r="E7" s="26">
        <f>'ekim 2 hafta '!N7</f>
        <v>20</v>
      </c>
      <c r="F7" s="2"/>
      <c r="G7" s="2" t="s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33">
        <f t="shared" si="0"/>
        <v>20</v>
      </c>
      <c r="O7" s="31"/>
      <c r="P7" s="31"/>
    </row>
    <row r="8" spans="1:17" ht="27.75" customHeight="1" x14ac:dyDescent="0.25">
      <c r="A8" s="18" t="s">
        <v>5</v>
      </c>
      <c r="B8" s="19"/>
      <c r="C8" s="19"/>
      <c r="D8" s="20"/>
      <c r="E8" s="26">
        <f>'ekim 2 hafta '!N8</f>
        <v>160</v>
      </c>
      <c r="F8" s="2"/>
      <c r="G8" s="2" t="s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33">
        <f t="shared" si="0"/>
        <v>160</v>
      </c>
      <c r="O8" s="31"/>
      <c r="P8" s="31"/>
    </row>
    <row r="9" spans="1:17" ht="27.75" customHeight="1" x14ac:dyDescent="0.25">
      <c r="A9" s="18" t="s">
        <v>9</v>
      </c>
      <c r="B9" s="19"/>
      <c r="C9" s="19"/>
      <c r="D9" s="20"/>
      <c r="E9" s="26">
        <f>'ekim 2 hafta '!N9</f>
        <v>1020</v>
      </c>
      <c r="F9" s="2"/>
      <c r="G9" s="2" t="s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33">
        <f t="shared" si="0"/>
        <v>1020</v>
      </c>
      <c r="O9" s="31"/>
      <c r="P9" s="31"/>
    </row>
    <row r="10" spans="1:17" ht="27.75" customHeight="1" x14ac:dyDescent="0.25">
      <c r="A10" s="18" t="s">
        <v>10</v>
      </c>
      <c r="B10" s="19"/>
      <c r="C10" s="19"/>
      <c r="D10" s="20"/>
      <c r="E10" s="26">
        <f>'ekim 2 hafta '!N10</f>
        <v>371</v>
      </c>
      <c r="F10" s="2"/>
      <c r="G10" s="2" t="s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33">
        <f t="shared" si="0"/>
        <v>371</v>
      </c>
      <c r="O10" s="31"/>
      <c r="P10" s="31"/>
    </row>
    <row r="11" spans="1:17" ht="27.75" customHeight="1" x14ac:dyDescent="0.25">
      <c r="A11" s="18" t="s">
        <v>11</v>
      </c>
      <c r="B11" s="19"/>
      <c r="C11" s="19"/>
      <c r="D11" s="20"/>
      <c r="E11" s="26">
        <f>'ekim 2 hafta '!N11</f>
        <v>576</v>
      </c>
      <c r="F11" s="2"/>
      <c r="G11" s="2" t="s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33">
        <f t="shared" si="0"/>
        <v>576</v>
      </c>
      <c r="O11" s="31"/>
      <c r="P11" s="31"/>
    </row>
    <row r="12" spans="1:17" ht="27.75" customHeight="1" x14ac:dyDescent="0.25">
      <c r="A12" s="18" t="s">
        <v>6</v>
      </c>
      <c r="B12" s="19"/>
      <c r="C12" s="19"/>
      <c r="D12" s="20"/>
      <c r="E12" s="26">
        <f>'ekim 2 hafta '!N12</f>
        <v>500</v>
      </c>
      <c r="F12" s="2"/>
      <c r="G12" s="2" t="s">
        <v>0</v>
      </c>
      <c r="H12" s="6">
        <v>0</v>
      </c>
      <c r="I12" s="6">
        <v>0</v>
      </c>
      <c r="J12" s="6">
        <v>0</v>
      </c>
      <c r="K12" s="6">
        <v>0</v>
      </c>
      <c r="L12" s="6">
        <v>200</v>
      </c>
      <c r="M12" s="6">
        <v>0</v>
      </c>
      <c r="N12" s="33">
        <f t="shared" si="0"/>
        <v>300</v>
      </c>
      <c r="O12" s="31">
        <v>150</v>
      </c>
      <c r="P12" s="31">
        <v>2000</v>
      </c>
    </row>
    <row r="13" spans="1:17" ht="27.75" customHeight="1" x14ac:dyDescent="0.25">
      <c r="A13" s="18" t="s">
        <v>12</v>
      </c>
      <c r="B13" s="19"/>
      <c r="C13" s="19"/>
      <c r="D13" s="20"/>
      <c r="E13" s="26">
        <f>'ekim 2 hafta '!N13</f>
        <v>50</v>
      </c>
      <c r="F13" s="2"/>
      <c r="G13" s="2" t="s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33">
        <f>+E13+H13-I13-J13-K13-L13-M13</f>
        <v>50</v>
      </c>
      <c r="O13" s="31"/>
      <c r="P13" s="31"/>
    </row>
    <row r="14" spans="1:17" ht="27.75" customHeight="1" x14ac:dyDescent="0.25">
      <c r="A14" s="18" t="s">
        <v>23</v>
      </c>
      <c r="B14" s="19"/>
      <c r="C14" s="19"/>
      <c r="D14" s="20"/>
      <c r="E14" s="27">
        <v>35</v>
      </c>
      <c r="F14" s="2"/>
      <c r="G14" s="2" t="s">
        <v>0</v>
      </c>
      <c r="H14" s="6">
        <v>0</v>
      </c>
      <c r="I14" s="6">
        <v>0</v>
      </c>
      <c r="J14" s="6">
        <v>0</v>
      </c>
      <c r="K14" s="6">
        <v>0</v>
      </c>
      <c r="L14" s="6">
        <v>20</v>
      </c>
      <c r="M14" s="6">
        <v>0</v>
      </c>
      <c r="N14" s="33">
        <f t="shared" si="0"/>
        <v>15</v>
      </c>
      <c r="O14" s="31"/>
      <c r="P14" s="31"/>
    </row>
    <row r="15" spans="1:17" x14ac:dyDescent="0.25">
      <c r="A15" s="18"/>
      <c r="B15" s="19"/>
      <c r="C15" s="19"/>
      <c r="D15" s="20"/>
      <c r="E15" s="20">
        <v>0</v>
      </c>
      <c r="F15" s="2"/>
      <c r="G15" s="2"/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33">
        <f t="shared" si="0"/>
        <v>0</v>
      </c>
      <c r="O15" s="31"/>
      <c r="P15" s="31"/>
    </row>
    <row r="16" spans="1:17" x14ac:dyDescent="0.25">
      <c r="I16">
        <f>SUM(I3:I15)</f>
        <v>176</v>
      </c>
      <c r="J16">
        <f>SUM(J3:J15)</f>
        <v>220</v>
      </c>
      <c r="K16">
        <f>SUM(K3:K15)</f>
        <v>70</v>
      </c>
      <c r="L16">
        <f>SUM(L3:L15)</f>
        <v>349</v>
      </c>
      <c r="M16">
        <f>SUM(M3:M15)</f>
        <v>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"/>
  <sheetViews>
    <sheetView topLeftCell="A7" workbookViewId="0">
      <selection activeCell="D12" sqref="D12"/>
    </sheetView>
  </sheetViews>
  <sheetFormatPr defaultRowHeight="15" x14ac:dyDescent="0.25"/>
  <cols>
    <col min="5" max="5" width="11.42578125" customWidth="1"/>
    <col min="6" max="6" width="0.7109375" hidden="1" customWidth="1"/>
    <col min="9" max="9" width="10.5703125" customWidth="1"/>
    <col min="10" max="10" width="10" customWidth="1"/>
    <col min="11" max="11" width="9.85546875" customWidth="1"/>
    <col min="12" max="12" width="11" customWidth="1"/>
    <col min="13" max="13" width="10.140625" bestFit="1" customWidth="1"/>
    <col min="15" max="15" width="9.42578125" customWidth="1"/>
  </cols>
  <sheetData>
    <row r="1" spans="1:16" ht="27.75" customHeight="1" thickBot="1" x14ac:dyDescent="0.3"/>
    <row r="2" spans="1:16" ht="27.75" customHeight="1" thickBot="1" x14ac:dyDescent="0.3">
      <c r="A2" s="10" t="s">
        <v>13</v>
      </c>
      <c r="B2" s="11"/>
      <c r="C2" s="11"/>
      <c r="D2" s="12"/>
      <c r="E2" s="12" t="s">
        <v>18</v>
      </c>
      <c r="F2" s="13"/>
      <c r="G2" s="13" t="s">
        <v>15</v>
      </c>
      <c r="H2" s="13" t="s">
        <v>16</v>
      </c>
      <c r="I2" s="14">
        <v>44858</v>
      </c>
      <c r="J2" s="14">
        <v>44859</v>
      </c>
      <c r="K2" s="14">
        <v>44860</v>
      </c>
      <c r="L2" s="14">
        <v>44861</v>
      </c>
      <c r="M2" s="14">
        <v>44862</v>
      </c>
      <c r="N2" s="15" t="s">
        <v>17</v>
      </c>
      <c r="O2" s="28" t="s">
        <v>21</v>
      </c>
      <c r="P2" s="29" t="s">
        <v>20</v>
      </c>
    </row>
    <row r="3" spans="1:16" ht="27.75" customHeight="1" x14ac:dyDescent="0.25">
      <c r="A3" s="23" t="s">
        <v>1</v>
      </c>
      <c r="B3" s="24"/>
      <c r="C3" s="24"/>
      <c r="D3" s="25"/>
      <c r="E3" s="26">
        <f>'ekim 3 hafta '!N3</f>
        <v>3715</v>
      </c>
      <c r="F3" s="6"/>
      <c r="G3" s="6" t="s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32">
        <f>+E3+H3-I3-J3-K3-L3-M3</f>
        <v>3715</v>
      </c>
      <c r="O3" s="30">
        <v>750</v>
      </c>
      <c r="P3" s="30">
        <v>5000</v>
      </c>
    </row>
    <row r="4" spans="1:16" ht="27.75" customHeight="1" x14ac:dyDescent="0.25">
      <c r="A4" s="18" t="s">
        <v>2</v>
      </c>
      <c r="B4" s="19"/>
      <c r="C4" s="19"/>
      <c r="D4" s="20"/>
      <c r="E4" s="26">
        <f>'ekim 3 hafta '!N4</f>
        <v>2541</v>
      </c>
      <c r="F4" s="2"/>
      <c r="G4" s="2" t="s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33">
        <f t="shared" ref="N4:N15" si="0">+E4+H4-I4-J4-K4-L4-M4</f>
        <v>2541</v>
      </c>
      <c r="O4" s="31">
        <v>500</v>
      </c>
      <c r="P4" s="31">
        <v>3000</v>
      </c>
    </row>
    <row r="5" spans="1:16" ht="27.75" customHeight="1" x14ac:dyDescent="0.25">
      <c r="A5" s="18" t="s">
        <v>3</v>
      </c>
      <c r="B5" s="19"/>
      <c r="C5" s="19"/>
      <c r="D5" s="20"/>
      <c r="E5" s="26">
        <f>'ekim 3 hafta '!N5</f>
        <v>4079</v>
      </c>
      <c r="F5" s="2"/>
      <c r="G5" s="2" t="s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33">
        <f t="shared" si="0"/>
        <v>4079</v>
      </c>
      <c r="O5" s="31">
        <v>300</v>
      </c>
      <c r="P5" s="31">
        <v>3000</v>
      </c>
    </row>
    <row r="6" spans="1:16" ht="27.75" customHeight="1" x14ac:dyDescent="0.25">
      <c r="A6" s="18" t="s">
        <v>4</v>
      </c>
      <c r="B6" s="19"/>
      <c r="C6" s="19"/>
      <c r="D6" s="20"/>
      <c r="E6" s="26">
        <f>'ekim 3 hafta '!N6</f>
        <v>336</v>
      </c>
      <c r="F6" s="2"/>
      <c r="G6" s="2" t="s">
        <v>0</v>
      </c>
      <c r="H6" s="6">
        <v>0</v>
      </c>
      <c r="I6" s="6">
        <v>0</v>
      </c>
      <c r="J6" s="6">
        <v>10</v>
      </c>
      <c r="K6" s="6">
        <v>0</v>
      </c>
      <c r="L6" s="6">
        <v>0</v>
      </c>
      <c r="M6" s="6">
        <v>0</v>
      </c>
      <c r="N6" s="33">
        <f t="shared" si="0"/>
        <v>326</v>
      </c>
      <c r="O6" s="31">
        <v>200</v>
      </c>
      <c r="P6" s="31">
        <v>2000</v>
      </c>
    </row>
    <row r="7" spans="1:16" ht="27.75" customHeight="1" x14ac:dyDescent="0.25">
      <c r="A7" s="18" t="s">
        <v>8</v>
      </c>
      <c r="B7" s="19"/>
      <c r="C7" s="19"/>
      <c r="D7" s="20"/>
      <c r="E7" s="26">
        <f>'ekim 3 hafta '!N7</f>
        <v>20</v>
      </c>
      <c r="F7" s="2"/>
      <c r="G7" s="2" t="s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33">
        <f t="shared" si="0"/>
        <v>20</v>
      </c>
      <c r="O7" s="31"/>
      <c r="P7" s="31"/>
    </row>
    <row r="8" spans="1:16" ht="27.75" customHeight="1" x14ac:dyDescent="0.25">
      <c r="A8" s="18" t="s">
        <v>5</v>
      </c>
      <c r="B8" s="19"/>
      <c r="C8" s="19"/>
      <c r="D8" s="20"/>
      <c r="E8" s="26">
        <f>'ekim 3 hafta '!N8</f>
        <v>160</v>
      </c>
      <c r="F8" s="2"/>
      <c r="G8" s="2" t="s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33">
        <f t="shared" si="0"/>
        <v>160</v>
      </c>
      <c r="O8" s="31"/>
      <c r="P8" s="31"/>
    </row>
    <row r="9" spans="1:16" ht="27.75" customHeight="1" x14ac:dyDescent="0.25">
      <c r="A9" s="18" t="s">
        <v>9</v>
      </c>
      <c r="B9" s="19"/>
      <c r="C9" s="19"/>
      <c r="D9" s="20"/>
      <c r="E9" s="26">
        <f>'ekim 3 hafta '!N9</f>
        <v>1020</v>
      </c>
      <c r="F9" s="2"/>
      <c r="G9" s="2" t="s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33">
        <f t="shared" si="0"/>
        <v>1020</v>
      </c>
      <c r="O9" s="31"/>
      <c r="P9" s="31"/>
    </row>
    <row r="10" spans="1:16" ht="27.75" customHeight="1" x14ac:dyDescent="0.25">
      <c r="A10" s="18" t="s">
        <v>10</v>
      </c>
      <c r="B10" s="19"/>
      <c r="C10" s="19"/>
      <c r="D10" s="20"/>
      <c r="E10" s="26">
        <f>'ekim 3 hafta '!N10</f>
        <v>371</v>
      </c>
      <c r="F10" s="2"/>
      <c r="G10" s="2" t="s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33">
        <f t="shared" si="0"/>
        <v>371</v>
      </c>
      <c r="O10" s="31"/>
      <c r="P10" s="31"/>
    </row>
    <row r="11" spans="1:16" ht="27.75" customHeight="1" x14ac:dyDescent="0.25">
      <c r="A11" s="18" t="s">
        <v>11</v>
      </c>
      <c r="B11" s="19"/>
      <c r="C11" s="19"/>
      <c r="D11" s="20"/>
      <c r="E11" s="26">
        <f>'ekim 3 hafta '!N11</f>
        <v>576</v>
      </c>
      <c r="F11" s="2"/>
      <c r="G11" s="2" t="s">
        <v>0</v>
      </c>
      <c r="H11" s="6">
        <v>0</v>
      </c>
      <c r="I11" s="6">
        <v>0</v>
      </c>
      <c r="J11" s="6">
        <v>0</v>
      </c>
      <c r="K11" s="6">
        <v>100</v>
      </c>
      <c r="L11" s="6">
        <v>0</v>
      </c>
      <c r="M11" s="6">
        <v>0</v>
      </c>
      <c r="N11" s="33">
        <f t="shared" si="0"/>
        <v>476</v>
      </c>
      <c r="O11" s="31"/>
      <c r="P11" s="31"/>
    </row>
    <row r="12" spans="1:16" ht="27.75" customHeight="1" x14ac:dyDescent="0.25">
      <c r="A12" s="18" t="s">
        <v>6</v>
      </c>
      <c r="B12" s="19"/>
      <c r="C12" s="19"/>
      <c r="D12" s="20"/>
      <c r="E12" s="26">
        <f>'ekim 3 hafta '!N12</f>
        <v>300</v>
      </c>
      <c r="F12" s="2"/>
      <c r="G12" s="2" t="s">
        <v>0</v>
      </c>
      <c r="H12" s="6">
        <v>0</v>
      </c>
      <c r="I12" s="6">
        <v>0</v>
      </c>
      <c r="J12" s="6">
        <v>200</v>
      </c>
      <c r="K12" s="6">
        <v>0</v>
      </c>
      <c r="L12" s="6">
        <v>0</v>
      </c>
      <c r="M12" s="6">
        <v>0</v>
      </c>
      <c r="N12" s="33">
        <f t="shared" si="0"/>
        <v>100</v>
      </c>
      <c r="O12" s="31">
        <v>150</v>
      </c>
      <c r="P12" s="31">
        <v>2000</v>
      </c>
    </row>
    <row r="13" spans="1:16" ht="27.75" customHeight="1" x14ac:dyDescent="0.25">
      <c r="A13" s="18" t="s">
        <v>12</v>
      </c>
      <c r="B13" s="19"/>
      <c r="C13" s="19"/>
      <c r="D13" s="20"/>
      <c r="E13" s="26">
        <f>'ekim 3 hafta '!N13</f>
        <v>50</v>
      </c>
      <c r="F13" s="2"/>
      <c r="G13" s="2" t="s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33">
        <f t="shared" si="0"/>
        <v>50</v>
      </c>
      <c r="O13" s="31"/>
      <c r="P13" s="31"/>
    </row>
    <row r="14" spans="1:16" ht="27.75" customHeight="1" x14ac:dyDescent="0.25">
      <c r="A14" s="18" t="s">
        <v>23</v>
      </c>
      <c r="B14" s="19"/>
      <c r="C14" s="19"/>
      <c r="D14" s="20"/>
      <c r="E14" s="26">
        <f>'ekim 3 hafta '!N14</f>
        <v>15</v>
      </c>
      <c r="F14" s="2"/>
      <c r="G14" s="2" t="s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33">
        <f t="shared" si="0"/>
        <v>15</v>
      </c>
      <c r="O14" s="31"/>
      <c r="P14" s="31"/>
    </row>
    <row r="15" spans="1:16" ht="24.75" customHeight="1" x14ac:dyDescent="0.25">
      <c r="A15" s="18" t="s">
        <v>24</v>
      </c>
      <c r="B15" s="19"/>
      <c r="C15" s="19"/>
      <c r="D15" s="20"/>
      <c r="E15" s="26">
        <f>'ekim 3 hafta '!N15</f>
        <v>0</v>
      </c>
      <c r="F15" s="2"/>
      <c r="G15" s="2" t="s">
        <v>0</v>
      </c>
      <c r="H15" s="6">
        <v>200</v>
      </c>
      <c r="I15" s="6">
        <v>0</v>
      </c>
      <c r="J15" s="6">
        <v>0</v>
      </c>
      <c r="K15" s="6">
        <v>0</v>
      </c>
      <c r="L15" s="6">
        <v>0</v>
      </c>
      <c r="M15" s="6">
        <v>20</v>
      </c>
      <c r="N15" s="33">
        <f t="shared" si="0"/>
        <v>180</v>
      </c>
      <c r="O15" s="31"/>
      <c r="P15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"/>
  <sheetViews>
    <sheetView topLeftCell="A7" workbookViewId="0">
      <selection activeCell="L12" sqref="L12"/>
    </sheetView>
  </sheetViews>
  <sheetFormatPr defaultRowHeight="15" x14ac:dyDescent="0.25"/>
  <cols>
    <col min="5" max="5" width="11.42578125" customWidth="1"/>
    <col min="6" max="6" width="0.7109375" hidden="1" customWidth="1"/>
    <col min="9" max="9" width="10.5703125" customWidth="1"/>
    <col min="10" max="10" width="10" customWidth="1"/>
    <col min="11" max="11" width="9.85546875" customWidth="1"/>
    <col min="12" max="12" width="11" customWidth="1"/>
    <col min="13" max="13" width="10.140625" bestFit="1" customWidth="1"/>
    <col min="15" max="15" width="9.42578125" customWidth="1"/>
  </cols>
  <sheetData>
    <row r="1" spans="1:16" ht="27.75" customHeight="1" thickBot="1" x14ac:dyDescent="0.3"/>
    <row r="2" spans="1:16" ht="27.75" customHeight="1" thickBot="1" x14ac:dyDescent="0.3">
      <c r="A2" s="10" t="s">
        <v>13</v>
      </c>
      <c r="B2" s="11"/>
      <c r="C2" s="11"/>
      <c r="D2" s="12"/>
      <c r="E2" s="12" t="s">
        <v>18</v>
      </c>
      <c r="F2" s="13"/>
      <c r="G2" s="13" t="s">
        <v>15</v>
      </c>
      <c r="H2" s="13" t="s">
        <v>16</v>
      </c>
      <c r="I2" s="14">
        <v>44865</v>
      </c>
      <c r="J2" s="14">
        <v>44866</v>
      </c>
      <c r="K2" s="14">
        <v>44867</v>
      </c>
      <c r="L2" s="14">
        <v>44868</v>
      </c>
      <c r="M2" s="14">
        <v>44869</v>
      </c>
      <c r="N2" s="15" t="s">
        <v>17</v>
      </c>
      <c r="O2" s="28" t="s">
        <v>21</v>
      </c>
      <c r="P2" s="29" t="s">
        <v>20</v>
      </c>
    </row>
    <row r="3" spans="1:16" ht="27.75" customHeight="1" x14ac:dyDescent="0.25">
      <c r="A3" s="23" t="s">
        <v>1</v>
      </c>
      <c r="B3" s="24"/>
      <c r="C3" s="24"/>
      <c r="D3" s="25"/>
      <c r="E3" s="26">
        <f>'ekim 4 hafta '!N3</f>
        <v>3715</v>
      </c>
      <c r="F3" s="6"/>
      <c r="G3" s="6" t="s">
        <v>0</v>
      </c>
      <c r="H3" s="6">
        <v>0</v>
      </c>
      <c r="I3" s="6">
        <v>0</v>
      </c>
      <c r="J3" s="6">
        <v>100</v>
      </c>
      <c r="K3" s="6">
        <v>0</v>
      </c>
      <c r="L3" s="6">
        <v>0</v>
      </c>
      <c r="M3" s="6">
        <v>0</v>
      </c>
      <c r="N3" s="32">
        <f>+E3+H3-I3-J3-K3-L3-M3</f>
        <v>3615</v>
      </c>
      <c r="O3" s="30">
        <v>750</v>
      </c>
      <c r="P3" s="30">
        <v>5000</v>
      </c>
    </row>
    <row r="4" spans="1:16" ht="27.75" customHeight="1" x14ac:dyDescent="0.25">
      <c r="A4" s="18" t="s">
        <v>2</v>
      </c>
      <c r="B4" s="19"/>
      <c r="C4" s="19"/>
      <c r="D4" s="20"/>
      <c r="E4" s="26">
        <f>'ekim 4 hafta '!N4</f>
        <v>2541</v>
      </c>
      <c r="F4" s="2"/>
      <c r="G4" s="2" t="s">
        <v>0</v>
      </c>
      <c r="H4" s="6">
        <v>0</v>
      </c>
      <c r="I4" s="6">
        <v>0</v>
      </c>
      <c r="J4" s="6">
        <v>490</v>
      </c>
      <c r="K4" s="6">
        <v>0</v>
      </c>
      <c r="L4" s="6">
        <v>0</v>
      </c>
      <c r="M4" s="6">
        <v>0</v>
      </c>
      <c r="N4" s="33">
        <f t="shared" ref="N4:N15" si="0">+E4+H4-I4-J4-K4-L4-M4</f>
        <v>2051</v>
      </c>
      <c r="O4" s="31">
        <v>500</v>
      </c>
      <c r="P4" s="31">
        <v>3000</v>
      </c>
    </row>
    <row r="5" spans="1:16" ht="27.75" customHeight="1" x14ac:dyDescent="0.25">
      <c r="A5" s="18" t="s">
        <v>3</v>
      </c>
      <c r="B5" s="19"/>
      <c r="C5" s="19"/>
      <c r="D5" s="20"/>
      <c r="E5" s="26">
        <f>'ekim 4 hafta '!N5</f>
        <v>4079</v>
      </c>
      <c r="F5" s="2"/>
      <c r="G5" s="2" t="s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33">
        <f t="shared" si="0"/>
        <v>4079</v>
      </c>
      <c r="O5" s="31">
        <v>300</v>
      </c>
      <c r="P5" s="31">
        <v>3000</v>
      </c>
    </row>
    <row r="6" spans="1:16" ht="27.75" customHeight="1" x14ac:dyDescent="0.25">
      <c r="A6" s="18" t="s">
        <v>4</v>
      </c>
      <c r="B6" s="19"/>
      <c r="C6" s="19"/>
      <c r="D6" s="20"/>
      <c r="E6" s="26">
        <f>'ekim 4 hafta '!N6</f>
        <v>326</v>
      </c>
      <c r="F6" s="2"/>
      <c r="G6" s="2" t="s">
        <v>0</v>
      </c>
      <c r="H6" s="6">
        <v>0</v>
      </c>
      <c r="I6" s="6">
        <v>0</v>
      </c>
      <c r="J6" s="6">
        <v>20</v>
      </c>
      <c r="K6" s="6">
        <v>0</v>
      </c>
      <c r="L6" s="6">
        <v>0</v>
      </c>
      <c r="M6" s="6">
        <v>0</v>
      </c>
      <c r="N6" s="33">
        <f t="shared" si="0"/>
        <v>306</v>
      </c>
      <c r="O6" s="31">
        <v>200</v>
      </c>
      <c r="P6" s="31">
        <v>2000</v>
      </c>
    </row>
    <row r="7" spans="1:16" ht="27.75" customHeight="1" x14ac:dyDescent="0.25">
      <c r="A7" s="18" t="s">
        <v>8</v>
      </c>
      <c r="B7" s="19"/>
      <c r="C7" s="19"/>
      <c r="D7" s="20"/>
      <c r="E7" s="26">
        <f>'ekim 4 hafta '!N7</f>
        <v>20</v>
      </c>
      <c r="F7" s="2"/>
      <c r="G7" s="2" t="s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33">
        <f t="shared" si="0"/>
        <v>20</v>
      </c>
      <c r="O7" s="31"/>
      <c r="P7" s="31"/>
    </row>
    <row r="8" spans="1:16" ht="27.75" customHeight="1" x14ac:dyDescent="0.25">
      <c r="A8" s="18" t="s">
        <v>5</v>
      </c>
      <c r="B8" s="19"/>
      <c r="C8" s="19"/>
      <c r="D8" s="20"/>
      <c r="E8" s="26">
        <f>'ekim 4 hafta '!N8</f>
        <v>160</v>
      </c>
      <c r="F8" s="2"/>
      <c r="G8" s="2" t="s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33">
        <f t="shared" si="0"/>
        <v>160</v>
      </c>
      <c r="O8" s="31"/>
      <c r="P8" s="31"/>
    </row>
    <row r="9" spans="1:16" ht="27.75" customHeight="1" x14ac:dyDescent="0.25">
      <c r="A9" s="18" t="s">
        <v>9</v>
      </c>
      <c r="B9" s="19"/>
      <c r="C9" s="19"/>
      <c r="D9" s="20"/>
      <c r="E9" s="26">
        <f>'ekim 4 hafta '!N9</f>
        <v>1020</v>
      </c>
      <c r="F9" s="2"/>
      <c r="G9" s="2" t="s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33">
        <f t="shared" si="0"/>
        <v>1020</v>
      </c>
      <c r="O9" s="31"/>
      <c r="P9" s="31"/>
    </row>
    <row r="10" spans="1:16" ht="27.75" customHeight="1" x14ac:dyDescent="0.25">
      <c r="A10" s="18" t="s">
        <v>10</v>
      </c>
      <c r="B10" s="19"/>
      <c r="C10" s="19"/>
      <c r="D10" s="20"/>
      <c r="E10" s="26">
        <f>'ekim 4 hafta '!N10</f>
        <v>371</v>
      </c>
      <c r="F10" s="2"/>
      <c r="G10" s="2" t="s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33">
        <f t="shared" si="0"/>
        <v>371</v>
      </c>
      <c r="O10" s="31"/>
      <c r="P10" s="31"/>
    </row>
    <row r="11" spans="1:16" ht="27.75" customHeight="1" x14ac:dyDescent="0.25">
      <c r="A11" s="18" t="s">
        <v>11</v>
      </c>
      <c r="B11" s="19"/>
      <c r="C11" s="19"/>
      <c r="D11" s="20"/>
      <c r="E11" s="26">
        <f>'ekim 4 hafta '!N11</f>
        <v>476</v>
      </c>
      <c r="F11" s="2"/>
      <c r="G11" s="2" t="s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33">
        <f t="shared" si="0"/>
        <v>476</v>
      </c>
      <c r="O11" s="31"/>
      <c r="P11" s="31"/>
    </row>
    <row r="12" spans="1:16" ht="27.75" customHeight="1" x14ac:dyDescent="0.25">
      <c r="A12" s="18" t="s">
        <v>6</v>
      </c>
      <c r="B12" s="19"/>
      <c r="C12" s="19"/>
      <c r="D12" s="20"/>
      <c r="E12" s="26">
        <f>'ekim 4 hafta '!N12</f>
        <v>100</v>
      </c>
      <c r="F12" s="2"/>
      <c r="G12" s="2" t="s">
        <v>0</v>
      </c>
      <c r="H12" s="6">
        <v>0</v>
      </c>
      <c r="I12" s="6">
        <v>0</v>
      </c>
      <c r="J12" s="6">
        <v>5</v>
      </c>
      <c r="K12" s="6">
        <v>0</v>
      </c>
      <c r="L12" s="6">
        <v>0</v>
      </c>
      <c r="M12" s="6">
        <v>0</v>
      </c>
      <c r="N12" s="33">
        <f t="shared" si="0"/>
        <v>95</v>
      </c>
      <c r="O12" s="31">
        <v>150</v>
      </c>
      <c r="P12" s="31">
        <v>2000</v>
      </c>
    </row>
    <row r="13" spans="1:16" ht="27.75" customHeight="1" x14ac:dyDescent="0.25">
      <c r="A13" s="18" t="s">
        <v>12</v>
      </c>
      <c r="B13" s="19"/>
      <c r="C13" s="19"/>
      <c r="D13" s="20"/>
      <c r="E13" s="26">
        <f>'ekim 4 hafta '!N13</f>
        <v>50</v>
      </c>
      <c r="F13" s="2"/>
      <c r="G13" s="2" t="s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33">
        <f t="shared" si="0"/>
        <v>50</v>
      </c>
      <c r="O13" s="31"/>
      <c r="P13" s="31"/>
    </row>
    <row r="14" spans="1:16" ht="27.75" customHeight="1" x14ac:dyDescent="0.25">
      <c r="A14" s="18" t="s">
        <v>23</v>
      </c>
      <c r="B14" s="19"/>
      <c r="C14" s="19"/>
      <c r="D14" s="20"/>
      <c r="E14" s="26">
        <f>'ekim 4 hafta '!N14</f>
        <v>15</v>
      </c>
      <c r="F14" s="2"/>
      <c r="G14" s="2" t="s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33">
        <f t="shared" si="0"/>
        <v>15</v>
      </c>
      <c r="O14" s="31"/>
      <c r="P14" s="31"/>
    </row>
    <row r="15" spans="1:16" ht="24.75" customHeight="1" x14ac:dyDescent="0.25">
      <c r="A15" s="18" t="s">
        <v>24</v>
      </c>
      <c r="B15" s="19"/>
      <c r="C15" s="19"/>
      <c r="D15" s="20"/>
      <c r="E15" s="26">
        <f>'ekim 4 hafta '!N15</f>
        <v>180</v>
      </c>
      <c r="F15" s="2"/>
      <c r="G15" s="2" t="s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33">
        <f t="shared" si="0"/>
        <v>180</v>
      </c>
      <c r="O15" s="31"/>
      <c r="P15" s="3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topLeftCell="A10" workbookViewId="0">
      <selection activeCell="G14" sqref="G14"/>
    </sheetView>
  </sheetViews>
  <sheetFormatPr defaultRowHeight="15" x14ac:dyDescent="0.25"/>
  <cols>
    <col min="4" max="4" width="10.5703125" customWidth="1"/>
    <col min="5" max="5" width="11.42578125" customWidth="1"/>
    <col min="6" max="6" width="0.7109375" hidden="1" customWidth="1"/>
    <col min="7" max="7" width="12.42578125" customWidth="1"/>
    <col min="8" max="8" width="9.42578125" customWidth="1"/>
    <col min="9" max="9" width="10.5703125" customWidth="1"/>
    <col min="10" max="10" width="10.28515625" customWidth="1"/>
    <col min="11" max="11" width="12.28515625" customWidth="1"/>
    <col min="12" max="13" width="10.85546875" customWidth="1"/>
    <col min="14" max="14" width="9.28515625" customWidth="1"/>
    <col min="15" max="15" width="10" customWidth="1"/>
    <col min="16" max="16" width="11" customWidth="1"/>
  </cols>
  <sheetData>
    <row r="1" spans="1:16" ht="27.75" customHeight="1" thickBot="1" x14ac:dyDescent="0.3"/>
    <row r="2" spans="1:16" ht="27.75" customHeight="1" thickBot="1" x14ac:dyDescent="0.3">
      <c r="A2" s="10" t="s">
        <v>13</v>
      </c>
      <c r="B2" s="11"/>
      <c r="C2" s="11"/>
      <c r="D2" s="12"/>
      <c r="E2" s="12" t="s">
        <v>18</v>
      </c>
      <c r="F2" s="13"/>
      <c r="G2" s="13" t="s">
        <v>15</v>
      </c>
      <c r="H2" s="13" t="s">
        <v>16</v>
      </c>
      <c r="I2" s="14">
        <v>44872</v>
      </c>
      <c r="J2" s="14">
        <v>44873</v>
      </c>
      <c r="K2" s="14">
        <v>44874</v>
      </c>
      <c r="L2" s="14">
        <v>44875</v>
      </c>
      <c r="M2" s="14">
        <v>44876</v>
      </c>
      <c r="N2" s="39" t="s">
        <v>17</v>
      </c>
      <c r="O2" s="28" t="s">
        <v>21</v>
      </c>
      <c r="P2" s="29" t="s">
        <v>26</v>
      </c>
    </row>
    <row r="3" spans="1:16" ht="27.75" customHeight="1" x14ac:dyDescent="0.25">
      <c r="A3" s="23" t="s">
        <v>1</v>
      </c>
      <c r="B3" s="24"/>
      <c r="C3" s="24"/>
      <c r="D3" s="25"/>
      <c r="E3" s="26">
        <f>'KASIM 1 HAFTA'!N3</f>
        <v>3615</v>
      </c>
      <c r="F3" s="6"/>
      <c r="G3" s="6" t="s">
        <v>0</v>
      </c>
      <c r="H3" s="6">
        <v>0</v>
      </c>
      <c r="I3" s="6">
        <v>0</v>
      </c>
      <c r="J3" s="6">
        <v>0</v>
      </c>
      <c r="K3" s="6">
        <v>10</v>
      </c>
      <c r="L3" s="6">
        <v>0</v>
      </c>
      <c r="M3" s="6">
        <v>0</v>
      </c>
      <c r="N3" s="35">
        <f>+E3+H3-I3-J3-K3-L3-M3</f>
        <v>3605</v>
      </c>
      <c r="O3" s="37">
        <v>1000</v>
      </c>
      <c r="P3" s="30">
        <v>5000</v>
      </c>
    </row>
    <row r="4" spans="1:16" ht="27.75" customHeight="1" x14ac:dyDescent="0.25">
      <c r="A4" s="18" t="s">
        <v>2</v>
      </c>
      <c r="B4" s="19"/>
      <c r="C4" s="19"/>
      <c r="D4" s="20"/>
      <c r="E4" s="26">
        <f>'KASIM 1 HAFTA'!N4</f>
        <v>2051</v>
      </c>
      <c r="F4" s="2"/>
      <c r="G4" s="2" t="s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36">
        <f t="shared" ref="N4:N16" si="0">+E4+H4-I4-J4-K4-L4-M4</f>
        <v>2051</v>
      </c>
      <c r="O4" s="38">
        <v>500</v>
      </c>
      <c r="P4" s="31">
        <v>3000</v>
      </c>
    </row>
    <row r="5" spans="1:16" ht="27.75" customHeight="1" x14ac:dyDescent="0.25">
      <c r="A5" s="18" t="s">
        <v>3</v>
      </c>
      <c r="B5" s="19"/>
      <c r="C5" s="19"/>
      <c r="D5" s="20"/>
      <c r="E5" s="26">
        <f>'KASIM 1 HAFTA'!N5</f>
        <v>4079</v>
      </c>
      <c r="F5" s="2"/>
      <c r="G5" s="2" t="s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60</v>
      </c>
      <c r="N5" s="36">
        <f t="shared" si="0"/>
        <v>4019</v>
      </c>
      <c r="O5" s="38">
        <v>300</v>
      </c>
      <c r="P5" s="31">
        <v>3000</v>
      </c>
    </row>
    <row r="6" spans="1:16" ht="27.75" customHeight="1" x14ac:dyDescent="0.25">
      <c r="A6" s="18" t="s">
        <v>4</v>
      </c>
      <c r="B6" s="19"/>
      <c r="C6" s="19"/>
      <c r="D6" s="20"/>
      <c r="E6" s="26">
        <f>'KASIM 1 HAFTA'!N6</f>
        <v>306</v>
      </c>
      <c r="F6" s="2"/>
      <c r="G6" s="2" t="s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36">
        <f t="shared" si="0"/>
        <v>306</v>
      </c>
      <c r="O6" s="38">
        <v>200</v>
      </c>
      <c r="P6" s="31">
        <v>2000</v>
      </c>
    </row>
    <row r="7" spans="1:16" ht="27.75" customHeight="1" x14ac:dyDescent="0.25">
      <c r="A7" s="18" t="s">
        <v>8</v>
      </c>
      <c r="B7" s="19"/>
      <c r="C7" s="19"/>
      <c r="D7" s="20"/>
      <c r="E7" s="26">
        <f>'KASIM 1 HAFTA'!N7</f>
        <v>20</v>
      </c>
      <c r="F7" s="2"/>
      <c r="G7" s="2" t="s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36">
        <f t="shared" si="0"/>
        <v>20</v>
      </c>
      <c r="O7" s="38">
        <v>0</v>
      </c>
      <c r="P7" s="31">
        <v>0</v>
      </c>
    </row>
    <row r="8" spans="1:16" ht="27.75" customHeight="1" x14ac:dyDescent="0.25">
      <c r="A8" s="18" t="s">
        <v>5</v>
      </c>
      <c r="B8" s="19"/>
      <c r="C8" s="19"/>
      <c r="D8" s="20"/>
      <c r="E8" s="26">
        <f>'KASIM 1 HAFTA'!N8</f>
        <v>160</v>
      </c>
      <c r="F8" s="2"/>
      <c r="G8" s="2" t="s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36">
        <f t="shared" si="0"/>
        <v>160</v>
      </c>
      <c r="O8" s="38">
        <v>100</v>
      </c>
      <c r="P8" s="31">
        <v>500</v>
      </c>
    </row>
    <row r="9" spans="1:16" ht="27.75" customHeight="1" x14ac:dyDescent="0.25">
      <c r="A9" s="18" t="s">
        <v>9</v>
      </c>
      <c r="B9" s="19"/>
      <c r="C9" s="19"/>
      <c r="D9" s="20"/>
      <c r="E9" s="26">
        <f>'KASIM 1 HAFTA'!N9</f>
        <v>1020</v>
      </c>
      <c r="F9" s="2"/>
      <c r="G9" s="2" t="s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36">
        <f t="shared" si="0"/>
        <v>1020</v>
      </c>
      <c r="O9" s="38">
        <v>0</v>
      </c>
      <c r="P9" s="31">
        <v>0</v>
      </c>
    </row>
    <row r="10" spans="1:16" ht="27.75" customHeight="1" x14ac:dyDescent="0.25">
      <c r="A10" s="18" t="s">
        <v>10</v>
      </c>
      <c r="B10" s="19"/>
      <c r="C10" s="19"/>
      <c r="D10" s="20"/>
      <c r="E10" s="26">
        <f>'KASIM 1 HAFTA'!N10</f>
        <v>371</v>
      </c>
      <c r="F10" s="2"/>
      <c r="G10" s="2" t="s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36">
        <f t="shared" si="0"/>
        <v>371</v>
      </c>
      <c r="O10" s="38">
        <v>0</v>
      </c>
      <c r="P10" s="31">
        <v>0</v>
      </c>
    </row>
    <row r="11" spans="1:16" ht="27.75" customHeight="1" x14ac:dyDescent="0.25">
      <c r="A11" s="18" t="s">
        <v>11</v>
      </c>
      <c r="B11" s="19"/>
      <c r="C11" s="19"/>
      <c r="D11" s="20"/>
      <c r="E11" s="26">
        <f>'KASIM 1 HAFTA'!N11</f>
        <v>476</v>
      </c>
      <c r="F11" s="2"/>
      <c r="G11" s="2" t="s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10</v>
      </c>
      <c r="N11" s="36">
        <f t="shared" si="0"/>
        <v>466</v>
      </c>
      <c r="O11" s="38">
        <v>0</v>
      </c>
      <c r="P11" s="31">
        <v>0</v>
      </c>
    </row>
    <row r="12" spans="1:16" ht="27.75" customHeight="1" x14ac:dyDescent="0.25">
      <c r="A12" s="18" t="s">
        <v>6</v>
      </c>
      <c r="B12" s="19"/>
      <c r="C12" s="19"/>
      <c r="D12" s="20"/>
      <c r="E12" s="26">
        <v>0</v>
      </c>
      <c r="F12" s="2"/>
      <c r="G12" s="2" t="s">
        <v>0</v>
      </c>
      <c r="H12" s="6">
        <v>250</v>
      </c>
      <c r="I12" s="6">
        <v>140</v>
      </c>
      <c r="J12" s="6">
        <v>50</v>
      </c>
      <c r="K12" s="6">
        <v>0</v>
      </c>
      <c r="L12" s="6">
        <v>0</v>
      </c>
      <c r="M12" s="6">
        <v>0</v>
      </c>
      <c r="N12" s="36">
        <f t="shared" si="0"/>
        <v>60</v>
      </c>
      <c r="O12" s="38">
        <v>150</v>
      </c>
      <c r="P12" s="31">
        <v>2000</v>
      </c>
    </row>
    <row r="13" spans="1:16" ht="27.75" customHeight="1" x14ac:dyDescent="0.25">
      <c r="A13" s="18" t="s">
        <v>12</v>
      </c>
      <c r="B13" s="19"/>
      <c r="C13" s="19"/>
      <c r="D13" s="20"/>
      <c r="E13" s="26">
        <f>'KASIM 1 HAFTA'!N13</f>
        <v>50</v>
      </c>
      <c r="F13" s="2"/>
      <c r="G13" s="2" t="s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36">
        <f t="shared" si="0"/>
        <v>50</v>
      </c>
      <c r="O13" s="38">
        <v>0</v>
      </c>
      <c r="P13" s="31">
        <v>0</v>
      </c>
    </row>
    <row r="14" spans="1:16" ht="27.75" customHeight="1" x14ac:dyDescent="0.25">
      <c r="A14" s="18" t="s">
        <v>23</v>
      </c>
      <c r="B14" s="19"/>
      <c r="C14" s="19"/>
      <c r="D14" s="20"/>
      <c r="E14" s="26">
        <f>'KASIM 1 HAFTA'!N14</f>
        <v>15</v>
      </c>
      <c r="F14" s="2"/>
      <c r="G14" s="2" t="s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36">
        <f t="shared" si="0"/>
        <v>15</v>
      </c>
      <c r="O14" s="38">
        <v>0</v>
      </c>
      <c r="P14" s="31">
        <v>0</v>
      </c>
    </row>
    <row r="15" spans="1:16" ht="24.75" customHeight="1" x14ac:dyDescent="0.25">
      <c r="A15" s="18" t="s">
        <v>24</v>
      </c>
      <c r="B15" s="19"/>
      <c r="C15" s="19"/>
      <c r="D15" s="20"/>
      <c r="E15" s="26">
        <f>'KASIM 1 HAFTA'!N15</f>
        <v>180</v>
      </c>
      <c r="F15" s="2"/>
      <c r="G15" s="2" t="s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36">
        <f t="shared" si="0"/>
        <v>180</v>
      </c>
      <c r="O15" s="38">
        <v>100</v>
      </c>
      <c r="P15" s="31">
        <v>300</v>
      </c>
    </row>
    <row r="16" spans="1:16" ht="20.25" customHeight="1" x14ac:dyDescent="0.25">
      <c r="A16" s="18" t="s">
        <v>25</v>
      </c>
      <c r="B16" s="19"/>
      <c r="C16" s="19"/>
      <c r="D16" s="20"/>
      <c r="E16" s="2"/>
      <c r="F16" s="2"/>
      <c r="G16" s="2"/>
      <c r="H16" s="2">
        <v>200</v>
      </c>
      <c r="I16" s="2"/>
      <c r="J16" s="2">
        <v>100</v>
      </c>
      <c r="K16" s="2"/>
      <c r="L16" s="2"/>
      <c r="M16" s="2">
        <v>100</v>
      </c>
      <c r="N16" s="36">
        <f t="shared" si="0"/>
        <v>0</v>
      </c>
      <c r="O16" s="38">
        <v>0</v>
      </c>
      <c r="P16" s="2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6"/>
  <sheetViews>
    <sheetView workbookViewId="0">
      <selection activeCell="A3" sqref="A3:A16"/>
    </sheetView>
  </sheetViews>
  <sheetFormatPr defaultRowHeight="15" x14ac:dyDescent="0.25"/>
  <cols>
    <col min="1" max="1" width="6.28515625" customWidth="1"/>
    <col min="3" max="3" width="9.28515625" customWidth="1"/>
    <col min="5" max="5" width="4.5703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9.42578125" customWidth="1"/>
    <col min="17" max="17" width="11.28515625" customWidth="1"/>
  </cols>
  <sheetData>
    <row r="1" spans="1:17" ht="27.75" customHeight="1" thickBot="1" x14ac:dyDescent="0.3">
      <c r="B1" t="s">
        <v>27</v>
      </c>
    </row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44879</v>
      </c>
      <c r="K2" s="14">
        <v>44880</v>
      </c>
      <c r="L2" s="14">
        <v>44881</v>
      </c>
      <c r="M2" s="14">
        <v>44882</v>
      </c>
      <c r="N2" s="14">
        <v>44883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f>'KASIM 2 HAFTA '!N3</f>
        <v>3605</v>
      </c>
      <c r="G3" s="6"/>
      <c r="H3" s="6" t="s">
        <v>0</v>
      </c>
      <c r="I3" s="6">
        <v>0</v>
      </c>
      <c r="J3" s="6">
        <v>10</v>
      </c>
      <c r="K3" s="6">
        <v>0</v>
      </c>
      <c r="L3" s="6">
        <v>0</v>
      </c>
      <c r="M3" s="6">
        <v>0</v>
      </c>
      <c r="N3" s="6">
        <v>160</v>
      </c>
      <c r="O3" s="32">
        <f>+F3+I3-J3-K3-L3-M3-N3</f>
        <v>3435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2</v>
      </c>
      <c r="C4" s="19"/>
      <c r="D4" s="19"/>
      <c r="E4" s="20"/>
      <c r="F4" s="26">
        <f>'KASIM 2 HAFTA '!N4</f>
        <v>2051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3</v>
      </c>
      <c r="M4" s="6">
        <v>0</v>
      </c>
      <c r="N4" s="6">
        <v>0</v>
      </c>
      <c r="O4" s="33">
        <f t="shared" ref="O4:O16" si="0">+F4+I4-J4-K4-L4-M4-N4</f>
        <v>2048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f>'KASIM 2 HAFTA '!N5</f>
        <v>4019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3">
        <f t="shared" si="0"/>
        <v>4019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f>'KASIM 2 HAFTA '!N6</f>
        <v>306</v>
      </c>
      <c r="G6" s="2"/>
      <c r="H6" s="2" t="s">
        <v>0</v>
      </c>
      <c r="I6" s="6">
        <v>100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406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f>'KASIM 2 HAFTA '!N7</f>
        <v>20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20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0</v>
      </c>
      <c r="G8" s="2"/>
      <c r="H8" s="2" t="s">
        <v>0</v>
      </c>
      <c r="I8" s="6">
        <v>260</v>
      </c>
      <c r="J8" s="6">
        <v>0</v>
      </c>
      <c r="K8" s="6">
        <v>0</v>
      </c>
      <c r="L8" s="6">
        <v>40</v>
      </c>
      <c r="M8" s="6">
        <v>0</v>
      </c>
      <c r="N8" s="6">
        <v>0</v>
      </c>
      <c r="O8" s="33">
        <f t="shared" si="0"/>
        <v>220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f>'KASIM 2 HAFTA '!N9</f>
        <v>1020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1020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f>'KASIM 2 HAFTA '!N10</f>
        <v>371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371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11</v>
      </c>
      <c r="C11" s="19"/>
      <c r="D11" s="19"/>
      <c r="E11" s="20"/>
      <c r="F11" s="26">
        <f>'KASIM 2 HAFTA '!N11</f>
        <v>466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0</v>
      </c>
      <c r="M11" s="6">
        <v>110</v>
      </c>
      <c r="N11" s="6">
        <v>0</v>
      </c>
      <c r="O11" s="33">
        <f t="shared" si="0"/>
        <v>356</v>
      </c>
      <c r="P11" s="42">
        <v>0</v>
      </c>
      <c r="Q11" s="31">
        <v>0</v>
      </c>
    </row>
    <row r="12" spans="1:17" ht="27.75" customHeight="1" x14ac:dyDescent="0.25">
      <c r="A12" s="4">
        <v>10</v>
      </c>
      <c r="B12" s="19" t="s">
        <v>6</v>
      </c>
      <c r="C12" s="19"/>
      <c r="D12" s="19"/>
      <c r="E12" s="20"/>
      <c r="F12" s="26">
        <f>'KASIM 2 HAFTA '!N12</f>
        <v>60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60</v>
      </c>
      <c r="P12" s="42">
        <v>150</v>
      </c>
      <c r="Q12" s="31">
        <v>2000</v>
      </c>
    </row>
    <row r="13" spans="1:17" ht="27.75" customHeight="1" x14ac:dyDescent="0.25">
      <c r="A13" s="4">
        <v>11</v>
      </c>
      <c r="B13" s="19" t="s">
        <v>12</v>
      </c>
      <c r="C13" s="19"/>
      <c r="D13" s="19"/>
      <c r="E13" s="20"/>
      <c r="F13" s="26">
        <f>'KASIM 2 HAFTA '!N13</f>
        <v>50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50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23</v>
      </c>
      <c r="C14" s="19"/>
      <c r="D14" s="19"/>
      <c r="E14" s="20"/>
      <c r="F14" s="26">
        <f>'KASIM 2 HAFTA '!N14</f>
        <v>15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15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24</v>
      </c>
      <c r="C15" s="19"/>
      <c r="D15" s="19"/>
      <c r="E15" s="20"/>
      <c r="F15" s="26">
        <f>'KASIM 2 HAFTA '!N15</f>
        <v>180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3">
        <f t="shared" si="0"/>
        <v>180</v>
      </c>
      <c r="P15" s="42">
        <v>100</v>
      </c>
      <c r="Q15" s="31">
        <v>300</v>
      </c>
    </row>
    <row r="16" spans="1:17" ht="24.75" customHeight="1" x14ac:dyDescent="0.25">
      <c r="A16" s="4">
        <v>14</v>
      </c>
      <c r="B16" s="19" t="s">
        <v>25</v>
      </c>
      <c r="C16" s="19"/>
      <c r="D16" s="19"/>
      <c r="E16" s="20"/>
      <c r="F16" s="4">
        <v>0</v>
      </c>
      <c r="G16" s="2"/>
      <c r="H16" s="2" t="s">
        <v>0</v>
      </c>
      <c r="I16" s="2">
        <v>0</v>
      </c>
      <c r="J16" s="2"/>
      <c r="K16" s="2">
        <v>0</v>
      </c>
      <c r="L16" s="2"/>
      <c r="M16" s="2"/>
      <c r="N16" s="2">
        <v>0</v>
      </c>
      <c r="O16" s="36">
        <f t="shared" si="0"/>
        <v>0</v>
      </c>
      <c r="P16" s="42">
        <v>0</v>
      </c>
      <c r="Q16" s="2">
        <v>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topLeftCell="A4" workbookViewId="0">
      <selection activeCell="N6" sqref="N6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/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44886</v>
      </c>
      <c r="K2" s="14">
        <v>44887</v>
      </c>
      <c r="L2" s="14">
        <v>44888</v>
      </c>
      <c r="M2" s="14">
        <v>44889</v>
      </c>
      <c r="N2" s="14">
        <v>44890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f>'KASIM 3 HAFTA '!O3</f>
        <v>3435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80</v>
      </c>
      <c r="N3" s="6">
        <v>0</v>
      </c>
      <c r="O3" s="32">
        <f>+F3+I3-J3-K3-L3-M3-N3</f>
        <v>3355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2</v>
      </c>
      <c r="C4" s="19"/>
      <c r="D4" s="19"/>
      <c r="E4" s="20"/>
      <c r="F4" s="26">
        <f>'KASIM 3 HAFTA '!O4</f>
        <v>2048</v>
      </c>
      <c r="G4" s="2"/>
      <c r="H4" s="2" t="s">
        <v>0</v>
      </c>
      <c r="I4" s="6">
        <v>0</v>
      </c>
      <c r="J4" s="6">
        <v>20</v>
      </c>
      <c r="K4" s="6">
        <v>0</v>
      </c>
      <c r="L4" s="6">
        <v>100</v>
      </c>
      <c r="M4" s="6">
        <v>80</v>
      </c>
      <c r="N4" s="6">
        <v>7</v>
      </c>
      <c r="O4" s="33">
        <f t="shared" ref="O4:O15" si="0">+F4+I4-J4-K4-L4-M4-N4</f>
        <v>1841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f>'KASIM 3 HAFTA '!O5</f>
        <v>4019</v>
      </c>
      <c r="G5" s="2"/>
      <c r="H5" s="2" t="s">
        <v>0</v>
      </c>
      <c r="I5" s="6">
        <v>0</v>
      </c>
      <c r="J5" s="6">
        <v>20</v>
      </c>
      <c r="K5" s="6">
        <v>40</v>
      </c>
      <c r="L5" s="6">
        <v>0</v>
      </c>
      <c r="M5" s="6">
        <v>0</v>
      </c>
      <c r="N5" s="6">
        <v>40</v>
      </c>
      <c r="O5" s="33">
        <f t="shared" si="0"/>
        <v>3919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f>'KASIM 3 HAFTA '!O6</f>
        <v>406</v>
      </c>
      <c r="G6" s="2"/>
      <c r="H6" s="2" t="s">
        <v>0</v>
      </c>
      <c r="I6" s="6">
        <v>0</v>
      </c>
      <c r="J6" s="6">
        <v>24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382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f>'KASIM 3 HAFTA '!O7</f>
        <v>20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20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f>'KASIM 3 HAFTA '!O8</f>
        <v>220</v>
      </c>
      <c r="G8" s="2"/>
      <c r="H8" s="2" t="s">
        <v>0</v>
      </c>
      <c r="I8" s="6">
        <v>0</v>
      </c>
      <c r="J8" s="6">
        <v>20</v>
      </c>
      <c r="K8" s="6">
        <v>0</v>
      </c>
      <c r="L8" s="6">
        <v>0</v>
      </c>
      <c r="M8" s="6">
        <v>0</v>
      </c>
      <c r="N8" s="6">
        <v>0</v>
      </c>
      <c r="O8" s="33">
        <f t="shared" si="0"/>
        <v>200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f>'KASIM 3 HAFTA '!O9</f>
        <v>1020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1020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356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60</v>
      </c>
      <c r="M10" s="6">
        <v>0</v>
      </c>
      <c r="N10" s="6">
        <v>0</v>
      </c>
      <c r="O10" s="33">
        <f t="shared" si="0"/>
        <v>296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f>'KASIM 3 HAFTA '!O12</f>
        <v>60</v>
      </c>
      <c r="G11" s="2"/>
      <c r="H11" s="2" t="s">
        <v>0</v>
      </c>
      <c r="I11" s="6">
        <v>0</v>
      </c>
      <c r="J11" s="6">
        <v>21</v>
      </c>
      <c r="K11" s="6">
        <v>0</v>
      </c>
      <c r="L11" s="6">
        <v>0</v>
      </c>
      <c r="M11" s="6">
        <v>25</v>
      </c>
      <c r="N11" s="6">
        <v>4</v>
      </c>
      <c r="O11" s="33">
        <f t="shared" si="0"/>
        <v>10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f>'KASIM 3 HAFTA '!O13</f>
        <v>50</v>
      </c>
      <c r="G12" s="2"/>
      <c r="H12" s="2" t="s">
        <v>0</v>
      </c>
      <c r="I12" s="6">
        <v>0</v>
      </c>
      <c r="J12" s="6">
        <v>20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30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f>'KASIM 3 HAFTA '!O14</f>
        <v>15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15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f>'KASIM 3 HAFTA '!O15</f>
        <v>180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180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0</v>
      </c>
      <c r="G15" s="2"/>
      <c r="H15" s="2" t="s">
        <v>0</v>
      </c>
      <c r="I15" s="2">
        <v>0</v>
      </c>
      <c r="J15" s="2"/>
      <c r="K15" s="2">
        <v>0</v>
      </c>
      <c r="L15" s="2">
        <v>0</v>
      </c>
      <c r="M15" s="2">
        <v>0</v>
      </c>
      <c r="N15" s="2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workbookViewId="0">
      <selection activeCell="N6" sqref="N6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/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44893</v>
      </c>
      <c r="K2" s="14">
        <v>44894</v>
      </c>
      <c r="L2" s="14">
        <v>44895</v>
      </c>
      <c r="M2" s="14">
        <v>44896</v>
      </c>
      <c r="N2" s="14">
        <v>44897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v>3010</v>
      </c>
      <c r="G3" s="6"/>
      <c r="H3" s="6" t="s">
        <v>0</v>
      </c>
      <c r="I3" s="6">
        <v>0</v>
      </c>
      <c r="J3" s="6">
        <v>10</v>
      </c>
      <c r="K3" s="6">
        <v>0</v>
      </c>
      <c r="L3" s="6">
        <v>100</v>
      </c>
      <c r="M3" s="6">
        <v>0</v>
      </c>
      <c r="N3" s="6">
        <v>0</v>
      </c>
      <c r="O3" s="32">
        <f>+F3+I3-J3-K3-L3-M3-N3</f>
        <v>2900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2</v>
      </c>
      <c r="C4" s="19"/>
      <c r="D4" s="19"/>
      <c r="E4" s="20"/>
      <c r="F4" s="26">
        <v>1600</v>
      </c>
      <c r="G4" s="2"/>
      <c r="H4" s="2" t="s">
        <v>0</v>
      </c>
      <c r="I4" s="6">
        <v>0</v>
      </c>
      <c r="J4" s="6">
        <v>0</v>
      </c>
      <c r="K4" s="6">
        <v>100</v>
      </c>
      <c r="L4" s="6">
        <v>0</v>
      </c>
      <c r="M4" s="6">
        <v>0</v>
      </c>
      <c r="N4" s="6">
        <v>0</v>
      </c>
      <c r="O4" s="33">
        <f t="shared" ref="O4:O15" si="0">+F4+I4-J4-K4-L4-M4-N4</f>
        <v>1500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3919</v>
      </c>
      <c r="G5" s="2"/>
      <c r="H5" s="2" t="s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80</v>
      </c>
      <c r="O5" s="33">
        <f t="shared" si="0"/>
        <v>3819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382</v>
      </c>
      <c r="G6" s="2"/>
      <c r="H6" s="2" t="s">
        <v>0</v>
      </c>
      <c r="I6" s="6">
        <v>0</v>
      </c>
      <c r="J6" s="6">
        <v>4</v>
      </c>
      <c r="K6" s="6">
        <v>0</v>
      </c>
      <c r="L6" s="6">
        <v>80</v>
      </c>
      <c r="M6" s="6">
        <v>0</v>
      </c>
      <c r="N6" s="6">
        <v>0</v>
      </c>
      <c r="O6" s="33">
        <f t="shared" si="0"/>
        <v>298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200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42</v>
      </c>
      <c r="N8" s="6">
        <v>20</v>
      </c>
      <c r="O8" s="33">
        <f t="shared" si="0"/>
        <v>138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f>'KASIM 3 HAFTA '!O9</f>
        <v>1020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1020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296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111</v>
      </c>
      <c r="N10" s="6">
        <v>0</v>
      </c>
      <c r="O10" s="33">
        <f t="shared" si="0"/>
        <v>185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10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3">
        <f t="shared" si="0"/>
        <v>10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30</v>
      </c>
      <c r="G12" s="2"/>
      <c r="H12" s="2" t="s">
        <v>0</v>
      </c>
      <c r="I12" s="6">
        <v>0</v>
      </c>
      <c r="J12" s="6">
        <v>0</v>
      </c>
      <c r="K12" s="6">
        <v>12</v>
      </c>
      <c r="L12" s="6">
        <v>0</v>
      </c>
      <c r="M12" s="6">
        <v>0</v>
      </c>
      <c r="N12" s="6">
        <v>0</v>
      </c>
      <c r="O12" s="33">
        <f t="shared" si="0"/>
        <v>18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f>'KASIM 3 HAFTA '!O14</f>
        <v>15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15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f>'KASIM 3 HAFTA '!O15</f>
        <v>180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180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160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160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6"/>
  <sheetViews>
    <sheetView workbookViewId="0">
      <selection activeCell="N11" sqref="N11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t="s">
        <v>29</v>
      </c>
    </row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44900</v>
      </c>
      <c r="K2" s="14">
        <v>44901</v>
      </c>
      <c r="L2" s="14">
        <v>44902</v>
      </c>
      <c r="M2" s="14">
        <v>44903</v>
      </c>
      <c r="N2" s="14">
        <v>44904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v>2900</v>
      </c>
      <c r="G3" s="6"/>
      <c r="H3" s="6" t="s">
        <v>0</v>
      </c>
      <c r="I3" s="6">
        <v>0</v>
      </c>
      <c r="J3" s="6">
        <v>0</v>
      </c>
      <c r="K3" s="6">
        <v>140</v>
      </c>
      <c r="L3" s="6">
        <v>0</v>
      </c>
      <c r="M3" s="6">
        <v>80</v>
      </c>
      <c r="N3" s="6">
        <v>6</v>
      </c>
      <c r="O3" s="32">
        <f>+F3+I3-J3-K3-L3-M3-N3</f>
        <v>2674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30</v>
      </c>
      <c r="C4" s="19"/>
      <c r="D4" s="19"/>
      <c r="E4" s="20"/>
      <c r="F4" s="26">
        <v>1500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180</v>
      </c>
      <c r="O4" s="33">
        <f t="shared" ref="O4:O15" si="0">+F4+I4-J4-K4-L4-M4-N4</f>
        <v>1320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3819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3">
        <f t="shared" si="0"/>
        <v>3819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298</v>
      </c>
      <c r="G6" s="2"/>
      <c r="H6" s="2" t="s">
        <v>0</v>
      </c>
      <c r="I6" s="6">
        <v>0</v>
      </c>
      <c r="J6" s="6">
        <v>5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293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0</v>
      </c>
      <c r="G7" s="2"/>
      <c r="H7" s="2" t="s">
        <v>0</v>
      </c>
      <c r="I7" s="6">
        <v>500</v>
      </c>
      <c r="J7" s="6">
        <v>0</v>
      </c>
      <c r="K7" s="6">
        <v>0</v>
      </c>
      <c r="L7" s="6">
        <v>0</v>
      </c>
      <c r="M7" s="6">
        <v>115</v>
      </c>
      <c r="N7" s="6">
        <v>0</v>
      </c>
      <c r="O7" s="33">
        <f t="shared" si="0"/>
        <v>385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138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40</v>
      </c>
      <c r="M8" s="6">
        <v>0</v>
      </c>
      <c r="N8" s="6">
        <v>20</v>
      </c>
      <c r="O8" s="33">
        <f t="shared" si="0"/>
        <v>78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f>'KASIM 3 HAFTA '!O9</f>
        <v>1020</v>
      </c>
      <c r="G9" s="2"/>
      <c r="H9" s="2" t="s">
        <v>0</v>
      </c>
      <c r="I9" s="6">
        <v>2500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3520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185</v>
      </c>
      <c r="G10" s="2"/>
      <c r="H10" s="2" t="s">
        <v>0</v>
      </c>
      <c r="I10" s="6">
        <v>500</v>
      </c>
      <c r="J10" s="6">
        <v>0</v>
      </c>
      <c r="K10" s="6">
        <v>0</v>
      </c>
      <c r="L10" s="6">
        <v>0</v>
      </c>
      <c r="M10" s="6">
        <v>40</v>
      </c>
      <c r="N10" s="6">
        <v>20</v>
      </c>
      <c r="O10" s="33">
        <f t="shared" si="0"/>
        <v>625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10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3">
        <f t="shared" si="0"/>
        <v>10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18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18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f>'KASIM 3 HAFTA '!O14</f>
        <v>15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15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f>'KASIM 3 HAFTA '!O15</f>
        <v>180</v>
      </c>
      <c r="G14" s="2"/>
      <c r="H14" s="2" t="s">
        <v>0</v>
      </c>
      <c r="I14" s="6">
        <v>0</v>
      </c>
      <c r="J14" s="6">
        <v>0</v>
      </c>
      <c r="K14" s="6">
        <v>20</v>
      </c>
      <c r="L14" s="6">
        <v>0</v>
      </c>
      <c r="M14" s="6">
        <v>0</v>
      </c>
      <c r="N14" s="6">
        <v>0</v>
      </c>
      <c r="O14" s="33">
        <f t="shared" si="0"/>
        <v>160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160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160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6"/>
  <sheetViews>
    <sheetView workbookViewId="0">
      <selection activeCell="N5" sqref="N5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t="s">
        <v>31</v>
      </c>
    </row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44907</v>
      </c>
      <c r="K2" s="14">
        <v>44908</v>
      </c>
      <c r="L2" s="14">
        <v>44909</v>
      </c>
      <c r="M2" s="14">
        <v>44910</v>
      </c>
      <c r="N2" s="14">
        <v>44911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v>2674</v>
      </c>
      <c r="G3" s="6"/>
      <c r="H3" s="6" t="s">
        <v>0</v>
      </c>
      <c r="I3" s="6">
        <v>0</v>
      </c>
      <c r="J3" s="6">
        <v>20</v>
      </c>
      <c r="K3" s="6">
        <v>0</v>
      </c>
      <c r="L3" s="6">
        <v>0</v>
      </c>
      <c r="M3" s="6">
        <v>0</v>
      </c>
      <c r="N3" s="6">
        <v>0</v>
      </c>
      <c r="O3" s="32">
        <f>+F3+I3-J3-K3-L3-M3-N3</f>
        <v>2654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30</v>
      </c>
      <c r="C4" s="19"/>
      <c r="D4" s="19"/>
      <c r="E4" s="20"/>
      <c r="F4" s="26">
        <v>1320</v>
      </c>
      <c r="G4" s="2"/>
      <c r="H4" s="2" t="s">
        <v>0</v>
      </c>
      <c r="I4" s="6">
        <v>0</v>
      </c>
      <c r="J4" s="6">
        <v>4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1316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3819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120</v>
      </c>
      <c r="O5" s="33">
        <f t="shared" si="0"/>
        <v>3699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293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293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385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385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160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40</v>
      </c>
      <c r="N8" s="6">
        <v>0</v>
      </c>
      <c r="O8" s="33">
        <f t="shared" si="0"/>
        <v>120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3520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2500</v>
      </c>
      <c r="M9" s="6">
        <v>0</v>
      </c>
      <c r="N9" s="6">
        <v>0</v>
      </c>
      <c r="O9" s="33">
        <f t="shared" si="0"/>
        <v>1020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625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625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10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3">
        <f t="shared" si="0"/>
        <v>10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18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18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f>'KASIM 3 HAFTA '!O14</f>
        <v>15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15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160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60</v>
      </c>
      <c r="M14" s="6">
        <v>0</v>
      </c>
      <c r="N14" s="6">
        <v>0</v>
      </c>
      <c r="O14" s="33">
        <f t="shared" si="0"/>
        <v>100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160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160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6"/>
  <sheetViews>
    <sheetView workbookViewId="0">
      <selection activeCell="N5" sqref="N5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t="s">
        <v>32</v>
      </c>
    </row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44914</v>
      </c>
      <c r="K2" s="14">
        <v>44915</v>
      </c>
      <c r="L2" s="14">
        <v>44916</v>
      </c>
      <c r="M2" s="14">
        <v>44917</v>
      </c>
      <c r="N2" s="14">
        <v>44918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v>2654</v>
      </c>
      <c r="G3" s="6"/>
      <c r="H3" s="6" t="s">
        <v>0</v>
      </c>
      <c r="I3" s="6">
        <v>0</v>
      </c>
      <c r="J3" s="6">
        <v>160</v>
      </c>
      <c r="K3" s="6">
        <v>4</v>
      </c>
      <c r="L3" s="6">
        <v>0</v>
      </c>
      <c r="M3" s="6">
        <v>20</v>
      </c>
      <c r="N3" s="6">
        <v>40</v>
      </c>
      <c r="O3" s="32">
        <f>+F3+I3-J3-K3-L3-M3-N3</f>
        <v>2430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30</v>
      </c>
      <c r="C4" s="19"/>
      <c r="D4" s="19"/>
      <c r="E4" s="20"/>
      <c r="F4" s="26">
        <v>1316</v>
      </c>
      <c r="G4" s="2"/>
      <c r="H4" s="2" t="s">
        <v>0</v>
      </c>
      <c r="I4" s="6">
        <v>0</v>
      </c>
      <c r="J4" s="6">
        <v>160</v>
      </c>
      <c r="K4" s="6">
        <v>0</v>
      </c>
      <c r="L4" s="6">
        <v>100</v>
      </c>
      <c r="M4" s="6">
        <v>0</v>
      </c>
      <c r="N4" s="6">
        <v>0</v>
      </c>
      <c r="O4" s="33">
        <f t="shared" ref="O4:O15" si="0">+F4+I4-J4-K4-L4-M4-N4</f>
        <v>1056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3699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20</v>
      </c>
      <c r="N5" s="6">
        <v>20</v>
      </c>
      <c r="O5" s="33">
        <f t="shared" si="0"/>
        <v>3659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293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5</v>
      </c>
      <c r="O6" s="33">
        <f t="shared" si="0"/>
        <v>288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385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385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120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60</v>
      </c>
      <c r="O8" s="33">
        <f t="shared" si="0"/>
        <v>60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1020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1020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625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100</v>
      </c>
      <c r="M10" s="6">
        <v>0</v>
      </c>
      <c r="N10" s="6">
        <v>0</v>
      </c>
      <c r="O10" s="33">
        <f t="shared" si="0"/>
        <v>525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10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3">
        <f t="shared" si="0"/>
        <v>10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18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18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f>'KASIM 3 HAFTA '!O14</f>
        <v>15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15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100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20</v>
      </c>
      <c r="O14" s="33">
        <f t="shared" si="0"/>
        <v>80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160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160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6"/>
  <sheetViews>
    <sheetView workbookViewId="0">
      <selection activeCell="E1" sqref="E1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t="s">
        <v>33</v>
      </c>
    </row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44921</v>
      </c>
      <c r="K2" s="14">
        <v>44922</v>
      </c>
      <c r="L2" s="14">
        <v>44923</v>
      </c>
      <c r="M2" s="14">
        <v>44924</v>
      </c>
      <c r="N2" s="14">
        <v>44925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v>2430</v>
      </c>
      <c r="G3" s="6"/>
      <c r="H3" s="6" t="s">
        <v>0</v>
      </c>
      <c r="I3" s="6">
        <v>0</v>
      </c>
      <c r="J3" s="6">
        <v>40</v>
      </c>
      <c r="K3" s="6">
        <v>0</v>
      </c>
      <c r="L3" s="6">
        <v>3</v>
      </c>
      <c r="M3" s="6">
        <v>0</v>
      </c>
      <c r="N3" s="6">
        <v>240</v>
      </c>
      <c r="O3" s="32">
        <f>+F3+I3-J3-K3-L3-M3-N3</f>
        <v>2147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30</v>
      </c>
      <c r="C4" s="19"/>
      <c r="D4" s="19"/>
      <c r="E4" s="20"/>
      <c r="F4" s="26">
        <v>1056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3</v>
      </c>
      <c r="M4" s="6">
        <v>0</v>
      </c>
      <c r="N4" s="6">
        <v>120</v>
      </c>
      <c r="O4" s="33">
        <f t="shared" ref="O4:O15" si="0">+F4+I4-J4-K4-L4-M4-N4</f>
        <v>933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3659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3">
        <f t="shared" si="0"/>
        <v>3659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288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10</v>
      </c>
      <c r="M6" s="6">
        <v>0</v>
      </c>
      <c r="N6" s="6">
        <v>0</v>
      </c>
      <c r="O6" s="33">
        <f t="shared" si="0"/>
        <v>278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385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385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60</v>
      </c>
      <c r="G8" s="2"/>
      <c r="H8" s="2" t="s">
        <v>0</v>
      </c>
      <c r="I8" s="6">
        <v>500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33">
        <f t="shared" si="0"/>
        <v>560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1020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100</v>
      </c>
      <c r="O9" s="33">
        <f t="shared" si="0"/>
        <v>920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525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525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10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10</v>
      </c>
      <c r="M11" s="6">
        <v>0</v>
      </c>
      <c r="N11" s="6">
        <v>0</v>
      </c>
      <c r="O11" s="33">
        <f t="shared" si="0"/>
        <v>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18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18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f>'KASIM 3 HAFTA '!O14</f>
        <v>15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15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80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80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160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160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6"/>
  <sheetViews>
    <sheetView workbookViewId="0">
      <selection activeCell="N11" sqref="N11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34</v>
      </c>
      <c r="C1" s="43"/>
    </row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44928</v>
      </c>
      <c r="K2" s="14">
        <v>44929</v>
      </c>
      <c r="L2" s="14">
        <v>44930</v>
      </c>
      <c r="M2" s="14">
        <v>44931</v>
      </c>
      <c r="N2" s="14">
        <v>44932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v>2340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60</v>
      </c>
      <c r="N3" s="6">
        <v>0</v>
      </c>
      <c r="O3" s="32">
        <f>+F3+I3-J3-K3-L3-M3-N3</f>
        <v>2280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30</v>
      </c>
      <c r="C4" s="19"/>
      <c r="D4" s="19"/>
      <c r="E4" s="20"/>
      <c r="F4" s="26">
        <v>280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280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3600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3">
        <f t="shared" si="0"/>
        <v>3600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260</v>
      </c>
      <c r="G6" s="2"/>
      <c r="H6" s="2" t="s">
        <v>0</v>
      </c>
      <c r="I6" s="6">
        <v>0</v>
      </c>
      <c r="J6" s="6">
        <v>20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240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1120</v>
      </c>
      <c r="G7" s="2"/>
      <c r="H7" s="2" t="s">
        <v>0</v>
      </c>
      <c r="I7" s="6">
        <v>3000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4120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500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2</v>
      </c>
      <c r="M8" s="6">
        <v>100</v>
      </c>
      <c r="N8" s="6">
        <v>0</v>
      </c>
      <c r="O8" s="33">
        <f t="shared" si="0"/>
        <v>398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760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760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780</v>
      </c>
      <c r="G10" s="2"/>
      <c r="H10" s="2" t="s">
        <v>0</v>
      </c>
      <c r="I10" s="6">
        <v>5000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5780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0</v>
      </c>
      <c r="G11" s="2"/>
      <c r="H11" s="2" t="s">
        <v>0</v>
      </c>
      <c r="I11" s="6">
        <v>1000</v>
      </c>
      <c r="J11" s="6">
        <v>0</v>
      </c>
      <c r="K11" s="6">
        <v>0</v>
      </c>
      <c r="L11" s="6">
        <v>0</v>
      </c>
      <c r="M11" s="6">
        <v>10</v>
      </c>
      <c r="N11" s="6">
        <v>10</v>
      </c>
      <c r="O11" s="33">
        <f t="shared" si="0"/>
        <v>980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v>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240</v>
      </c>
      <c r="G14" s="2"/>
      <c r="H14" s="2" t="s">
        <v>0</v>
      </c>
      <c r="I14" s="6">
        <v>1000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1240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160</v>
      </c>
      <c r="G15" s="2"/>
      <c r="H15" s="2" t="s">
        <v>0</v>
      </c>
      <c r="I15" s="6">
        <v>7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167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6"/>
  <sheetViews>
    <sheetView topLeftCell="A2" workbookViewId="0">
      <selection activeCell="N5" sqref="N5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35</v>
      </c>
      <c r="C1" s="43"/>
    </row>
    <row r="2" spans="1:17" ht="27.75" customHeight="1" thickBot="1" x14ac:dyDescent="0.3">
      <c r="A2" s="40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44935</v>
      </c>
      <c r="K2" s="14">
        <v>44936</v>
      </c>
      <c r="L2" s="14">
        <v>44937</v>
      </c>
      <c r="M2" s="14">
        <v>44938</v>
      </c>
      <c r="N2" s="14">
        <v>44939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">
        <v>1</v>
      </c>
      <c r="B3" s="24" t="s">
        <v>1</v>
      </c>
      <c r="C3" s="24"/>
      <c r="D3" s="24"/>
      <c r="E3" s="25"/>
      <c r="F3" s="26">
        <v>2280</v>
      </c>
      <c r="G3" s="6"/>
      <c r="H3" s="6" t="s">
        <v>0</v>
      </c>
      <c r="I3" s="6">
        <v>0</v>
      </c>
      <c r="J3" s="6">
        <v>0</v>
      </c>
      <c r="K3" s="6">
        <v>180</v>
      </c>
      <c r="L3" s="6">
        <v>100</v>
      </c>
      <c r="M3" s="6">
        <v>0</v>
      </c>
      <c r="N3" s="6">
        <v>0</v>
      </c>
      <c r="O3" s="32">
        <f>+F3+I3-J3-K3-L3-M3-N3</f>
        <v>2000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30</v>
      </c>
      <c r="C4" s="19"/>
      <c r="D4" s="19"/>
      <c r="E4" s="20"/>
      <c r="F4" s="26">
        <v>280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280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3600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40</v>
      </c>
      <c r="O5" s="33">
        <f t="shared" si="0"/>
        <v>3560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240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240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4120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20</v>
      </c>
      <c r="O7" s="33">
        <f t="shared" si="0"/>
        <v>4100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398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33">
        <f t="shared" si="0"/>
        <v>398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760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760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5780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5780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980</v>
      </c>
      <c r="G11" s="2"/>
      <c r="H11" s="2" t="s">
        <v>0</v>
      </c>
      <c r="I11" s="6">
        <v>0</v>
      </c>
      <c r="J11" s="6">
        <v>0</v>
      </c>
      <c r="K11" s="6">
        <v>15</v>
      </c>
      <c r="L11" s="6">
        <v>0</v>
      </c>
      <c r="M11" s="6">
        <v>0</v>
      </c>
      <c r="N11" s="6">
        <v>10</v>
      </c>
      <c r="O11" s="33">
        <f t="shared" si="0"/>
        <v>955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v>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1240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20</v>
      </c>
      <c r="O14" s="33">
        <f t="shared" si="0"/>
        <v>1220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6"/>
  <sheetViews>
    <sheetView workbookViewId="0">
      <selection activeCell="O11" sqref="O11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36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44942</v>
      </c>
      <c r="K2" s="14">
        <v>44943</v>
      </c>
      <c r="L2" s="14">
        <v>44944</v>
      </c>
      <c r="M2" s="14">
        <v>44945</v>
      </c>
      <c r="N2" s="14">
        <v>44946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1720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100</v>
      </c>
      <c r="N3" s="6">
        <v>0</v>
      </c>
      <c r="O3" s="32">
        <f>+F3+I3-J3-K3-L3-M3-N3</f>
        <v>1620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280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280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3530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3">
        <f t="shared" si="0"/>
        <v>3530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80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80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4060</v>
      </c>
      <c r="G7" s="2"/>
      <c r="H7" s="2" t="s">
        <v>0</v>
      </c>
      <c r="I7" s="6">
        <v>0</v>
      </c>
      <c r="J7" s="6">
        <v>0</v>
      </c>
      <c r="K7" s="6">
        <v>60</v>
      </c>
      <c r="L7" s="6">
        <v>0</v>
      </c>
      <c r="M7" s="6">
        <v>0</v>
      </c>
      <c r="N7" s="6">
        <v>0</v>
      </c>
      <c r="O7" s="33">
        <f t="shared" si="0"/>
        <v>4000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340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100</v>
      </c>
      <c r="N8" s="6">
        <v>0</v>
      </c>
      <c r="O8" s="33">
        <f t="shared" si="0"/>
        <v>240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850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850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5300</v>
      </c>
      <c r="G10" s="2"/>
      <c r="H10" s="2" t="s">
        <v>0</v>
      </c>
      <c r="I10" s="6">
        <v>0</v>
      </c>
      <c r="J10" s="6">
        <v>0</v>
      </c>
      <c r="K10" s="6">
        <v>260</v>
      </c>
      <c r="L10" s="6">
        <v>0</v>
      </c>
      <c r="M10" s="6">
        <v>0</v>
      </c>
      <c r="N10" s="6">
        <v>6</v>
      </c>
      <c r="O10" s="33">
        <f t="shared" si="0"/>
        <v>5034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955</v>
      </c>
      <c r="G11" s="2"/>
      <c r="H11" s="2" t="s">
        <v>0</v>
      </c>
      <c r="I11" s="6">
        <v>0</v>
      </c>
      <c r="J11" s="6">
        <v>0</v>
      </c>
      <c r="K11" s="6">
        <v>1</v>
      </c>
      <c r="L11" s="6">
        <v>0</v>
      </c>
      <c r="M11" s="6">
        <v>0</v>
      </c>
      <c r="N11" s="6">
        <v>1</v>
      </c>
      <c r="O11" s="33">
        <f t="shared" si="0"/>
        <v>953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v>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1060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1060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0">
        <v>1500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500</v>
      </c>
      <c r="M15" s="6">
        <v>0</v>
      </c>
      <c r="N15" s="6">
        <v>0</v>
      </c>
      <c r="O15" s="36">
        <f t="shared" si="0"/>
        <v>1000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6"/>
  <sheetViews>
    <sheetView workbookViewId="0">
      <selection activeCell="N3" sqref="N3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38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44949</v>
      </c>
      <c r="K2" s="14">
        <v>44950</v>
      </c>
      <c r="L2" s="14">
        <v>44951</v>
      </c>
      <c r="M2" s="14">
        <v>44952</v>
      </c>
      <c r="N2" s="14">
        <v>44953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1620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40</v>
      </c>
      <c r="N3" s="6">
        <v>40</v>
      </c>
      <c r="O3" s="32">
        <f>+F3+I3-J3-K3-L3-M3-N3</f>
        <v>1540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280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280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3530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3">
        <f t="shared" si="0"/>
        <v>3530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80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80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4000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4000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240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33">
        <f t="shared" si="0"/>
        <v>240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850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850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5034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5034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953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10</v>
      </c>
      <c r="M11" s="6">
        <v>10</v>
      </c>
      <c r="N11" s="6">
        <v>0</v>
      </c>
      <c r="O11" s="33">
        <f t="shared" si="0"/>
        <v>933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v>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1060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20</v>
      </c>
      <c r="O14" s="33">
        <f t="shared" si="0"/>
        <v>1040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0">
        <v>1000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1000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6"/>
  <sheetViews>
    <sheetView workbookViewId="0">
      <selection activeCell="K9" sqref="K9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39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44956</v>
      </c>
      <c r="K2" s="14">
        <v>44957</v>
      </c>
      <c r="L2" s="14">
        <v>44958</v>
      </c>
      <c r="M2" s="14">
        <v>44959</v>
      </c>
      <c r="N2" s="14">
        <v>44960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1540</v>
      </c>
      <c r="G3" s="6"/>
      <c r="H3" s="6" t="s">
        <v>0</v>
      </c>
      <c r="I3" s="6">
        <v>0</v>
      </c>
      <c r="J3" s="6">
        <v>40</v>
      </c>
      <c r="K3" s="6">
        <v>40</v>
      </c>
      <c r="L3" s="6">
        <v>0</v>
      </c>
      <c r="M3" s="6">
        <v>160</v>
      </c>
      <c r="N3" s="6">
        <v>240</v>
      </c>
      <c r="O3" s="32">
        <f>+F3+I3-J3-K3-L3-M3-N3</f>
        <v>1060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280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20</v>
      </c>
      <c r="O4" s="33">
        <f t="shared" ref="O4:O15" si="0">+F4+I4-J4-K4-L4-M4-N4</f>
        <v>260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3530</v>
      </c>
      <c r="G5" s="2"/>
      <c r="H5" s="2" t="s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20</v>
      </c>
      <c r="O5" s="33">
        <f t="shared" si="0"/>
        <v>3490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80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20</v>
      </c>
      <c r="N6" s="6">
        <v>0</v>
      </c>
      <c r="O6" s="33">
        <f t="shared" si="0"/>
        <v>60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4000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4000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240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100</v>
      </c>
      <c r="O8" s="33">
        <f t="shared" si="0"/>
        <v>140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0</v>
      </c>
      <c r="G9" s="2"/>
      <c r="H9" s="2" t="s">
        <v>0</v>
      </c>
      <c r="I9" s="6">
        <v>2500</v>
      </c>
      <c r="J9" s="6">
        <v>0</v>
      </c>
      <c r="K9" s="6">
        <v>0</v>
      </c>
      <c r="L9" s="6">
        <v>0</v>
      </c>
      <c r="M9" s="6">
        <v>140</v>
      </c>
      <c r="N9" s="6">
        <v>120</v>
      </c>
      <c r="O9" s="33">
        <f t="shared" si="0"/>
        <v>2240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5034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5034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933</v>
      </c>
      <c r="G11" s="2"/>
      <c r="H11" s="2" t="s">
        <v>0</v>
      </c>
      <c r="I11" s="6">
        <v>0</v>
      </c>
      <c r="J11" s="6">
        <v>10</v>
      </c>
      <c r="K11" s="6">
        <v>0</v>
      </c>
      <c r="L11" s="6">
        <v>0</v>
      </c>
      <c r="M11" s="6">
        <v>0</v>
      </c>
      <c r="N11" s="6">
        <v>0</v>
      </c>
      <c r="O11" s="33">
        <f t="shared" si="0"/>
        <v>923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41</v>
      </c>
      <c r="C13" s="19"/>
      <c r="D13" s="19"/>
      <c r="E13" s="20"/>
      <c r="F13" s="26">
        <v>710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710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1040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1040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0">
        <v>1000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1000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6"/>
  <sheetViews>
    <sheetView workbookViewId="0">
      <selection activeCell="N4" sqref="N4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40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45005</v>
      </c>
      <c r="K2" s="14">
        <v>45006</v>
      </c>
      <c r="L2" s="14">
        <v>45007</v>
      </c>
      <c r="M2" s="14">
        <v>45072</v>
      </c>
      <c r="N2" s="14">
        <v>45051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1060</v>
      </c>
      <c r="G3" s="6"/>
      <c r="H3" s="6" t="s">
        <v>0</v>
      </c>
      <c r="I3" s="6">
        <v>0</v>
      </c>
      <c r="J3" s="6">
        <v>194</v>
      </c>
      <c r="K3" s="6">
        <v>10</v>
      </c>
      <c r="L3" s="6">
        <v>0</v>
      </c>
      <c r="M3" s="6">
        <v>115</v>
      </c>
      <c r="N3" s="6">
        <v>16</v>
      </c>
      <c r="O3" s="32">
        <f>+F3+I3-J3-K3-L3-M3-N3</f>
        <v>725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260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260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3490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80</v>
      </c>
      <c r="N5" s="6">
        <v>0</v>
      </c>
      <c r="O5" s="33">
        <f t="shared" si="0"/>
        <v>3410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60</v>
      </c>
      <c r="G6" s="2"/>
      <c r="H6" s="2" t="s">
        <v>0</v>
      </c>
      <c r="I6" s="6">
        <v>0</v>
      </c>
      <c r="J6" s="6">
        <v>0</v>
      </c>
      <c r="K6" s="6">
        <v>5</v>
      </c>
      <c r="L6" s="6">
        <v>0</v>
      </c>
      <c r="M6" s="6">
        <v>0</v>
      </c>
      <c r="N6" s="6">
        <v>0</v>
      </c>
      <c r="O6" s="33">
        <f t="shared" si="0"/>
        <v>55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4000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4000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140</v>
      </c>
      <c r="G8" s="2"/>
      <c r="H8" s="2" t="s">
        <v>0</v>
      </c>
      <c r="I8" s="6">
        <v>0</v>
      </c>
      <c r="J8" s="6">
        <v>0</v>
      </c>
      <c r="K8" s="6">
        <v>40</v>
      </c>
      <c r="L8" s="6">
        <v>0</v>
      </c>
      <c r="M8" s="6">
        <v>20</v>
      </c>
      <c r="N8" s="6">
        <v>0</v>
      </c>
      <c r="O8" s="33">
        <f t="shared" si="0"/>
        <v>80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2240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2240</v>
      </c>
      <c r="N9" s="6">
        <v>0</v>
      </c>
      <c r="O9" s="33">
        <f t="shared" si="0"/>
        <v>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5034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5034</v>
      </c>
      <c r="P10" s="42">
        <v>0</v>
      </c>
      <c r="Q10" s="31">
        <v>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923</v>
      </c>
      <c r="G11" s="2"/>
      <c r="H11" s="2" t="s">
        <v>0</v>
      </c>
      <c r="I11" s="6">
        <v>0</v>
      </c>
      <c r="J11" s="6">
        <v>4</v>
      </c>
      <c r="K11" s="6">
        <v>0</v>
      </c>
      <c r="L11" s="6">
        <v>0</v>
      </c>
      <c r="M11" s="6">
        <v>5</v>
      </c>
      <c r="N11" s="6">
        <v>300</v>
      </c>
      <c r="O11" s="33">
        <f t="shared" si="0"/>
        <v>614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v>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1040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1040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0">
        <v>1000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1000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6"/>
  <sheetViews>
    <sheetView topLeftCell="B1" workbookViewId="0">
      <selection activeCell="L16" sqref="L16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42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45083</v>
      </c>
      <c r="K2" s="14">
        <v>45096</v>
      </c>
      <c r="L2" s="14">
        <v>45100</v>
      </c>
      <c r="M2" s="14">
        <v>45114</v>
      </c>
      <c r="N2" s="14">
        <v>45122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725</v>
      </c>
      <c r="G3" s="6"/>
      <c r="H3" s="6" t="s">
        <v>0</v>
      </c>
      <c r="I3" s="6">
        <v>0</v>
      </c>
      <c r="J3" s="6">
        <v>0</v>
      </c>
      <c r="K3" s="6">
        <v>20</v>
      </c>
      <c r="L3" s="6">
        <v>0</v>
      </c>
      <c r="M3" s="6">
        <v>100</v>
      </c>
      <c r="N3" s="6">
        <v>0</v>
      </c>
      <c r="O3" s="32">
        <f>+F3+I3-J3-K3-L3-M3-N3</f>
        <v>605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260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100</v>
      </c>
      <c r="N4" s="6">
        <v>60</v>
      </c>
      <c r="O4" s="33">
        <f t="shared" ref="O4:O15" si="0">+F4+I4-J4-K4-L4-M4-N4</f>
        <v>100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3410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60</v>
      </c>
      <c r="N5" s="6">
        <v>120</v>
      </c>
      <c r="O5" s="33">
        <f t="shared" si="0"/>
        <v>3230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55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55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4000</v>
      </c>
      <c r="G7" s="2"/>
      <c r="H7" s="2" t="s">
        <v>0</v>
      </c>
      <c r="I7" s="6">
        <v>0</v>
      </c>
      <c r="J7" s="6">
        <v>0</v>
      </c>
      <c r="K7" s="6">
        <v>10</v>
      </c>
      <c r="L7" s="6">
        <v>0</v>
      </c>
      <c r="M7" s="6">
        <v>0</v>
      </c>
      <c r="N7" s="6">
        <v>60</v>
      </c>
      <c r="O7" s="33">
        <f t="shared" si="0"/>
        <v>3930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80</v>
      </c>
      <c r="G8" s="2"/>
      <c r="H8" s="2" t="s">
        <v>0</v>
      </c>
      <c r="I8" s="6">
        <v>500</v>
      </c>
      <c r="J8" s="6">
        <v>80</v>
      </c>
      <c r="K8" s="6">
        <v>0</v>
      </c>
      <c r="L8" s="6">
        <v>0</v>
      </c>
      <c r="M8" s="6">
        <v>0</v>
      </c>
      <c r="N8" s="6">
        <v>0</v>
      </c>
      <c r="O8" s="33">
        <f t="shared" si="0"/>
        <v>500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5034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160</v>
      </c>
      <c r="M10" s="6">
        <v>0</v>
      </c>
      <c r="N10" s="6">
        <v>300</v>
      </c>
      <c r="O10" s="33">
        <f t="shared" si="0"/>
        <v>4574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614</v>
      </c>
      <c r="G11" s="2"/>
      <c r="H11" s="2" t="s">
        <v>0</v>
      </c>
      <c r="I11" s="6">
        <v>0</v>
      </c>
      <c r="J11" s="6">
        <v>7</v>
      </c>
      <c r="K11" s="6">
        <v>0</v>
      </c>
      <c r="L11" s="6">
        <v>0</v>
      </c>
      <c r="M11" s="6">
        <v>0</v>
      </c>
      <c r="N11" s="6">
        <v>4</v>
      </c>
      <c r="O11" s="33">
        <f t="shared" si="0"/>
        <v>603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v>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1040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40</v>
      </c>
      <c r="N14" s="6">
        <v>60</v>
      </c>
      <c r="O14" s="33">
        <f t="shared" si="0"/>
        <v>940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0">
        <v>1000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1000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6"/>
  <sheetViews>
    <sheetView topLeftCell="B1" workbookViewId="0">
      <selection activeCell="L2" sqref="L2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3" t="s">
        <v>43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45128</v>
      </c>
      <c r="K2" s="14">
        <v>45133</v>
      </c>
      <c r="L2" s="14">
        <v>45133</v>
      </c>
      <c r="M2" s="14">
        <v>45136</v>
      </c>
      <c r="N2" s="14">
        <v>45138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605</v>
      </c>
      <c r="G3" s="6"/>
      <c r="H3" s="6" t="s">
        <v>0</v>
      </c>
      <c r="I3" s="6">
        <v>0</v>
      </c>
      <c r="J3" s="6">
        <v>0</v>
      </c>
      <c r="K3" s="6">
        <v>240</v>
      </c>
      <c r="L3" s="6">
        <v>0</v>
      </c>
      <c r="M3" s="6">
        <v>0</v>
      </c>
      <c r="N3" s="6">
        <v>0</v>
      </c>
      <c r="O3" s="32">
        <f>+F3+I3-J3-K3-L3-M3-N3</f>
        <v>365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100</v>
      </c>
      <c r="G4" s="2"/>
      <c r="H4" s="2" t="s">
        <v>0</v>
      </c>
      <c r="I4" s="6">
        <v>0</v>
      </c>
      <c r="J4" s="6">
        <v>20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80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3230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3">
        <f t="shared" si="0"/>
        <v>3230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55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55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8</v>
      </c>
      <c r="C7" s="19"/>
      <c r="D7" s="19"/>
      <c r="E7" s="20"/>
      <c r="F7" s="26">
        <v>3930</v>
      </c>
      <c r="G7" s="2"/>
      <c r="H7" s="2" t="s">
        <v>0</v>
      </c>
      <c r="I7" s="6">
        <v>0</v>
      </c>
      <c r="J7" s="6">
        <v>0</v>
      </c>
      <c r="K7" s="6">
        <v>100</v>
      </c>
      <c r="L7" s="6">
        <v>0</v>
      </c>
      <c r="M7" s="6">
        <v>0</v>
      </c>
      <c r="N7" s="6">
        <v>0</v>
      </c>
      <c r="O7" s="33">
        <f t="shared" si="0"/>
        <v>3830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500</v>
      </c>
      <c r="G8" s="2"/>
      <c r="H8" s="2" t="s">
        <v>0</v>
      </c>
      <c r="I8" s="6">
        <v>0</v>
      </c>
      <c r="J8" s="6">
        <v>0</v>
      </c>
      <c r="K8" s="6">
        <v>20</v>
      </c>
      <c r="L8" s="6">
        <v>0</v>
      </c>
      <c r="M8" s="6">
        <v>0</v>
      </c>
      <c r="N8" s="6">
        <v>0</v>
      </c>
      <c r="O8" s="33">
        <f t="shared" si="0"/>
        <v>480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10</v>
      </c>
      <c r="C10" s="19"/>
      <c r="D10" s="19"/>
      <c r="E10" s="20"/>
      <c r="F10" s="26">
        <v>4574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4574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6</v>
      </c>
      <c r="C11" s="19"/>
      <c r="D11" s="19"/>
      <c r="E11" s="20"/>
      <c r="F11" s="26">
        <v>603</v>
      </c>
      <c r="G11" s="2"/>
      <c r="H11" s="2" t="s">
        <v>0</v>
      </c>
      <c r="I11" s="6">
        <v>0</v>
      </c>
      <c r="J11" s="6">
        <v>14</v>
      </c>
      <c r="K11" s="6">
        <v>0</v>
      </c>
      <c r="L11" s="6">
        <v>0</v>
      </c>
      <c r="M11" s="6">
        <v>0</v>
      </c>
      <c r="N11" s="6">
        <v>0</v>
      </c>
      <c r="O11" s="33">
        <f t="shared" si="0"/>
        <v>589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12</v>
      </c>
      <c r="C12" s="19"/>
      <c r="D12" s="19"/>
      <c r="E12" s="20"/>
      <c r="F12" s="26">
        <v>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0</v>
      </c>
      <c r="P12" s="42">
        <v>0</v>
      </c>
      <c r="Q12" s="31">
        <v>0</v>
      </c>
    </row>
    <row r="13" spans="1:17" ht="27.75" customHeight="1" x14ac:dyDescent="0.25">
      <c r="A13" s="4">
        <v>11</v>
      </c>
      <c r="B13" s="19" t="s">
        <v>23</v>
      </c>
      <c r="C13" s="19"/>
      <c r="D13" s="19"/>
      <c r="E13" s="20"/>
      <c r="F13" s="26">
        <v>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0</v>
      </c>
      <c r="P13" s="42">
        <v>0</v>
      </c>
      <c r="Q13" s="31">
        <v>0</v>
      </c>
    </row>
    <row r="14" spans="1:17" ht="27.75" customHeight="1" x14ac:dyDescent="0.25">
      <c r="A14" s="4">
        <v>12</v>
      </c>
      <c r="B14" s="19" t="s">
        <v>24</v>
      </c>
      <c r="C14" s="19"/>
      <c r="D14" s="19"/>
      <c r="E14" s="20"/>
      <c r="F14" s="26">
        <v>940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940</v>
      </c>
      <c r="P14" s="42">
        <v>100</v>
      </c>
      <c r="Q14" s="31">
        <v>300</v>
      </c>
    </row>
    <row r="15" spans="1:17" ht="24.75" customHeight="1" x14ac:dyDescent="0.25">
      <c r="A15" s="4">
        <v>13</v>
      </c>
      <c r="B15" s="19" t="s">
        <v>25</v>
      </c>
      <c r="C15" s="19"/>
      <c r="D15" s="19"/>
      <c r="E15" s="20"/>
      <c r="F15" s="40">
        <v>1000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1000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6"/>
  <sheetViews>
    <sheetView topLeftCell="A8" workbookViewId="0">
      <selection activeCell="N12" sqref="N12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45139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45145</v>
      </c>
      <c r="K2" s="14">
        <v>45152</v>
      </c>
      <c r="L2" s="14">
        <v>45159</v>
      </c>
      <c r="M2" s="14">
        <v>45166</v>
      </c>
      <c r="N2" s="14">
        <v>45169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0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2">
        <f>+F3+I3-J3-K3-L3-M3-N3</f>
        <v>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2765</v>
      </c>
      <c r="G5" s="2"/>
      <c r="H5" s="2" t="s">
        <v>0</v>
      </c>
      <c r="I5" s="6">
        <v>0</v>
      </c>
      <c r="J5" s="6">
        <v>0</v>
      </c>
      <c r="K5" s="6">
        <v>100</v>
      </c>
      <c r="L5" s="6">
        <v>40</v>
      </c>
      <c r="M5" s="6">
        <v>0</v>
      </c>
      <c r="N5" s="6">
        <v>0</v>
      </c>
      <c r="O5" s="33">
        <f t="shared" si="0"/>
        <v>2625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3515</v>
      </c>
      <c r="G7" s="2"/>
      <c r="H7" s="2" t="s">
        <v>0</v>
      </c>
      <c r="I7" s="6">
        <v>0</v>
      </c>
      <c r="J7" s="6">
        <v>120</v>
      </c>
      <c r="K7" s="6">
        <v>21</v>
      </c>
      <c r="L7" s="6">
        <v>300</v>
      </c>
      <c r="M7" s="6">
        <v>40</v>
      </c>
      <c r="N7" s="6">
        <v>0</v>
      </c>
      <c r="O7" s="33">
        <f t="shared" si="0"/>
        <v>3034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480</v>
      </c>
      <c r="G8" s="2"/>
      <c r="H8" s="2" t="s">
        <v>0</v>
      </c>
      <c r="I8" s="6">
        <v>0</v>
      </c>
      <c r="J8" s="6">
        <v>0</v>
      </c>
      <c r="K8" s="6">
        <v>40</v>
      </c>
      <c r="L8" s="6">
        <v>0</v>
      </c>
      <c r="M8" s="6">
        <v>0</v>
      </c>
      <c r="N8" s="6">
        <v>20</v>
      </c>
      <c r="O8" s="33">
        <f t="shared" si="0"/>
        <v>420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1210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1210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4920</v>
      </c>
      <c r="G10" s="2"/>
      <c r="H10" s="2" t="s">
        <v>0</v>
      </c>
      <c r="I10" s="6">
        <v>0</v>
      </c>
      <c r="J10" s="6">
        <v>0</v>
      </c>
      <c r="K10" s="6">
        <v>95</v>
      </c>
      <c r="L10" s="6">
        <v>580</v>
      </c>
      <c r="M10" s="6">
        <v>0</v>
      </c>
      <c r="N10" s="6">
        <v>0</v>
      </c>
      <c r="O10" s="33">
        <f t="shared" si="0"/>
        <v>4245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358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2</v>
      </c>
      <c r="M11" s="6">
        <v>0</v>
      </c>
      <c r="N11" s="6">
        <v>10</v>
      </c>
      <c r="O11" s="33">
        <f t="shared" si="0"/>
        <v>346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740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740</v>
      </c>
      <c r="P12" s="42">
        <v>200</v>
      </c>
      <c r="Q12" s="31">
        <v>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1040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20</v>
      </c>
      <c r="M13" s="6">
        <v>0</v>
      </c>
      <c r="N13" s="6">
        <v>0</v>
      </c>
      <c r="O13" s="33">
        <f t="shared" si="0"/>
        <v>1020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46</v>
      </c>
      <c r="C14" s="19"/>
      <c r="D14" s="19"/>
      <c r="E14" s="20"/>
      <c r="F14" s="26">
        <v>125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125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6"/>
  <sheetViews>
    <sheetView workbookViewId="0">
      <selection activeCell="N11" sqref="N11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45170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45176</v>
      </c>
      <c r="K2" s="14">
        <v>45185</v>
      </c>
      <c r="L2" s="14">
        <v>45189</v>
      </c>
      <c r="M2" s="14">
        <v>45195</v>
      </c>
      <c r="N2" s="14">
        <v>45199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0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2">
        <f>+F3+I3-J3-K3-L3-M3-N3</f>
        <v>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2625</v>
      </c>
      <c r="G5" s="2"/>
      <c r="H5" s="2" t="s">
        <v>0</v>
      </c>
      <c r="I5" s="6">
        <v>0</v>
      </c>
      <c r="J5" s="6">
        <v>20</v>
      </c>
      <c r="K5" s="6">
        <v>300</v>
      </c>
      <c r="L5" s="6">
        <v>0</v>
      </c>
      <c r="M5" s="6">
        <v>0</v>
      </c>
      <c r="N5" s="6">
        <v>140</v>
      </c>
      <c r="O5" s="33">
        <f t="shared" si="0"/>
        <v>2165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3034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60</v>
      </c>
      <c r="N7" s="6">
        <v>100</v>
      </c>
      <c r="O7" s="33">
        <f t="shared" si="0"/>
        <v>2874</v>
      </c>
      <c r="P7" s="42">
        <v>0</v>
      </c>
      <c r="Q7" s="31">
        <v>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420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40</v>
      </c>
      <c r="M8" s="6">
        <v>0</v>
      </c>
      <c r="N8" s="6">
        <v>20</v>
      </c>
      <c r="O8" s="33">
        <f t="shared" si="0"/>
        <v>360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1210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20</v>
      </c>
      <c r="O9" s="33">
        <f t="shared" si="0"/>
        <v>1190</v>
      </c>
      <c r="P9" s="42">
        <v>0</v>
      </c>
      <c r="Q9" s="31">
        <v>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4245</v>
      </c>
      <c r="G10" s="2"/>
      <c r="H10" s="2" t="s">
        <v>0</v>
      </c>
      <c r="I10" s="6">
        <v>0</v>
      </c>
      <c r="J10" s="6">
        <v>40</v>
      </c>
      <c r="K10" s="6">
        <v>0</v>
      </c>
      <c r="L10" s="6">
        <v>105</v>
      </c>
      <c r="M10" s="6">
        <v>80</v>
      </c>
      <c r="N10" s="6">
        <v>100</v>
      </c>
      <c r="O10" s="33">
        <f t="shared" si="0"/>
        <v>3920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346</v>
      </c>
      <c r="G11" s="2"/>
      <c r="H11" s="2" t="s">
        <v>0</v>
      </c>
      <c r="I11" s="6">
        <v>0</v>
      </c>
      <c r="J11" s="6">
        <v>0</v>
      </c>
      <c r="K11" s="6">
        <v>0</v>
      </c>
      <c r="L11" s="6">
        <v>0</v>
      </c>
      <c r="M11" s="6">
        <v>20</v>
      </c>
      <c r="N11" s="6">
        <v>204</v>
      </c>
      <c r="O11" s="33">
        <f t="shared" si="0"/>
        <v>122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740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740</v>
      </c>
      <c r="P12" s="42">
        <v>200</v>
      </c>
      <c r="Q12" s="31">
        <v>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1020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1</v>
      </c>
      <c r="M13" s="6">
        <v>0</v>
      </c>
      <c r="N13" s="6">
        <v>103</v>
      </c>
      <c r="O13" s="33">
        <f t="shared" si="0"/>
        <v>916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46</v>
      </c>
      <c r="C14" s="19"/>
      <c r="D14" s="19"/>
      <c r="E14" s="20"/>
      <c r="F14" s="26">
        <v>125</v>
      </c>
      <c r="G14" s="2"/>
      <c r="H14" s="2" t="s">
        <v>0</v>
      </c>
      <c r="I14" s="6">
        <v>0</v>
      </c>
      <c r="J14" s="6">
        <v>0</v>
      </c>
      <c r="K14" s="6">
        <v>4</v>
      </c>
      <c r="L14" s="6">
        <v>0</v>
      </c>
      <c r="M14" s="6">
        <v>44</v>
      </c>
      <c r="N14" s="6">
        <v>0</v>
      </c>
      <c r="O14" s="33">
        <f t="shared" si="0"/>
        <v>77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6"/>
  <sheetViews>
    <sheetView workbookViewId="0">
      <selection activeCell="N6" sqref="N6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45200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45203</v>
      </c>
      <c r="K2" s="14">
        <v>45209</v>
      </c>
      <c r="L2" s="14">
        <v>45222</v>
      </c>
      <c r="M2" s="14">
        <v>45225</v>
      </c>
      <c r="N2" s="14">
        <v>45230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0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2">
        <f>+F3+I3-J3-K3-L3-M3-N3</f>
        <v>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2165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300</v>
      </c>
      <c r="M5" s="6">
        <v>0</v>
      </c>
      <c r="N5" s="6">
        <v>400</v>
      </c>
      <c r="O5" s="33">
        <f t="shared" si="0"/>
        <v>1465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2874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103</v>
      </c>
      <c r="M7" s="6">
        <v>0</v>
      </c>
      <c r="N7" s="6">
        <v>240</v>
      </c>
      <c r="O7" s="33">
        <f t="shared" si="0"/>
        <v>2531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360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20</v>
      </c>
      <c r="M8" s="6">
        <v>0</v>
      </c>
      <c r="N8" s="6">
        <v>20</v>
      </c>
      <c r="O8" s="33">
        <f t="shared" si="0"/>
        <v>320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1190</v>
      </c>
      <c r="G9" s="2"/>
      <c r="H9" s="2" t="s">
        <v>0</v>
      </c>
      <c r="I9" s="6">
        <v>0</v>
      </c>
      <c r="J9" s="6">
        <v>10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1180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3920</v>
      </c>
      <c r="G10" s="2"/>
      <c r="H10" s="2" t="s">
        <v>0</v>
      </c>
      <c r="I10" s="6">
        <v>0</v>
      </c>
      <c r="J10" s="6">
        <v>60</v>
      </c>
      <c r="K10" s="6">
        <v>90</v>
      </c>
      <c r="L10" s="6">
        <v>41</v>
      </c>
      <c r="M10" s="6">
        <v>0</v>
      </c>
      <c r="N10" s="6">
        <v>170</v>
      </c>
      <c r="O10" s="33">
        <f t="shared" si="0"/>
        <v>3559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126</v>
      </c>
      <c r="G11" s="2"/>
      <c r="H11" s="2" t="s">
        <v>0</v>
      </c>
      <c r="I11" s="6">
        <v>50</v>
      </c>
      <c r="J11" s="6">
        <v>0</v>
      </c>
      <c r="K11" s="6">
        <v>0</v>
      </c>
      <c r="L11" s="6">
        <v>40</v>
      </c>
      <c r="M11" s="6">
        <v>0</v>
      </c>
      <c r="N11" s="6">
        <v>86</v>
      </c>
      <c r="O11" s="33">
        <f t="shared" si="0"/>
        <v>50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740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740</v>
      </c>
      <c r="P12" s="42">
        <v>200</v>
      </c>
      <c r="Q12" s="31">
        <v>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916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916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46</v>
      </c>
      <c r="C14" s="19"/>
      <c r="D14" s="19"/>
      <c r="E14" s="20"/>
      <c r="F14" s="26">
        <v>77</v>
      </c>
      <c r="G14" s="2"/>
      <c r="H14" s="2" t="s">
        <v>0</v>
      </c>
      <c r="I14" s="6">
        <v>0</v>
      </c>
      <c r="J14" s="6">
        <v>3</v>
      </c>
      <c r="K14" s="6">
        <v>0</v>
      </c>
      <c r="L14" s="6">
        <v>31</v>
      </c>
      <c r="M14" s="6">
        <v>18</v>
      </c>
      <c r="N14" s="6">
        <v>25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6"/>
  <sheetViews>
    <sheetView topLeftCell="A4" workbookViewId="0">
      <selection activeCell="N9" sqref="N9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45231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45237</v>
      </c>
      <c r="K2" s="14">
        <v>45244</v>
      </c>
      <c r="L2" s="14">
        <v>45250</v>
      </c>
      <c r="M2" s="14">
        <v>45257</v>
      </c>
      <c r="N2" s="14">
        <v>45260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0</v>
      </c>
      <c r="G3" s="6"/>
      <c r="H3" s="6" t="s">
        <v>0</v>
      </c>
      <c r="I3" s="6">
        <v>2500</v>
      </c>
      <c r="J3" s="6">
        <v>0</v>
      </c>
      <c r="K3" s="6">
        <v>0</v>
      </c>
      <c r="L3" s="6">
        <v>0</v>
      </c>
      <c r="M3" s="6">
        <v>171</v>
      </c>
      <c r="N3" s="6">
        <v>80</v>
      </c>
      <c r="O3" s="32">
        <f>+F3+I3-J3-K3-L3-M3-N3</f>
        <v>2249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1465</v>
      </c>
      <c r="G5" s="2"/>
      <c r="H5" s="2" t="s">
        <v>0</v>
      </c>
      <c r="I5" s="6">
        <v>0</v>
      </c>
      <c r="J5" s="6">
        <v>0</v>
      </c>
      <c r="K5" s="6">
        <v>100</v>
      </c>
      <c r="L5" s="6">
        <v>400</v>
      </c>
      <c r="M5" s="6">
        <v>0</v>
      </c>
      <c r="N5" s="6">
        <v>0</v>
      </c>
      <c r="O5" s="33">
        <f t="shared" si="0"/>
        <v>965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2531</v>
      </c>
      <c r="G7" s="2"/>
      <c r="H7" s="2" t="s">
        <v>0</v>
      </c>
      <c r="I7" s="6">
        <v>0</v>
      </c>
      <c r="J7" s="6">
        <v>11</v>
      </c>
      <c r="K7" s="6">
        <v>60</v>
      </c>
      <c r="L7" s="6">
        <v>300</v>
      </c>
      <c r="M7" s="6">
        <v>0</v>
      </c>
      <c r="N7" s="6">
        <v>0</v>
      </c>
      <c r="O7" s="33">
        <f t="shared" si="0"/>
        <v>2160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320</v>
      </c>
      <c r="G8" s="2"/>
      <c r="H8" s="2" t="s">
        <v>0</v>
      </c>
      <c r="I8" s="6">
        <v>0</v>
      </c>
      <c r="J8" s="6">
        <v>20</v>
      </c>
      <c r="K8" s="6">
        <v>0</v>
      </c>
      <c r="L8" s="6">
        <v>0</v>
      </c>
      <c r="M8" s="6">
        <v>0</v>
      </c>
      <c r="N8" s="6">
        <v>20</v>
      </c>
      <c r="O8" s="33">
        <f t="shared" si="0"/>
        <v>280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1180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1180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3559</v>
      </c>
      <c r="G10" s="2"/>
      <c r="H10" s="2" t="s">
        <v>0</v>
      </c>
      <c r="I10" s="6">
        <v>0</v>
      </c>
      <c r="J10" s="6">
        <v>80</v>
      </c>
      <c r="K10" s="6">
        <v>81</v>
      </c>
      <c r="L10" s="6">
        <v>60</v>
      </c>
      <c r="M10" s="6">
        <v>0</v>
      </c>
      <c r="N10" s="6">
        <v>0</v>
      </c>
      <c r="O10" s="33">
        <f t="shared" si="0"/>
        <v>3338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50</v>
      </c>
      <c r="G11" s="2"/>
      <c r="H11" s="2" t="s">
        <v>0</v>
      </c>
      <c r="I11" s="6">
        <v>350</v>
      </c>
      <c r="J11" s="6">
        <v>20</v>
      </c>
      <c r="K11" s="6">
        <v>27</v>
      </c>
      <c r="L11" s="6">
        <v>202</v>
      </c>
      <c r="M11" s="6">
        <v>11</v>
      </c>
      <c r="N11" s="6">
        <v>10</v>
      </c>
      <c r="O11" s="33">
        <f t="shared" si="0"/>
        <v>130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740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740</v>
      </c>
      <c r="P12" s="42">
        <v>200</v>
      </c>
      <c r="Q12" s="31">
        <v>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916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916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46</v>
      </c>
      <c r="C14" s="19"/>
      <c r="D14" s="19"/>
      <c r="E14" s="20"/>
      <c r="F14" s="26">
        <v>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6"/>
  <sheetViews>
    <sheetView workbookViewId="0">
      <selection activeCell="N8" sqref="N8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45261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45271</v>
      </c>
      <c r="K2" s="14">
        <v>45278</v>
      </c>
      <c r="L2" s="14">
        <v>45285</v>
      </c>
      <c r="M2" s="14">
        <v>45287</v>
      </c>
      <c r="N2" s="14">
        <v>45291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2249</v>
      </c>
      <c r="G3" s="6"/>
      <c r="H3" s="6" t="s">
        <v>0</v>
      </c>
      <c r="I3" s="6">
        <v>0</v>
      </c>
      <c r="J3" s="6">
        <v>100</v>
      </c>
      <c r="K3" s="6">
        <v>251</v>
      </c>
      <c r="L3" s="6">
        <v>110</v>
      </c>
      <c r="M3" s="6">
        <v>0</v>
      </c>
      <c r="N3" s="6">
        <v>95</v>
      </c>
      <c r="O3" s="32">
        <f>+F3+I3-J3-K3-L3-M3-N3</f>
        <v>1693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37</v>
      </c>
      <c r="C4" s="19"/>
      <c r="D4" s="19"/>
      <c r="E4" s="20"/>
      <c r="F4" s="26">
        <v>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3</v>
      </c>
      <c r="C5" s="19"/>
      <c r="D5" s="19"/>
      <c r="E5" s="20"/>
      <c r="F5" s="26">
        <v>965</v>
      </c>
      <c r="G5" s="2"/>
      <c r="H5" s="2" t="s">
        <v>0</v>
      </c>
      <c r="I5" s="6">
        <v>0</v>
      </c>
      <c r="J5" s="6">
        <v>80</v>
      </c>
      <c r="K5" s="6">
        <v>40</v>
      </c>
      <c r="L5" s="6">
        <v>100</v>
      </c>
      <c r="M5" s="6">
        <v>0</v>
      </c>
      <c r="N5" s="6">
        <v>115</v>
      </c>
      <c r="O5" s="33">
        <f t="shared" si="0"/>
        <v>630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2160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2160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280</v>
      </c>
      <c r="G8" s="2"/>
      <c r="H8" s="2" t="s">
        <v>0</v>
      </c>
      <c r="I8" s="6">
        <v>0</v>
      </c>
      <c r="J8" s="6">
        <v>60</v>
      </c>
      <c r="K8" s="6">
        <v>20</v>
      </c>
      <c r="L8" s="6">
        <v>20</v>
      </c>
      <c r="M8" s="6">
        <v>0</v>
      </c>
      <c r="N8" s="6">
        <v>20</v>
      </c>
      <c r="O8" s="33">
        <f t="shared" si="0"/>
        <v>160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1180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1180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3338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3338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131</v>
      </c>
      <c r="G11" s="2"/>
      <c r="H11" s="2" t="s">
        <v>0</v>
      </c>
      <c r="I11" s="6">
        <v>1000</v>
      </c>
      <c r="J11" s="6">
        <v>1</v>
      </c>
      <c r="K11" s="6">
        <v>0</v>
      </c>
      <c r="L11" s="6">
        <v>60</v>
      </c>
      <c r="M11" s="6">
        <v>0</v>
      </c>
      <c r="N11" s="6">
        <v>6</v>
      </c>
      <c r="O11" s="33">
        <f t="shared" si="0"/>
        <v>1064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740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740</v>
      </c>
      <c r="P12" s="42">
        <v>200</v>
      </c>
      <c r="Q12" s="31">
        <v>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916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916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46</v>
      </c>
      <c r="C14" s="19"/>
      <c r="D14" s="19"/>
      <c r="E14" s="20"/>
      <c r="F14" s="26">
        <v>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6"/>
  <sheetViews>
    <sheetView workbookViewId="0">
      <selection activeCell="N8" sqref="N8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45292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45296</v>
      </c>
      <c r="K2" s="14">
        <v>45306</v>
      </c>
      <c r="L2" s="14">
        <v>45313</v>
      </c>
      <c r="M2" s="14">
        <v>45316</v>
      </c>
      <c r="N2" s="14">
        <v>45322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993</v>
      </c>
      <c r="G3" s="6"/>
      <c r="H3" s="6" t="s">
        <v>0</v>
      </c>
      <c r="I3" s="6">
        <v>0</v>
      </c>
      <c r="J3" s="6">
        <v>0</v>
      </c>
      <c r="K3" s="6">
        <v>120</v>
      </c>
      <c r="L3" s="6">
        <v>60</v>
      </c>
      <c r="M3" s="6">
        <v>120</v>
      </c>
      <c r="N3" s="6">
        <v>166</v>
      </c>
      <c r="O3" s="32">
        <f>+F3+I3-J3-K3-L3-M3-N3</f>
        <v>527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260</v>
      </c>
      <c r="G5" s="2"/>
      <c r="H5" s="2" t="s">
        <v>0</v>
      </c>
      <c r="I5" s="6">
        <v>3000</v>
      </c>
      <c r="J5" s="6">
        <v>260</v>
      </c>
      <c r="K5" s="6">
        <v>300</v>
      </c>
      <c r="L5" s="6">
        <v>12</v>
      </c>
      <c r="M5" s="6">
        <v>0</v>
      </c>
      <c r="N5" s="6">
        <v>340</v>
      </c>
      <c r="O5" s="33">
        <f t="shared" si="0"/>
        <v>2348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2020</v>
      </c>
      <c r="G7" s="2"/>
      <c r="H7" s="2" t="s">
        <v>0</v>
      </c>
      <c r="I7" s="6">
        <v>0</v>
      </c>
      <c r="J7" s="6">
        <v>100</v>
      </c>
      <c r="K7" s="6">
        <v>40</v>
      </c>
      <c r="L7" s="6">
        <v>0</v>
      </c>
      <c r="M7" s="6">
        <v>21</v>
      </c>
      <c r="N7" s="6">
        <v>10</v>
      </c>
      <c r="O7" s="33">
        <f t="shared" si="0"/>
        <v>1849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135</v>
      </c>
      <c r="G8" s="2"/>
      <c r="H8" s="2" t="s">
        <v>0</v>
      </c>
      <c r="I8" s="6">
        <v>570</v>
      </c>
      <c r="J8" s="6">
        <v>40</v>
      </c>
      <c r="K8" s="6">
        <v>20</v>
      </c>
      <c r="L8" s="6">
        <v>20</v>
      </c>
      <c r="M8" s="6">
        <v>55</v>
      </c>
      <c r="N8" s="6">
        <v>40</v>
      </c>
      <c r="O8" s="33">
        <f t="shared" si="0"/>
        <v>530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1180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1180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3338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33">
        <f t="shared" si="0"/>
        <v>3338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1060</v>
      </c>
      <c r="G11" s="2"/>
      <c r="H11" s="2" t="s">
        <v>0</v>
      </c>
      <c r="I11" s="6">
        <v>0</v>
      </c>
      <c r="J11" s="6">
        <v>10</v>
      </c>
      <c r="K11" s="6">
        <v>0</v>
      </c>
      <c r="L11" s="6">
        <v>331</v>
      </c>
      <c r="M11" s="6">
        <v>30</v>
      </c>
      <c r="N11" s="6">
        <v>20</v>
      </c>
      <c r="O11" s="33">
        <f t="shared" si="0"/>
        <v>669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730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8</v>
      </c>
      <c r="M12" s="6">
        <v>0</v>
      </c>
      <c r="N12" s="6">
        <v>0</v>
      </c>
      <c r="O12" s="33">
        <f t="shared" si="0"/>
        <v>722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916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4</v>
      </c>
      <c r="O13" s="33">
        <f t="shared" si="0"/>
        <v>912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46</v>
      </c>
      <c r="C14" s="19"/>
      <c r="D14" s="19"/>
      <c r="E14" s="20"/>
      <c r="F14" s="26">
        <v>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6"/>
  <sheetViews>
    <sheetView workbookViewId="0">
      <selection activeCell="M1" sqref="M1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45323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45331</v>
      </c>
      <c r="K2" s="14">
        <v>45341</v>
      </c>
      <c r="L2" s="14">
        <v>45345</v>
      </c>
      <c r="M2" s="14">
        <v>45351</v>
      </c>
      <c r="N2" s="14">
        <v>0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527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2">
        <f>+F3+I3-J3-K3-L3-M3-N3</f>
        <v>527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2348</v>
      </c>
      <c r="G5" s="2"/>
      <c r="H5" s="2" t="s">
        <v>0</v>
      </c>
      <c r="I5" s="6">
        <v>0</v>
      </c>
      <c r="J5" s="6">
        <v>0</v>
      </c>
      <c r="K5" s="6">
        <v>120</v>
      </c>
      <c r="L5" s="6">
        <v>600</v>
      </c>
      <c r="M5" s="6">
        <v>0</v>
      </c>
      <c r="N5" s="6">
        <v>0</v>
      </c>
      <c r="O5" s="33">
        <f t="shared" si="0"/>
        <v>1628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1849</v>
      </c>
      <c r="G7" s="2"/>
      <c r="H7" s="2" t="s">
        <v>0</v>
      </c>
      <c r="I7" s="6">
        <v>0</v>
      </c>
      <c r="J7" s="6">
        <v>142</v>
      </c>
      <c r="K7" s="6">
        <v>1000</v>
      </c>
      <c r="L7" s="6">
        <v>220</v>
      </c>
      <c r="M7" s="6">
        <v>120</v>
      </c>
      <c r="N7" s="6">
        <v>0</v>
      </c>
      <c r="O7" s="33">
        <f t="shared" si="0"/>
        <v>367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530</v>
      </c>
      <c r="G8" s="2"/>
      <c r="H8" s="2" t="s">
        <v>0</v>
      </c>
      <c r="I8" s="6">
        <v>0</v>
      </c>
      <c r="J8" s="6">
        <v>2</v>
      </c>
      <c r="K8" s="6">
        <v>0</v>
      </c>
      <c r="L8" s="6">
        <v>20</v>
      </c>
      <c r="M8" s="6">
        <v>40</v>
      </c>
      <c r="N8" s="6">
        <v>0</v>
      </c>
      <c r="O8" s="33">
        <f t="shared" si="0"/>
        <v>468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1180</v>
      </c>
      <c r="G9" s="2"/>
      <c r="H9" s="2" t="s">
        <v>0</v>
      </c>
      <c r="I9" s="6">
        <v>1000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2180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3338</v>
      </c>
      <c r="G10" s="2"/>
      <c r="H10" s="2" t="s">
        <v>0</v>
      </c>
      <c r="I10" s="6">
        <v>0</v>
      </c>
      <c r="J10" s="6">
        <v>204</v>
      </c>
      <c r="K10" s="6">
        <v>35</v>
      </c>
      <c r="L10" s="6">
        <v>108</v>
      </c>
      <c r="M10" s="6">
        <v>20</v>
      </c>
      <c r="N10" s="6">
        <v>0</v>
      </c>
      <c r="O10" s="33">
        <f t="shared" si="0"/>
        <v>2971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669</v>
      </c>
      <c r="G11" s="2"/>
      <c r="H11" s="2" t="s">
        <v>0</v>
      </c>
      <c r="I11" s="6">
        <v>0</v>
      </c>
      <c r="J11" s="6">
        <v>40</v>
      </c>
      <c r="K11" s="6">
        <v>0</v>
      </c>
      <c r="L11" s="6">
        <v>0</v>
      </c>
      <c r="M11" s="6">
        <v>76</v>
      </c>
      <c r="N11" s="6">
        <v>0</v>
      </c>
      <c r="O11" s="33">
        <f t="shared" si="0"/>
        <v>553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722</v>
      </c>
      <c r="G12" s="2"/>
      <c r="H12" s="2" t="s">
        <v>0</v>
      </c>
      <c r="I12" s="6">
        <v>50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772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912</v>
      </c>
      <c r="G13" s="2"/>
      <c r="H13" s="2" t="s">
        <v>0</v>
      </c>
      <c r="I13" s="6">
        <v>0</v>
      </c>
      <c r="J13" s="6">
        <v>6</v>
      </c>
      <c r="K13" s="6">
        <v>0</v>
      </c>
      <c r="L13" s="6">
        <v>0</v>
      </c>
      <c r="M13" s="6">
        <v>100</v>
      </c>
      <c r="N13" s="6">
        <v>0</v>
      </c>
      <c r="O13" s="33">
        <f t="shared" si="0"/>
        <v>806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50</v>
      </c>
      <c r="C14" s="19"/>
      <c r="D14" s="19"/>
      <c r="E14" s="20"/>
      <c r="F14" s="26">
        <v>0</v>
      </c>
      <c r="G14" s="2"/>
      <c r="H14" s="2" t="s">
        <v>0</v>
      </c>
      <c r="I14" s="6">
        <v>350</v>
      </c>
      <c r="J14" s="6">
        <v>0</v>
      </c>
      <c r="K14" s="6">
        <v>0</v>
      </c>
      <c r="L14" s="6">
        <v>0</v>
      </c>
      <c r="M14" s="6">
        <v>30</v>
      </c>
      <c r="N14" s="6">
        <v>0</v>
      </c>
      <c r="O14" s="33">
        <f t="shared" si="0"/>
        <v>320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6"/>
  <sheetViews>
    <sheetView workbookViewId="0">
      <selection activeCell="N9" sqref="N9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45352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45359</v>
      </c>
      <c r="K2" s="14">
        <v>45366</v>
      </c>
      <c r="L2" s="14">
        <v>45373</v>
      </c>
      <c r="M2" s="14">
        <v>45380</v>
      </c>
      <c r="N2" s="14">
        <v>45382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527</v>
      </c>
      <c r="G3" s="6"/>
      <c r="H3" s="6" t="s">
        <v>0</v>
      </c>
      <c r="I3" s="6">
        <v>0</v>
      </c>
      <c r="J3" s="6">
        <v>0</v>
      </c>
      <c r="K3" s="6">
        <v>200</v>
      </c>
      <c r="L3" s="6">
        <v>20</v>
      </c>
      <c r="M3" s="6">
        <v>0</v>
      </c>
      <c r="N3" s="6">
        <v>0</v>
      </c>
      <c r="O3" s="32">
        <f>+F3+I3-J3-K3-L3-M3-N3</f>
        <v>307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1628</v>
      </c>
      <c r="G5" s="2"/>
      <c r="H5" s="2" t="s">
        <v>0</v>
      </c>
      <c r="I5" s="6">
        <v>0</v>
      </c>
      <c r="J5" s="6">
        <v>360</v>
      </c>
      <c r="K5" s="6">
        <v>0</v>
      </c>
      <c r="L5" s="6">
        <v>5</v>
      </c>
      <c r="M5" s="6">
        <v>140</v>
      </c>
      <c r="N5" s="6">
        <v>0</v>
      </c>
      <c r="O5" s="33">
        <f t="shared" si="0"/>
        <v>1123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4</v>
      </c>
      <c r="C6" s="19"/>
      <c r="D6" s="19"/>
      <c r="E6" s="20"/>
      <c r="F6" s="26">
        <v>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0</v>
      </c>
      <c r="P6" s="42">
        <v>200</v>
      </c>
      <c r="Q6" s="31">
        <v>2000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367</v>
      </c>
      <c r="G7" s="2"/>
      <c r="H7" s="2" t="s">
        <v>0</v>
      </c>
      <c r="I7" s="6">
        <v>0</v>
      </c>
      <c r="J7" s="6">
        <v>367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0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468</v>
      </c>
      <c r="G8" s="2"/>
      <c r="H8" s="2" t="s">
        <v>0</v>
      </c>
      <c r="I8" s="6">
        <v>0</v>
      </c>
      <c r="J8" s="6">
        <v>0</v>
      </c>
      <c r="K8" s="6">
        <v>40</v>
      </c>
      <c r="L8" s="6">
        <v>20</v>
      </c>
      <c r="M8" s="6">
        <v>60</v>
      </c>
      <c r="N8" s="6">
        <v>0</v>
      </c>
      <c r="O8" s="33">
        <f t="shared" si="0"/>
        <v>348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2180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1000</v>
      </c>
      <c r="O9" s="33">
        <f t="shared" si="0"/>
        <v>1180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2971</v>
      </c>
      <c r="G10" s="2"/>
      <c r="H10" s="2" t="s">
        <v>0</v>
      </c>
      <c r="I10" s="6">
        <v>0</v>
      </c>
      <c r="J10" s="6">
        <v>240</v>
      </c>
      <c r="K10" s="6">
        <v>0</v>
      </c>
      <c r="L10" s="6">
        <v>0</v>
      </c>
      <c r="M10" s="6">
        <v>400</v>
      </c>
      <c r="N10" s="6">
        <v>0</v>
      </c>
      <c r="O10" s="33">
        <f t="shared" si="0"/>
        <v>2331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553</v>
      </c>
      <c r="G11" s="2"/>
      <c r="H11" s="2" t="s">
        <v>0</v>
      </c>
      <c r="I11" s="6">
        <v>0</v>
      </c>
      <c r="J11" s="6">
        <v>5</v>
      </c>
      <c r="K11" s="6">
        <v>0</v>
      </c>
      <c r="L11" s="6">
        <v>20</v>
      </c>
      <c r="M11" s="6">
        <v>15</v>
      </c>
      <c r="N11" s="6">
        <v>0</v>
      </c>
      <c r="O11" s="33">
        <f t="shared" si="0"/>
        <v>513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772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772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806</v>
      </c>
      <c r="G13" s="2"/>
      <c r="H13" s="2" t="s">
        <v>0</v>
      </c>
      <c r="I13" s="6">
        <v>0</v>
      </c>
      <c r="J13" s="6">
        <v>15</v>
      </c>
      <c r="K13" s="6">
        <v>8</v>
      </c>
      <c r="L13" s="6">
        <v>20</v>
      </c>
      <c r="M13" s="6">
        <v>40</v>
      </c>
      <c r="N13" s="6">
        <v>0</v>
      </c>
      <c r="O13" s="33">
        <f t="shared" si="0"/>
        <v>723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50</v>
      </c>
      <c r="C14" s="19"/>
      <c r="D14" s="19"/>
      <c r="E14" s="20"/>
      <c r="F14" s="26">
        <v>320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320</v>
      </c>
      <c r="P14" s="42">
        <v>100</v>
      </c>
      <c r="Q14" s="31">
        <v>500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16"/>
  <sheetViews>
    <sheetView topLeftCell="B1" workbookViewId="0">
      <selection activeCell="N4" sqref="N4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45352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45387</v>
      </c>
      <c r="K2" s="14">
        <v>45394</v>
      </c>
      <c r="L2" s="14">
        <v>45401</v>
      </c>
      <c r="M2" s="14">
        <v>45412</v>
      </c>
      <c r="N2" s="14">
        <v>0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307</v>
      </c>
      <c r="G3" s="6"/>
      <c r="H3" s="6" t="s">
        <v>0</v>
      </c>
      <c r="I3" s="6">
        <v>0</v>
      </c>
      <c r="J3" s="6">
        <v>186</v>
      </c>
      <c r="K3" s="6">
        <v>80</v>
      </c>
      <c r="L3" s="6">
        <v>26</v>
      </c>
      <c r="M3" s="6">
        <v>15</v>
      </c>
      <c r="N3" s="6">
        <v>0</v>
      </c>
      <c r="O3" s="32">
        <f>+F3+I3-J3-K3-L3-M3-N3</f>
        <v>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1123</v>
      </c>
      <c r="G5" s="2"/>
      <c r="H5" s="2" t="s">
        <v>0</v>
      </c>
      <c r="I5" s="6">
        <v>0</v>
      </c>
      <c r="J5" s="6">
        <v>0</v>
      </c>
      <c r="K5" s="6">
        <v>400</v>
      </c>
      <c r="L5" s="6">
        <v>0</v>
      </c>
      <c r="M5" s="6">
        <v>100</v>
      </c>
      <c r="N5" s="6">
        <v>0</v>
      </c>
      <c r="O5" s="33">
        <f t="shared" si="0"/>
        <v>623</v>
      </c>
      <c r="P5" s="42">
        <v>300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0</v>
      </c>
      <c r="G6" s="2"/>
      <c r="H6" s="2" t="s">
        <v>0</v>
      </c>
      <c r="I6" s="6">
        <v>200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200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0</v>
      </c>
      <c r="G7" s="2"/>
      <c r="H7" s="2" t="s">
        <v>0</v>
      </c>
      <c r="I7" s="6">
        <v>1000</v>
      </c>
      <c r="J7" s="6">
        <v>0</v>
      </c>
      <c r="K7" s="6">
        <v>0</v>
      </c>
      <c r="L7" s="6">
        <v>0</v>
      </c>
      <c r="M7" s="6">
        <v>20</v>
      </c>
      <c r="N7" s="6">
        <v>0</v>
      </c>
      <c r="O7" s="33">
        <f t="shared" si="0"/>
        <v>980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348</v>
      </c>
      <c r="G8" s="2"/>
      <c r="H8" s="2" t="s">
        <v>0</v>
      </c>
      <c r="I8" s="6">
        <v>0</v>
      </c>
      <c r="J8" s="6">
        <v>40</v>
      </c>
      <c r="K8" s="6">
        <v>20</v>
      </c>
      <c r="L8" s="6">
        <v>0</v>
      </c>
      <c r="M8" s="6">
        <v>40</v>
      </c>
      <c r="N8" s="6">
        <v>0</v>
      </c>
      <c r="O8" s="33">
        <f t="shared" si="0"/>
        <v>248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1180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1180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2331</v>
      </c>
      <c r="G10" s="2"/>
      <c r="H10" s="2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469</v>
      </c>
      <c r="N10" s="6">
        <v>0</v>
      </c>
      <c r="O10" s="33">
        <f t="shared" si="0"/>
        <v>1862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513</v>
      </c>
      <c r="G11" s="2"/>
      <c r="H11" s="2" t="s">
        <v>0</v>
      </c>
      <c r="I11" s="6">
        <v>500</v>
      </c>
      <c r="J11" s="6">
        <v>26</v>
      </c>
      <c r="K11" s="6">
        <v>10</v>
      </c>
      <c r="L11" s="6">
        <v>5</v>
      </c>
      <c r="M11" s="6">
        <v>10</v>
      </c>
      <c r="N11" s="6">
        <v>0</v>
      </c>
      <c r="O11" s="33">
        <f t="shared" si="0"/>
        <v>962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772</v>
      </c>
      <c r="G12" s="2"/>
      <c r="H12" s="2" t="s">
        <v>0</v>
      </c>
      <c r="I12" s="6">
        <v>0</v>
      </c>
      <c r="J12" s="6">
        <v>0</v>
      </c>
      <c r="K12" s="6">
        <v>20</v>
      </c>
      <c r="L12" s="6">
        <v>0</v>
      </c>
      <c r="M12" s="6">
        <v>0</v>
      </c>
      <c r="N12" s="6">
        <v>0</v>
      </c>
      <c r="O12" s="33">
        <f t="shared" si="0"/>
        <v>752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723</v>
      </c>
      <c r="G13" s="2"/>
      <c r="H13" s="2" t="s">
        <v>0</v>
      </c>
      <c r="I13" s="6">
        <v>0</v>
      </c>
      <c r="J13" s="6">
        <v>10</v>
      </c>
      <c r="K13" s="6">
        <v>0</v>
      </c>
      <c r="L13" s="6">
        <v>1</v>
      </c>
      <c r="M13" s="6">
        <v>0</v>
      </c>
      <c r="N13" s="6">
        <v>0</v>
      </c>
      <c r="O13" s="33">
        <f t="shared" si="0"/>
        <v>712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50</v>
      </c>
      <c r="C14" s="19"/>
      <c r="D14" s="19"/>
      <c r="E14" s="20"/>
      <c r="F14" s="26">
        <v>320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320</v>
      </c>
      <c r="P14" s="42">
        <v>100</v>
      </c>
      <c r="Q14" s="31">
        <v>500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6"/>
  <sheetViews>
    <sheetView topLeftCell="A2" workbookViewId="0">
      <selection activeCell="J19" sqref="J19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45413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45415</v>
      </c>
      <c r="K2" s="14">
        <v>45422</v>
      </c>
      <c r="L2" s="14">
        <v>45429</v>
      </c>
      <c r="M2" s="14">
        <v>45436</v>
      </c>
      <c r="N2" s="14">
        <v>45443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</v>
      </c>
      <c r="C3" s="24"/>
      <c r="D3" s="24"/>
      <c r="E3" s="25"/>
      <c r="F3" s="26">
        <v>0</v>
      </c>
      <c r="G3" s="6"/>
      <c r="H3" s="6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2">
        <f>+F3+I3-J3-K3-L3-M3-N3</f>
        <v>0</v>
      </c>
      <c r="P3" s="41">
        <v>1000</v>
      </c>
      <c r="Q3" s="30">
        <v>5000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623</v>
      </c>
      <c r="G5" s="2"/>
      <c r="H5" s="2" t="s">
        <v>0</v>
      </c>
      <c r="I5" s="6">
        <v>0</v>
      </c>
      <c r="J5" s="6">
        <v>203</v>
      </c>
      <c r="K5" s="6">
        <v>0</v>
      </c>
      <c r="L5" s="6">
        <v>300</v>
      </c>
      <c r="M5" s="6">
        <v>0</v>
      </c>
      <c r="N5" s="6">
        <v>0</v>
      </c>
      <c r="O5" s="33">
        <f t="shared" si="0"/>
        <v>120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200</v>
      </c>
      <c r="G6" s="2"/>
      <c r="H6" s="2" t="s">
        <v>0</v>
      </c>
      <c r="I6" s="6">
        <v>0</v>
      </c>
      <c r="J6" s="6">
        <v>0</v>
      </c>
      <c r="K6" s="6">
        <v>10</v>
      </c>
      <c r="L6" s="6">
        <v>0</v>
      </c>
      <c r="M6" s="6">
        <v>0</v>
      </c>
      <c r="N6" s="6">
        <v>0</v>
      </c>
      <c r="O6" s="33">
        <f t="shared" si="0"/>
        <v>190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980</v>
      </c>
      <c r="G7" s="2"/>
      <c r="H7" s="2" t="s">
        <v>0</v>
      </c>
      <c r="I7" s="6">
        <v>0</v>
      </c>
      <c r="J7" s="6">
        <v>180</v>
      </c>
      <c r="K7" s="6">
        <v>0</v>
      </c>
      <c r="L7" s="6">
        <v>0</v>
      </c>
      <c r="M7" s="6">
        <v>0</v>
      </c>
      <c r="N7" s="6">
        <v>0</v>
      </c>
      <c r="O7" s="33">
        <f t="shared" si="0"/>
        <v>800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180</v>
      </c>
      <c r="G8" s="2"/>
      <c r="H8" s="2" t="s">
        <v>0</v>
      </c>
      <c r="I8" s="6">
        <v>0</v>
      </c>
      <c r="J8" s="6">
        <v>20</v>
      </c>
      <c r="K8" s="6">
        <v>0</v>
      </c>
      <c r="L8" s="6">
        <v>0</v>
      </c>
      <c r="M8" s="6">
        <v>0</v>
      </c>
      <c r="N8" s="6">
        <v>0</v>
      </c>
      <c r="O8" s="33">
        <f t="shared" si="0"/>
        <v>160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26">
        <v>2700</v>
      </c>
      <c r="G10" s="2"/>
      <c r="H10" s="2" t="s">
        <v>0</v>
      </c>
      <c r="I10" s="6">
        <v>0</v>
      </c>
      <c r="J10" s="6">
        <v>149</v>
      </c>
      <c r="K10" s="6">
        <v>0</v>
      </c>
      <c r="L10" s="6">
        <v>80</v>
      </c>
      <c r="M10" s="6">
        <v>0</v>
      </c>
      <c r="N10" s="6">
        <v>40</v>
      </c>
      <c r="O10" s="33">
        <f t="shared" si="0"/>
        <v>2431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26">
        <v>832</v>
      </c>
      <c r="G11" s="2"/>
      <c r="H11" s="2" t="s">
        <v>0</v>
      </c>
      <c r="I11" s="6">
        <v>0</v>
      </c>
      <c r="J11" s="6">
        <v>673</v>
      </c>
      <c r="K11" s="6">
        <v>5</v>
      </c>
      <c r="L11" s="6">
        <v>40</v>
      </c>
      <c r="M11" s="6">
        <v>0</v>
      </c>
      <c r="N11" s="6">
        <v>114</v>
      </c>
      <c r="O11" s="33">
        <f t="shared" si="0"/>
        <v>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752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752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712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712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50</v>
      </c>
      <c r="C14" s="19"/>
      <c r="D14" s="19"/>
      <c r="E14" s="20"/>
      <c r="F14" s="26">
        <v>320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320</v>
      </c>
      <c r="P14" s="42">
        <v>100</v>
      </c>
      <c r="Q14" s="31">
        <v>500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33"/>
  <sheetViews>
    <sheetView zoomScaleNormal="100" workbookViewId="0">
      <selection activeCell="D13" sqref="D13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45413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45450</v>
      </c>
      <c r="K2" s="14">
        <v>45457</v>
      </c>
      <c r="L2" s="14">
        <v>45461</v>
      </c>
      <c r="M2" s="14">
        <v>45467</v>
      </c>
      <c r="N2" s="14">
        <v>45473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24" t="s">
        <v>19</v>
      </c>
      <c r="C3" s="24"/>
      <c r="D3" s="24"/>
      <c r="E3" s="25"/>
      <c r="F3" s="26">
        <v>0</v>
      </c>
      <c r="G3" s="6"/>
      <c r="H3" s="6" t="s">
        <v>19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2">
        <f>+F3+I3-J3-K3-L3-M3-N3</f>
        <v>0</v>
      </c>
      <c r="P3" s="41">
        <v>0</v>
      </c>
      <c r="Q3" s="30">
        <v>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0">+F4+I4-J4-K4-L4-M4-N4</f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120</v>
      </c>
      <c r="G5" s="2"/>
      <c r="H5" s="2" t="s">
        <v>0</v>
      </c>
      <c r="I5" s="6">
        <v>380</v>
      </c>
      <c r="J5" s="6">
        <v>0</v>
      </c>
      <c r="K5" s="6">
        <v>200</v>
      </c>
      <c r="L5" s="6">
        <v>0</v>
      </c>
      <c r="M5" s="6">
        <v>0</v>
      </c>
      <c r="N5" s="6">
        <v>103</v>
      </c>
      <c r="O5" s="33">
        <f t="shared" si="0"/>
        <v>197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190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190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800</v>
      </c>
      <c r="G7" s="2"/>
      <c r="H7" s="2" t="s">
        <v>0</v>
      </c>
      <c r="I7" s="6">
        <v>0</v>
      </c>
      <c r="J7" s="6">
        <v>40</v>
      </c>
      <c r="K7" s="6">
        <v>192</v>
      </c>
      <c r="L7" s="6">
        <v>0</v>
      </c>
      <c r="M7" s="6">
        <v>0</v>
      </c>
      <c r="N7" s="6">
        <v>6</v>
      </c>
      <c r="O7" s="33">
        <f t="shared" si="0"/>
        <v>562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160</v>
      </c>
      <c r="G8" s="2"/>
      <c r="H8" s="2" t="s">
        <v>0</v>
      </c>
      <c r="I8" s="6">
        <v>1800</v>
      </c>
      <c r="J8" s="6">
        <v>20</v>
      </c>
      <c r="K8" s="6">
        <v>0</v>
      </c>
      <c r="L8" s="6">
        <v>0</v>
      </c>
      <c r="M8" s="6">
        <v>0</v>
      </c>
      <c r="N8" s="6">
        <v>0</v>
      </c>
      <c r="O8" s="33">
        <f t="shared" si="0"/>
        <v>1940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2431</v>
      </c>
      <c r="G10" s="48"/>
      <c r="H10" s="48" t="s">
        <v>0</v>
      </c>
      <c r="I10" s="49">
        <v>0</v>
      </c>
      <c r="J10" s="49">
        <v>140</v>
      </c>
      <c r="K10" s="49">
        <v>220</v>
      </c>
      <c r="L10" s="49">
        <v>0</v>
      </c>
      <c r="M10" s="49">
        <v>0</v>
      </c>
      <c r="N10" s="49">
        <v>120</v>
      </c>
      <c r="O10" s="50">
        <f t="shared" si="0"/>
        <v>1951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0</v>
      </c>
      <c r="G11" s="48"/>
      <c r="H11" s="48" t="s">
        <v>0</v>
      </c>
      <c r="I11" s="49">
        <v>1000</v>
      </c>
      <c r="J11" s="49">
        <v>16</v>
      </c>
      <c r="K11" s="49">
        <v>20</v>
      </c>
      <c r="L11" s="49">
        <v>0</v>
      </c>
      <c r="M11" s="49">
        <v>0</v>
      </c>
      <c r="N11" s="49">
        <v>7</v>
      </c>
      <c r="O11" s="50">
        <f t="shared" si="0"/>
        <v>957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752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752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712</v>
      </c>
      <c r="G13" s="2"/>
      <c r="H13" s="2" t="s">
        <v>0</v>
      </c>
      <c r="I13" s="6">
        <v>0</v>
      </c>
      <c r="J13" s="6">
        <v>40</v>
      </c>
      <c r="K13" s="6">
        <v>80</v>
      </c>
      <c r="L13" s="6">
        <v>0</v>
      </c>
      <c r="M13" s="6">
        <v>0</v>
      </c>
      <c r="N13" s="6">
        <v>0</v>
      </c>
      <c r="O13" s="33">
        <f t="shared" si="0"/>
        <v>592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50</v>
      </c>
      <c r="C14" s="19"/>
      <c r="D14" s="19"/>
      <c r="E14" s="20"/>
      <c r="F14" s="26">
        <v>320</v>
      </c>
      <c r="G14" s="2"/>
      <c r="H14" s="2" t="s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104</v>
      </c>
      <c r="O14" s="33">
        <f t="shared" si="0"/>
        <v>216</v>
      </c>
      <c r="P14" s="42">
        <v>100</v>
      </c>
      <c r="Q14" s="31">
        <v>500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33"/>
  <sheetViews>
    <sheetView zoomScaleNormal="100" workbookViewId="0">
      <selection activeCell="N15" sqref="N15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45474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45478</v>
      </c>
      <c r="K2" s="14">
        <v>45485</v>
      </c>
      <c r="L2" s="14">
        <v>45492</v>
      </c>
      <c r="M2" s="14">
        <v>45499</v>
      </c>
      <c r="N2" s="14">
        <v>45506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19" t="s">
        <v>50</v>
      </c>
      <c r="C3" s="19"/>
      <c r="D3" s="19"/>
      <c r="E3" s="20"/>
      <c r="F3" s="26">
        <v>216</v>
      </c>
      <c r="G3" s="2"/>
      <c r="H3" s="2" t="s">
        <v>0</v>
      </c>
      <c r="I3" s="6">
        <v>720</v>
      </c>
      <c r="J3" s="6">
        <v>0</v>
      </c>
      <c r="K3" s="6">
        <v>0</v>
      </c>
      <c r="L3" s="6">
        <v>216</v>
      </c>
      <c r="M3" s="6">
        <v>390</v>
      </c>
      <c r="N3" s="6">
        <v>0</v>
      </c>
      <c r="O3" s="33">
        <f t="shared" ref="O3" si="0">+F3+I3-J3-K3-L3-M3-N3</f>
        <v>330</v>
      </c>
      <c r="P3" s="42">
        <v>100</v>
      </c>
      <c r="Q3" s="31">
        <v>500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ref="O4:O15" si="1">+F4+I4-J4-K4-L4-M4-N4</f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197</v>
      </c>
      <c r="G5" s="2"/>
      <c r="H5" s="2" t="s">
        <v>0</v>
      </c>
      <c r="I5" s="6">
        <v>1000</v>
      </c>
      <c r="J5" s="6">
        <v>157</v>
      </c>
      <c r="K5" s="6">
        <v>40</v>
      </c>
      <c r="L5" s="6">
        <v>0</v>
      </c>
      <c r="M5" s="6">
        <v>0</v>
      </c>
      <c r="N5" s="6">
        <v>0</v>
      </c>
      <c r="O5" s="33">
        <f t="shared" si="1"/>
        <v>1000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190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1"/>
        <v>190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562</v>
      </c>
      <c r="G7" s="2"/>
      <c r="H7" s="2" t="s">
        <v>0</v>
      </c>
      <c r="I7" s="6">
        <v>0</v>
      </c>
      <c r="J7" s="6">
        <v>0</v>
      </c>
      <c r="K7" s="6">
        <v>40</v>
      </c>
      <c r="L7" s="6">
        <v>0</v>
      </c>
      <c r="M7" s="6">
        <v>40</v>
      </c>
      <c r="N7" s="6">
        <v>5</v>
      </c>
      <c r="O7" s="33">
        <f t="shared" si="1"/>
        <v>477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1940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200</v>
      </c>
      <c r="M8" s="6">
        <v>43</v>
      </c>
      <c r="N8" s="6">
        <v>120</v>
      </c>
      <c r="O8" s="33">
        <f t="shared" si="1"/>
        <v>1577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1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1951</v>
      </c>
      <c r="G10" s="48"/>
      <c r="H10" s="48" t="s">
        <v>0</v>
      </c>
      <c r="I10" s="6">
        <v>0</v>
      </c>
      <c r="J10" s="6">
        <v>0</v>
      </c>
      <c r="K10" s="6">
        <v>0</v>
      </c>
      <c r="L10" s="6">
        <v>0</v>
      </c>
      <c r="M10" s="6">
        <v>360</v>
      </c>
      <c r="N10" s="6">
        <v>205</v>
      </c>
      <c r="O10" s="50">
        <f t="shared" si="1"/>
        <v>1386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957</v>
      </c>
      <c r="G11" s="48"/>
      <c r="H11" s="48" t="s">
        <v>0</v>
      </c>
      <c r="I11" s="6">
        <v>0</v>
      </c>
      <c r="J11" s="6">
        <v>10</v>
      </c>
      <c r="K11" s="6">
        <v>0</v>
      </c>
      <c r="L11" s="6">
        <v>0</v>
      </c>
      <c r="M11" s="6">
        <v>60</v>
      </c>
      <c r="N11" s="6">
        <v>0</v>
      </c>
      <c r="O11" s="50">
        <f t="shared" si="1"/>
        <v>887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752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1"/>
        <v>752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592</v>
      </c>
      <c r="G13" s="2"/>
      <c r="H13" s="2" t="s">
        <v>0</v>
      </c>
      <c r="I13" s="6">
        <v>0</v>
      </c>
      <c r="J13" s="6">
        <v>15</v>
      </c>
      <c r="K13" s="6">
        <v>0</v>
      </c>
      <c r="L13" s="6">
        <v>0</v>
      </c>
      <c r="M13" s="6">
        <v>0</v>
      </c>
      <c r="N13" s="6">
        <v>0</v>
      </c>
      <c r="O13" s="33">
        <f t="shared" si="1"/>
        <v>577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1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1"/>
        <v>0</v>
      </c>
      <c r="P15" s="42">
        <v>0</v>
      </c>
      <c r="Q15" s="2">
        <v>0</v>
      </c>
    </row>
    <row r="16" spans="1:17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33"/>
  <sheetViews>
    <sheetView topLeftCell="B1" zoomScaleNormal="100" workbookViewId="0">
      <selection activeCell="N10" sqref="N10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45505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45509</v>
      </c>
      <c r="K2" s="14">
        <v>45516</v>
      </c>
      <c r="L2" s="14">
        <v>45527</v>
      </c>
      <c r="M2" s="14">
        <v>45530</v>
      </c>
      <c r="N2" s="51">
        <v>45534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19" t="s">
        <v>50</v>
      </c>
      <c r="C3" s="19"/>
      <c r="D3" s="19"/>
      <c r="E3" s="20"/>
      <c r="F3" s="26">
        <v>330</v>
      </c>
      <c r="G3" s="2"/>
      <c r="H3" s="2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44">
        <v>320</v>
      </c>
      <c r="O3" s="33">
        <f t="shared" ref="O3:O15" si="0">+F3+I3-J3-K3-L3-M3-N3</f>
        <v>10</v>
      </c>
      <c r="P3" s="42">
        <v>100</v>
      </c>
      <c r="Q3" s="31">
        <v>500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44">
        <v>0</v>
      </c>
      <c r="O4" s="33">
        <f t="shared" si="0"/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1000</v>
      </c>
      <c r="G5" s="2"/>
      <c r="H5" s="2" t="s">
        <v>0</v>
      </c>
      <c r="I5" s="6">
        <v>0</v>
      </c>
      <c r="J5" s="6">
        <v>800</v>
      </c>
      <c r="K5" s="6">
        <v>84</v>
      </c>
      <c r="L5" s="6">
        <v>100</v>
      </c>
      <c r="M5" s="6">
        <v>0</v>
      </c>
      <c r="N5" s="44">
        <v>0</v>
      </c>
      <c r="O5" s="33">
        <f t="shared" si="0"/>
        <v>16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190</v>
      </c>
      <c r="G6" s="2"/>
      <c r="H6" s="2" t="s">
        <v>0</v>
      </c>
      <c r="I6" s="6">
        <v>0</v>
      </c>
      <c r="J6" s="6">
        <v>0</v>
      </c>
      <c r="K6" s="6">
        <v>30</v>
      </c>
      <c r="L6" s="6">
        <v>10</v>
      </c>
      <c r="M6" s="6">
        <v>0</v>
      </c>
      <c r="N6" s="44">
        <v>0</v>
      </c>
      <c r="O6" s="33">
        <f t="shared" si="0"/>
        <v>150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477</v>
      </c>
      <c r="G7" s="2"/>
      <c r="H7" s="2" t="s">
        <v>0</v>
      </c>
      <c r="I7" s="6">
        <v>0</v>
      </c>
      <c r="J7" s="6">
        <v>60</v>
      </c>
      <c r="K7" s="6">
        <v>0</v>
      </c>
      <c r="L7" s="6">
        <v>0</v>
      </c>
      <c r="M7" s="6">
        <v>0</v>
      </c>
      <c r="N7" s="44">
        <v>0</v>
      </c>
      <c r="O7" s="33">
        <f t="shared" si="0"/>
        <v>417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1577</v>
      </c>
      <c r="G8" s="2"/>
      <c r="H8" s="2" t="s">
        <v>0</v>
      </c>
      <c r="I8" s="6">
        <v>0</v>
      </c>
      <c r="J8" s="6">
        <v>100</v>
      </c>
      <c r="K8" s="6">
        <v>200</v>
      </c>
      <c r="L8" s="6">
        <v>0</v>
      </c>
      <c r="M8" s="6">
        <v>0</v>
      </c>
      <c r="N8" s="44">
        <v>0</v>
      </c>
      <c r="O8" s="33">
        <f t="shared" si="0"/>
        <v>1277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44">
        <v>0</v>
      </c>
      <c r="O9" s="33">
        <f t="shared" si="0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1386</v>
      </c>
      <c r="G10" s="48"/>
      <c r="H10" s="48" t="s">
        <v>0</v>
      </c>
      <c r="I10" s="6">
        <v>0</v>
      </c>
      <c r="J10" s="6">
        <v>110</v>
      </c>
      <c r="K10" s="6">
        <v>50</v>
      </c>
      <c r="L10" s="6">
        <v>0</v>
      </c>
      <c r="M10" s="6">
        <v>0</v>
      </c>
      <c r="N10" s="44">
        <v>20</v>
      </c>
      <c r="O10" s="50">
        <f t="shared" si="0"/>
        <v>1206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887</v>
      </c>
      <c r="G11" s="48"/>
      <c r="H11" s="48" t="s">
        <v>0</v>
      </c>
      <c r="I11" s="6">
        <v>0</v>
      </c>
      <c r="J11" s="6">
        <v>2</v>
      </c>
      <c r="K11" s="6">
        <v>0</v>
      </c>
      <c r="L11" s="6">
        <v>1</v>
      </c>
      <c r="M11" s="6">
        <v>0</v>
      </c>
      <c r="N11" s="44">
        <v>33</v>
      </c>
      <c r="O11" s="50">
        <f t="shared" si="0"/>
        <v>851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24</v>
      </c>
      <c r="C12" s="19"/>
      <c r="D12" s="19"/>
      <c r="E12" s="20"/>
      <c r="F12" s="26">
        <v>752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44">
        <v>0</v>
      </c>
      <c r="O12" s="33">
        <f t="shared" si="0"/>
        <v>752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577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44">
        <v>220</v>
      </c>
      <c r="O13" s="33">
        <f t="shared" si="0"/>
        <v>357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44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44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3"/>
  <sheetViews>
    <sheetView topLeftCell="B1" zoomScaleNormal="100" workbookViewId="0">
      <selection activeCell="M11" sqref="M11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45536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45541</v>
      </c>
      <c r="K2" s="14">
        <v>45548</v>
      </c>
      <c r="L2" s="14">
        <v>45555</v>
      </c>
      <c r="M2" s="14">
        <v>45562</v>
      </c>
      <c r="N2" s="51">
        <v>45565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19" t="s">
        <v>50</v>
      </c>
      <c r="C3" s="19"/>
      <c r="D3" s="19"/>
      <c r="E3" s="20"/>
      <c r="F3" s="26">
        <v>10</v>
      </c>
      <c r="G3" s="2"/>
      <c r="H3" s="2" t="s">
        <v>0</v>
      </c>
      <c r="I3" s="6">
        <v>0</v>
      </c>
      <c r="J3" s="6">
        <v>10</v>
      </c>
      <c r="K3" s="6">
        <v>0</v>
      </c>
      <c r="L3" s="6">
        <v>0</v>
      </c>
      <c r="M3" s="6">
        <v>0</v>
      </c>
      <c r="N3" s="6">
        <v>0</v>
      </c>
      <c r="O3" s="33">
        <f t="shared" ref="O3:O15" si="0">+F3+I3-J3-K3-L3-M3-N3</f>
        <v>0</v>
      </c>
      <c r="P3" s="42">
        <v>100</v>
      </c>
      <c r="Q3" s="31">
        <v>500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si="0"/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16</v>
      </c>
      <c r="G5" s="2"/>
      <c r="H5" s="2" t="s">
        <v>0</v>
      </c>
      <c r="I5" s="6">
        <v>1500</v>
      </c>
      <c r="J5" s="6">
        <v>10</v>
      </c>
      <c r="K5" s="6">
        <v>300</v>
      </c>
      <c r="L5" s="6">
        <v>206</v>
      </c>
      <c r="M5" s="6">
        <v>300</v>
      </c>
      <c r="N5" s="6">
        <v>0</v>
      </c>
      <c r="O5" s="33">
        <f t="shared" si="0"/>
        <v>700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150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150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417</v>
      </c>
      <c r="G7" s="2"/>
      <c r="H7" s="2" t="s">
        <v>0</v>
      </c>
      <c r="I7" s="6">
        <v>500</v>
      </c>
      <c r="J7" s="6">
        <v>0</v>
      </c>
      <c r="K7" s="6">
        <v>40</v>
      </c>
      <c r="L7" s="6">
        <v>80</v>
      </c>
      <c r="M7" s="6">
        <v>0</v>
      </c>
      <c r="N7" s="6">
        <v>0</v>
      </c>
      <c r="O7" s="33">
        <f t="shared" si="0"/>
        <v>797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1277</v>
      </c>
      <c r="G8" s="2"/>
      <c r="H8" s="2" t="s">
        <v>0</v>
      </c>
      <c r="I8" s="6">
        <v>0</v>
      </c>
      <c r="J8" s="6">
        <v>80</v>
      </c>
      <c r="K8" s="6">
        <v>0</v>
      </c>
      <c r="L8" s="6">
        <v>100</v>
      </c>
      <c r="M8" s="6">
        <v>132</v>
      </c>
      <c r="N8" s="6">
        <v>0</v>
      </c>
      <c r="O8" s="33">
        <f t="shared" si="0"/>
        <v>965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1206</v>
      </c>
      <c r="G10" s="48"/>
      <c r="H10" s="48" t="s">
        <v>0</v>
      </c>
      <c r="I10" s="6">
        <v>0</v>
      </c>
      <c r="J10" s="6">
        <v>0</v>
      </c>
      <c r="K10" s="6">
        <v>50</v>
      </c>
      <c r="L10" s="6">
        <v>64</v>
      </c>
      <c r="M10" s="6">
        <v>101</v>
      </c>
      <c r="N10" s="6">
        <v>0</v>
      </c>
      <c r="O10" s="50">
        <f t="shared" si="0"/>
        <v>991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851</v>
      </c>
      <c r="G11" s="48"/>
      <c r="H11" s="48" t="s">
        <v>0</v>
      </c>
      <c r="I11" s="6">
        <v>0</v>
      </c>
      <c r="J11" s="6">
        <v>0</v>
      </c>
      <c r="K11" s="6">
        <v>100</v>
      </c>
      <c r="L11" s="6">
        <v>0</v>
      </c>
      <c r="M11" s="6">
        <v>0</v>
      </c>
      <c r="N11" s="6">
        <v>0</v>
      </c>
      <c r="O11" s="50">
        <f t="shared" si="0"/>
        <v>751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752</v>
      </c>
      <c r="G12" s="2"/>
      <c r="H12" s="2" t="s">
        <v>0</v>
      </c>
      <c r="I12" s="6">
        <v>1600</v>
      </c>
      <c r="J12" s="6">
        <v>60</v>
      </c>
      <c r="K12" s="6">
        <v>81</v>
      </c>
      <c r="L12" s="6">
        <v>0</v>
      </c>
      <c r="M12" s="6">
        <v>0</v>
      </c>
      <c r="N12" s="6">
        <v>0</v>
      </c>
      <c r="O12" s="33">
        <f t="shared" si="0"/>
        <v>2211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357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357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44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33"/>
  <sheetViews>
    <sheetView topLeftCell="B1" zoomScaleNormal="100" workbookViewId="0">
      <selection activeCell="N9" sqref="N9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" customWidth="1"/>
    <col min="17" max="17" width="10.85546875" customWidth="1"/>
  </cols>
  <sheetData>
    <row r="1" spans="1:17" ht="27.75" customHeight="1" thickBot="1" x14ac:dyDescent="0.3">
      <c r="B1" s="46">
        <v>45566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45569</v>
      </c>
      <c r="K2" s="14">
        <v>45576</v>
      </c>
      <c r="L2" s="14">
        <v>45583</v>
      </c>
      <c r="M2" s="14">
        <v>45590</v>
      </c>
      <c r="N2" s="51">
        <v>45596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19" t="s">
        <v>50</v>
      </c>
      <c r="C3" s="19"/>
      <c r="D3" s="19"/>
      <c r="E3" s="20"/>
      <c r="F3" s="26">
        <v>0</v>
      </c>
      <c r="G3" s="2"/>
      <c r="H3" s="2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3">
        <f t="shared" ref="O3:O15" si="0">+F3+I3-J3-K3-L3-M3-N3</f>
        <v>0</v>
      </c>
      <c r="P3" s="42">
        <v>100</v>
      </c>
      <c r="Q3" s="31">
        <v>500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3">
        <f t="shared" si="0"/>
        <v>3000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700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101</v>
      </c>
      <c r="M5" s="6">
        <v>240</v>
      </c>
      <c r="N5" s="6">
        <v>10</v>
      </c>
      <c r="O5" s="33">
        <f t="shared" si="0"/>
        <v>349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150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3">
        <f t="shared" si="0"/>
        <v>150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797</v>
      </c>
      <c r="G7" s="2"/>
      <c r="H7" s="2" t="s">
        <v>0</v>
      </c>
      <c r="I7" s="6">
        <v>0</v>
      </c>
      <c r="J7" s="6">
        <v>20</v>
      </c>
      <c r="K7" s="6">
        <v>0</v>
      </c>
      <c r="L7" s="6">
        <v>120</v>
      </c>
      <c r="M7" s="6">
        <v>120</v>
      </c>
      <c r="N7" s="6">
        <v>0</v>
      </c>
      <c r="O7" s="33">
        <f t="shared" si="0"/>
        <v>537</v>
      </c>
      <c r="P7" s="42">
        <v>500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965</v>
      </c>
      <c r="G8" s="2"/>
      <c r="H8" s="2" t="s">
        <v>0</v>
      </c>
      <c r="I8" s="6">
        <v>0</v>
      </c>
      <c r="J8" s="6">
        <v>0</v>
      </c>
      <c r="K8" s="6">
        <v>203</v>
      </c>
      <c r="L8" s="6">
        <v>0</v>
      </c>
      <c r="M8" s="6">
        <v>200</v>
      </c>
      <c r="N8" s="6">
        <v>224</v>
      </c>
      <c r="O8" s="33">
        <f t="shared" si="0"/>
        <v>338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991</v>
      </c>
      <c r="G10" s="48"/>
      <c r="H10" s="48" t="s">
        <v>0</v>
      </c>
      <c r="I10" s="6">
        <v>0</v>
      </c>
      <c r="J10" s="6">
        <v>120</v>
      </c>
      <c r="K10" s="6">
        <v>0</v>
      </c>
      <c r="L10" s="6">
        <v>340</v>
      </c>
      <c r="M10" s="6">
        <v>182</v>
      </c>
      <c r="N10" s="6">
        <v>100</v>
      </c>
      <c r="O10" s="50">
        <f t="shared" si="0"/>
        <v>249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751</v>
      </c>
      <c r="G11" s="48"/>
      <c r="H11" s="48" t="s">
        <v>0</v>
      </c>
      <c r="I11" s="6">
        <v>0</v>
      </c>
      <c r="J11" s="6">
        <v>40</v>
      </c>
      <c r="K11" s="6">
        <v>0</v>
      </c>
      <c r="L11" s="6">
        <v>32</v>
      </c>
      <c r="M11" s="6">
        <v>0</v>
      </c>
      <c r="N11" s="6">
        <v>0</v>
      </c>
      <c r="O11" s="50">
        <f t="shared" si="0"/>
        <v>679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2211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2211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357</v>
      </c>
      <c r="G13" s="2"/>
      <c r="H13" s="2" t="s">
        <v>0</v>
      </c>
      <c r="I13" s="6">
        <v>0</v>
      </c>
      <c r="J13" s="6">
        <v>0</v>
      </c>
      <c r="K13" s="6">
        <v>2</v>
      </c>
      <c r="L13" s="6">
        <v>22</v>
      </c>
      <c r="M13" s="6">
        <v>0</v>
      </c>
      <c r="N13" s="6">
        <v>0</v>
      </c>
      <c r="O13" s="33">
        <f t="shared" si="0"/>
        <v>333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33"/>
  <sheetViews>
    <sheetView topLeftCell="B1" zoomScaleNormal="100" workbookViewId="0">
      <selection activeCell="M10" sqref="M10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10.28515625" customWidth="1"/>
    <col min="17" max="17" width="7.42578125" customWidth="1"/>
  </cols>
  <sheetData>
    <row r="1" spans="1:17" ht="27.75" customHeight="1" thickBot="1" x14ac:dyDescent="0.3">
      <c r="B1" s="46">
        <v>45597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45604</v>
      </c>
      <c r="K2" s="14">
        <v>45611</v>
      </c>
      <c r="L2" s="14">
        <v>45618</v>
      </c>
      <c r="M2" s="14">
        <v>45625</v>
      </c>
      <c r="N2" s="51">
        <v>0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19" t="s">
        <v>50</v>
      </c>
      <c r="C3" s="19"/>
      <c r="D3" s="19"/>
      <c r="E3" s="20"/>
      <c r="F3" s="26">
        <v>0</v>
      </c>
      <c r="G3" s="2"/>
      <c r="H3" s="2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3">
        <f t="shared" ref="O3:O15" si="0">+F3+I3-J3-K3-L3-M3-N3</f>
        <v>0</v>
      </c>
      <c r="P3" s="42">
        <v>100</v>
      </c>
      <c r="Q3" s="31">
        <v>500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3000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60</v>
      </c>
      <c r="N4" s="6">
        <v>0</v>
      </c>
      <c r="O4" s="33">
        <f t="shared" si="0"/>
        <v>2940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349</v>
      </c>
      <c r="G5" s="2"/>
      <c r="H5" s="2" t="s">
        <v>0</v>
      </c>
      <c r="I5" s="6">
        <v>2200</v>
      </c>
      <c r="J5" s="6">
        <v>100</v>
      </c>
      <c r="K5" s="6">
        <v>250</v>
      </c>
      <c r="L5" s="6">
        <v>330</v>
      </c>
      <c r="M5" s="6">
        <v>200</v>
      </c>
      <c r="N5" s="6">
        <v>0</v>
      </c>
      <c r="O5" s="33">
        <f t="shared" si="0"/>
        <v>1669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150</v>
      </c>
      <c r="G6" s="2"/>
      <c r="H6" s="2" t="s">
        <v>0</v>
      </c>
      <c r="I6" s="6">
        <v>400</v>
      </c>
      <c r="J6" s="6">
        <v>0</v>
      </c>
      <c r="K6" s="6">
        <v>0</v>
      </c>
      <c r="L6" s="6">
        <v>104</v>
      </c>
      <c r="M6" s="6">
        <v>50</v>
      </c>
      <c r="N6" s="6">
        <v>0</v>
      </c>
      <c r="O6" s="33">
        <f t="shared" si="0"/>
        <v>396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537</v>
      </c>
      <c r="G7" s="2"/>
      <c r="H7" s="2" t="s">
        <v>0</v>
      </c>
      <c r="I7" s="6">
        <v>0</v>
      </c>
      <c r="J7" s="6">
        <v>0</v>
      </c>
      <c r="K7" s="6">
        <v>50</v>
      </c>
      <c r="L7" s="6">
        <v>0</v>
      </c>
      <c r="M7" s="6">
        <v>0</v>
      </c>
      <c r="N7" s="6">
        <v>0</v>
      </c>
      <c r="O7" s="33">
        <f t="shared" si="0"/>
        <v>487</v>
      </c>
      <c r="P7" s="42">
        <v>400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450</v>
      </c>
      <c r="G8" s="2"/>
      <c r="H8" s="2" t="s">
        <v>0</v>
      </c>
      <c r="I8" s="6">
        <v>300</v>
      </c>
      <c r="J8" s="6">
        <v>300</v>
      </c>
      <c r="K8" s="6">
        <v>40</v>
      </c>
      <c r="L8" s="6">
        <v>360</v>
      </c>
      <c r="M8" s="6">
        <v>0</v>
      </c>
      <c r="N8" s="6">
        <v>0</v>
      </c>
      <c r="O8" s="33">
        <f t="shared" si="0"/>
        <v>50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249</v>
      </c>
      <c r="G10" s="48"/>
      <c r="H10" s="48" t="s">
        <v>0</v>
      </c>
      <c r="I10" s="6">
        <v>0</v>
      </c>
      <c r="J10" s="6">
        <v>102</v>
      </c>
      <c r="K10" s="6">
        <v>80</v>
      </c>
      <c r="L10" s="6">
        <v>40</v>
      </c>
      <c r="M10" s="6">
        <v>20</v>
      </c>
      <c r="N10" s="6">
        <v>0</v>
      </c>
      <c r="O10" s="50">
        <f t="shared" si="0"/>
        <v>7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679</v>
      </c>
      <c r="G11" s="48"/>
      <c r="H11" s="48" t="s">
        <v>0</v>
      </c>
      <c r="I11" s="6">
        <v>0</v>
      </c>
      <c r="J11" s="6">
        <v>0</v>
      </c>
      <c r="K11" s="6">
        <v>140</v>
      </c>
      <c r="L11" s="6">
        <v>0</v>
      </c>
      <c r="M11" s="6">
        <v>1</v>
      </c>
      <c r="N11" s="6">
        <v>0</v>
      </c>
      <c r="O11" s="50">
        <f t="shared" si="0"/>
        <v>538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2211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2211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333</v>
      </c>
      <c r="G13" s="2"/>
      <c r="H13" s="2" t="s">
        <v>0</v>
      </c>
      <c r="I13" s="6">
        <v>0</v>
      </c>
      <c r="J13" s="6">
        <v>60</v>
      </c>
      <c r="K13" s="6">
        <v>0</v>
      </c>
      <c r="L13" s="6">
        <v>0</v>
      </c>
      <c r="M13" s="6">
        <v>0</v>
      </c>
      <c r="N13" s="6">
        <v>0</v>
      </c>
      <c r="O13" s="33">
        <f t="shared" si="0"/>
        <v>273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33"/>
  <sheetViews>
    <sheetView topLeftCell="B1" zoomScaleNormal="100" workbookViewId="0">
      <selection activeCell="I3" sqref="I3"/>
    </sheetView>
  </sheetViews>
  <sheetFormatPr defaultRowHeight="15" x14ac:dyDescent="0.25"/>
  <cols>
    <col min="1" max="1" width="6.42578125" customWidth="1"/>
    <col min="6" max="6" width="11.42578125" customWidth="1"/>
    <col min="7" max="7" width="0.7109375" hidden="1" customWidth="1"/>
    <col min="10" max="10" width="10.5703125" customWidth="1"/>
    <col min="11" max="11" width="10" customWidth="1"/>
    <col min="12" max="12" width="9.85546875" customWidth="1"/>
    <col min="13" max="13" width="11" customWidth="1"/>
    <col min="14" max="14" width="10.140625" bestFit="1" customWidth="1"/>
    <col min="16" max="16" width="9" customWidth="1"/>
    <col min="17" max="17" width="10" customWidth="1"/>
  </cols>
  <sheetData>
    <row r="1" spans="1:17" ht="27.75" customHeight="1" thickBot="1" x14ac:dyDescent="0.3">
      <c r="B1" s="46">
        <v>45627</v>
      </c>
      <c r="C1" s="43"/>
    </row>
    <row r="2" spans="1:17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45661</v>
      </c>
      <c r="K2" s="14">
        <v>45668</v>
      </c>
      <c r="L2" s="14">
        <v>45675</v>
      </c>
      <c r="M2" s="14">
        <v>45681</v>
      </c>
      <c r="N2" s="51">
        <v>45688</v>
      </c>
      <c r="O2" s="15" t="s">
        <v>17</v>
      </c>
      <c r="P2" s="28" t="s">
        <v>21</v>
      </c>
      <c r="Q2" s="29" t="s">
        <v>26</v>
      </c>
    </row>
    <row r="3" spans="1:17" ht="27.75" customHeight="1" x14ac:dyDescent="0.25">
      <c r="A3" s="44">
        <v>1</v>
      </c>
      <c r="B3" s="19" t="s">
        <v>53</v>
      </c>
      <c r="C3" s="19"/>
      <c r="D3" s="19"/>
      <c r="E3" s="20"/>
      <c r="F3" s="26">
        <v>0</v>
      </c>
      <c r="G3" s="2"/>
      <c r="H3" s="2" t="s">
        <v>0</v>
      </c>
      <c r="I3" s="6">
        <v>720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3">
        <f t="shared" ref="O3:O15" si="0">+F3+I3-J3-K3-L3-M3-N3</f>
        <v>720</v>
      </c>
      <c r="P3" s="42">
        <v>100</v>
      </c>
      <c r="Q3" s="31">
        <v>500</v>
      </c>
    </row>
    <row r="4" spans="1:17" ht="27.75" customHeight="1" x14ac:dyDescent="0.25">
      <c r="A4" s="4">
        <v>2</v>
      </c>
      <c r="B4" s="19" t="s">
        <v>48</v>
      </c>
      <c r="C4" s="19"/>
      <c r="D4" s="19"/>
      <c r="E4" s="20"/>
      <c r="F4" s="26">
        <v>2850</v>
      </c>
      <c r="G4" s="2"/>
      <c r="H4" s="2" t="s">
        <v>0</v>
      </c>
      <c r="I4" s="6">
        <v>0</v>
      </c>
      <c r="J4" s="6">
        <v>20</v>
      </c>
      <c r="K4" s="6">
        <v>108</v>
      </c>
      <c r="L4" s="6">
        <v>0</v>
      </c>
      <c r="M4" s="6">
        <v>0</v>
      </c>
      <c r="N4" s="6">
        <v>0</v>
      </c>
      <c r="O4" s="33">
        <f t="shared" si="0"/>
        <v>2722</v>
      </c>
      <c r="P4" s="42">
        <v>500</v>
      </c>
      <c r="Q4" s="31">
        <v>3000</v>
      </c>
    </row>
    <row r="5" spans="1:17" ht="27.75" customHeight="1" x14ac:dyDescent="0.25">
      <c r="A5" s="4">
        <v>3</v>
      </c>
      <c r="B5" s="19" t="s">
        <v>49</v>
      </c>
      <c r="C5" s="19"/>
      <c r="D5" s="19"/>
      <c r="E5" s="20"/>
      <c r="F5" s="26">
        <v>840</v>
      </c>
      <c r="G5" s="2"/>
      <c r="H5" s="2" t="s">
        <v>0</v>
      </c>
      <c r="I5" s="6">
        <v>1000</v>
      </c>
      <c r="J5" s="6">
        <v>100</v>
      </c>
      <c r="K5" s="6">
        <v>120</v>
      </c>
      <c r="L5" s="6">
        <v>125</v>
      </c>
      <c r="M5" s="6">
        <v>240</v>
      </c>
      <c r="N5" s="6">
        <v>3</v>
      </c>
      <c r="O5" s="33">
        <f t="shared" si="0"/>
        <v>1252</v>
      </c>
      <c r="P5" s="42">
        <v>500</v>
      </c>
      <c r="Q5" s="31">
        <v>3000</v>
      </c>
    </row>
    <row r="6" spans="1:17" ht="27.75" customHeight="1" x14ac:dyDescent="0.25">
      <c r="A6" s="4">
        <v>4</v>
      </c>
      <c r="B6" s="19" t="s">
        <v>51</v>
      </c>
      <c r="C6" s="19"/>
      <c r="D6" s="19"/>
      <c r="E6" s="20"/>
      <c r="F6" s="26">
        <v>100</v>
      </c>
      <c r="G6" s="2"/>
      <c r="H6" s="2" t="s">
        <v>0</v>
      </c>
      <c r="I6" s="6">
        <v>400</v>
      </c>
      <c r="J6" s="6">
        <v>0</v>
      </c>
      <c r="K6" s="6">
        <v>0</v>
      </c>
      <c r="L6" s="6">
        <v>0</v>
      </c>
      <c r="M6" s="6">
        <v>33</v>
      </c>
      <c r="N6" s="6">
        <v>0</v>
      </c>
      <c r="O6" s="33">
        <f t="shared" si="0"/>
        <v>467</v>
      </c>
      <c r="P6" s="42">
        <v>30</v>
      </c>
      <c r="Q6" s="31">
        <v>200</v>
      </c>
    </row>
    <row r="7" spans="1:17" ht="27.75" customHeight="1" x14ac:dyDescent="0.25">
      <c r="A7" s="4">
        <v>5</v>
      </c>
      <c r="B7" s="19" t="s">
        <v>47</v>
      </c>
      <c r="C7" s="19"/>
      <c r="D7" s="19"/>
      <c r="E7" s="20"/>
      <c r="F7" s="26">
        <v>40</v>
      </c>
      <c r="G7" s="2"/>
      <c r="H7" s="2" t="s">
        <v>0</v>
      </c>
      <c r="I7" s="6">
        <v>1000</v>
      </c>
      <c r="J7" s="6">
        <v>40</v>
      </c>
      <c r="K7" s="6">
        <v>2</v>
      </c>
      <c r="L7" s="6">
        <v>0</v>
      </c>
      <c r="M7" s="6">
        <v>0</v>
      </c>
      <c r="N7" s="6">
        <v>0</v>
      </c>
      <c r="O7" s="33">
        <f t="shared" si="0"/>
        <v>998</v>
      </c>
      <c r="P7" s="42">
        <v>400</v>
      </c>
      <c r="Q7" s="31">
        <v>3000</v>
      </c>
    </row>
    <row r="8" spans="1:17" ht="27.75" customHeight="1" x14ac:dyDescent="0.25">
      <c r="A8" s="4">
        <v>6</v>
      </c>
      <c r="B8" s="19" t="s">
        <v>5</v>
      </c>
      <c r="C8" s="19"/>
      <c r="D8" s="19"/>
      <c r="E8" s="20"/>
      <c r="F8" s="26">
        <v>10</v>
      </c>
      <c r="G8" s="2"/>
      <c r="H8" s="2" t="s">
        <v>0</v>
      </c>
      <c r="I8" s="6">
        <v>1000</v>
      </c>
      <c r="J8" s="6">
        <v>0</v>
      </c>
      <c r="K8" s="6">
        <v>100</v>
      </c>
      <c r="L8" s="6">
        <v>0</v>
      </c>
      <c r="M8" s="6">
        <v>0</v>
      </c>
      <c r="N8" s="6">
        <v>0</v>
      </c>
      <c r="O8" s="33">
        <f t="shared" si="0"/>
        <v>910</v>
      </c>
      <c r="P8" s="42">
        <v>100</v>
      </c>
      <c r="Q8" s="31">
        <v>500</v>
      </c>
    </row>
    <row r="9" spans="1:17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3">
        <f t="shared" si="0"/>
        <v>800</v>
      </c>
      <c r="P9" s="42">
        <v>300</v>
      </c>
      <c r="Q9" s="31">
        <v>5000</v>
      </c>
    </row>
    <row r="10" spans="1:17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17</v>
      </c>
      <c r="G10" s="48"/>
      <c r="H10" s="48" t="s">
        <v>0</v>
      </c>
      <c r="I10" s="6">
        <v>2000</v>
      </c>
      <c r="J10" s="6">
        <v>0</v>
      </c>
      <c r="K10" s="6">
        <v>0</v>
      </c>
      <c r="L10" s="6">
        <v>100</v>
      </c>
      <c r="M10" s="6">
        <v>0</v>
      </c>
      <c r="N10" s="6">
        <v>0</v>
      </c>
      <c r="O10" s="50">
        <f t="shared" si="0"/>
        <v>1917</v>
      </c>
      <c r="P10" s="42">
        <v>1000</v>
      </c>
      <c r="Q10" s="31">
        <v>5000</v>
      </c>
    </row>
    <row r="11" spans="1:17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470</v>
      </c>
      <c r="G11" s="48"/>
      <c r="H11" s="48" t="s">
        <v>0</v>
      </c>
      <c r="I11" s="6">
        <v>1000</v>
      </c>
      <c r="J11" s="6">
        <v>40</v>
      </c>
      <c r="K11" s="6">
        <v>0</v>
      </c>
      <c r="L11" s="6">
        <v>0</v>
      </c>
      <c r="M11" s="6">
        <v>190</v>
      </c>
      <c r="N11" s="6">
        <v>0</v>
      </c>
      <c r="O11" s="50">
        <f t="shared" si="0"/>
        <v>1240</v>
      </c>
      <c r="P11" s="42">
        <v>150</v>
      </c>
      <c r="Q11" s="31">
        <v>2000</v>
      </c>
    </row>
    <row r="12" spans="1:17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2170</v>
      </c>
      <c r="G12" s="2"/>
      <c r="H12" s="2" t="s">
        <v>0</v>
      </c>
      <c r="I12" s="6">
        <v>20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3">
        <f t="shared" si="0"/>
        <v>2190</v>
      </c>
      <c r="P12" s="42">
        <v>200</v>
      </c>
      <c r="Q12" s="31">
        <v>1000</v>
      </c>
    </row>
    <row r="13" spans="1:17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60</v>
      </c>
      <c r="G13" s="2"/>
      <c r="H13" s="2" t="s">
        <v>0</v>
      </c>
      <c r="I13" s="6">
        <v>500</v>
      </c>
      <c r="J13" s="6">
        <v>0</v>
      </c>
      <c r="K13" s="6">
        <v>101</v>
      </c>
      <c r="L13" s="6">
        <v>0</v>
      </c>
      <c r="M13" s="6">
        <v>3</v>
      </c>
      <c r="N13" s="6">
        <v>80</v>
      </c>
      <c r="O13" s="33">
        <f t="shared" si="0"/>
        <v>376</v>
      </c>
      <c r="P13" s="42">
        <v>500</v>
      </c>
      <c r="Q13" s="31">
        <v>1000</v>
      </c>
    </row>
    <row r="14" spans="1:17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3">
        <f t="shared" si="0"/>
        <v>0</v>
      </c>
      <c r="P14" s="42">
        <v>0</v>
      </c>
      <c r="Q14" s="31">
        <v>0</v>
      </c>
    </row>
    <row r="15" spans="1:17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6">
        <f t="shared" si="0"/>
        <v>0</v>
      </c>
      <c r="P15" s="42">
        <v>0</v>
      </c>
      <c r="Q15" s="2">
        <v>0</v>
      </c>
    </row>
    <row r="16" spans="1:17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33"/>
  <sheetViews>
    <sheetView zoomScaleNormal="100" workbookViewId="0">
      <selection activeCell="F3" sqref="F3"/>
    </sheetView>
  </sheetViews>
  <sheetFormatPr defaultRowHeight="15" x14ac:dyDescent="0.25"/>
  <cols>
    <col min="1" max="1" width="6.42578125" customWidth="1"/>
    <col min="5" max="5" width="9" customWidth="1"/>
    <col min="6" max="6" width="9.28515625" customWidth="1"/>
    <col min="7" max="7" width="6.7109375" hidden="1" customWidth="1"/>
    <col min="8" max="8" width="7.5703125" customWidth="1"/>
    <col min="9" max="9" width="8.7109375" customWidth="1"/>
    <col min="10" max="10" width="7.85546875" customWidth="1"/>
    <col min="11" max="11" width="10.7109375" customWidth="1"/>
    <col min="12" max="12" width="10" customWidth="1"/>
    <col min="13" max="13" width="11.28515625" customWidth="1"/>
    <col min="14" max="14" width="8" customWidth="1"/>
    <col min="15" max="15" width="12.8554687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>
        <v>45689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14">
        <v>45695</v>
      </c>
      <c r="K2" s="14">
        <v>45702</v>
      </c>
      <c r="L2" s="14">
        <v>45709</v>
      </c>
      <c r="M2" s="14">
        <v>45716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720</v>
      </c>
      <c r="G3" s="2"/>
      <c r="H3" s="2" t="s">
        <v>0</v>
      </c>
      <c r="I3" s="6">
        <v>500</v>
      </c>
      <c r="J3" s="6">
        <v>0</v>
      </c>
      <c r="K3" s="6">
        <v>0</v>
      </c>
      <c r="L3" s="6">
        <v>0</v>
      </c>
      <c r="M3" s="6">
        <v>951</v>
      </c>
      <c r="N3" s="6">
        <v>0</v>
      </c>
      <c r="O3" s="56">
        <f t="shared" ref="O3:O15" si="0">+F3+I3-J3-K3-L3-M3-N3</f>
        <v>269</v>
      </c>
      <c r="P3" s="42">
        <v>100</v>
      </c>
      <c r="Q3" s="31">
        <v>500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2480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20</v>
      </c>
      <c r="M4" s="6">
        <v>140</v>
      </c>
      <c r="N4" s="6">
        <v>0</v>
      </c>
      <c r="O4" s="56">
        <f t="shared" si="0"/>
        <v>2320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1252</v>
      </c>
      <c r="G5" s="2"/>
      <c r="H5" s="2" t="s">
        <v>0</v>
      </c>
      <c r="I5" s="6">
        <v>0</v>
      </c>
      <c r="J5" s="6">
        <v>200</v>
      </c>
      <c r="K5" s="6">
        <v>100</v>
      </c>
      <c r="L5" s="6">
        <v>100</v>
      </c>
      <c r="M5" s="6">
        <v>0</v>
      </c>
      <c r="N5" s="6">
        <v>0</v>
      </c>
      <c r="O5" s="56">
        <f t="shared" si="0"/>
        <v>852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367</v>
      </c>
      <c r="G6" s="2"/>
      <c r="H6" s="2" t="s">
        <v>0</v>
      </c>
      <c r="I6" s="6">
        <v>0</v>
      </c>
      <c r="J6" s="6">
        <v>0</v>
      </c>
      <c r="K6" s="6">
        <v>7</v>
      </c>
      <c r="L6" s="6">
        <v>0</v>
      </c>
      <c r="M6" s="6">
        <v>10</v>
      </c>
      <c r="N6" s="6">
        <v>0</v>
      </c>
      <c r="O6" s="56">
        <f t="shared" si="0"/>
        <v>350</v>
      </c>
      <c r="P6" s="42">
        <v>30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998</v>
      </c>
      <c r="G7" s="2"/>
      <c r="H7" s="2" t="s">
        <v>0</v>
      </c>
      <c r="I7" s="6">
        <v>0</v>
      </c>
      <c r="J7" s="6">
        <v>0</v>
      </c>
      <c r="K7" s="6">
        <v>64</v>
      </c>
      <c r="L7" s="6">
        <v>0</v>
      </c>
      <c r="M7" s="6">
        <v>0</v>
      </c>
      <c r="N7" s="6">
        <v>0</v>
      </c>
      <c r="O7" s="56">
        <f t="shared" si="0"/>
        <v>934</v>
      </c>
      <c r="P7" s="42">
        <v>400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1010</v>
      </c>
      <c r="G8" s="2"/>
      <c r="H8" s="2" t="s">
        <v>0</v>
      </c>
      <c r="I8" s="6">
        <v>0</v>
      </c>
      <c r="J8" s="6">
        <v>100</v>
      </c>
      <c r="K8" s="6">
        <v>0</v>
      </c>
      <c r="L8" s="6">
        <v>0</v>
      </c>
      <c r="M8" s="6">
        <v>63</v>
      </c>
      <c r="N8" s="6">
        <v>0</v>
      </c>
      <c r="O8" s="56">
        <f t="shared" si="0"/>
        <v>847</v>
      </c>
      <c r="P8" s="42">
        <v>100</v>
      </c>
      <c r="Q8" s="31">
        <v>500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5000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1810</v>
      </c>
      <c r="G10" s="48"/>
      <c r="H10" s="48" t="s">
        <v>0</v>
      </c>
      <c r="I10" s="6">
        <v>0</v>
      </c>
      <c r="J10" s="6">
        <v>200</v>
      </c>
      <c r="K10" s="6">
        <v>185</v>
      </c>
      <c r="L10" s="6">
        <v>40</v>
      </c>
      <c r="M10" s="6">
        <v>100</v>
      </c>
      <c r="N10" s="6">
        <v>0</v>
      </c>
      <c r="O10" s="57">
        <f t="shared" si="0"/>
        <v>1285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760</v>
      </c>
      <c r="G11" s="48"/>
      <c r="H11" s="48" t="s">
        <v>0</v>
      </c>
      <c r="I11" s="6">
        <v>0</v>
      </c>
      <c r="J11" s="6">
        <v>60</v>
      </c>
      <c r="K11" s="6">
        <v>120</v>
      </c>
      <c r="L11" s="6">
        <v>0</v>
      </c>
      <c r="M11" s="6">
        <v>0</v>
      </c>
      <c r="N11" s="6">
        <v>0</v>
      </c>
      <c r="O11" s="57">
        <f t="shared" si="0"/>
        <v>580</v>
      </c>
      <c r="P11" s="42">
        <v>150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2190</v>
      </c>
      <c r="G12" s="2"/>
      <c r="H12" s="2" t="s">
        <v>0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56">
        <f t="shared" si="0"/>
        <v>2189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340</v>
      </c>
      <c r="G13" s="2"/>
      <c r="H13" s="2" t="s">
        <v>0</v>
      </c>
      <c r="I13" s="6">
        <v>0</v>
      </c>
      <c r="J13" s="6">
        <v>60</v>
      </c>
      <c r="K13" s="6">
        <v>0</v>
      </c>
      <c r="L13" s="6">
        <v>0</v>
      </c>
      <c r="M13" s="6">
        <v>0</v>
      </c>
      <c r="N13" s="6">
        <v>0</v>
      </c>
      <c r="O13" s="56">
        <f t="shared" si="0"/>
        <v>280</v>
      </c>
      <c r="P13" s="42">
        <v>500</v>
      </c>
      <c r="Q13" s="31">
        <v>1000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33"/>
  <sheetViews>
    <sheetView zoomScaleNormal="100" workbookViewId="0">
      <selection activeCell="M9" sqref="M9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>
        <v>45717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45723</v>
      </c>
      <c r="K2" s="51">
        <v>45730</v>
      </c>
      <c r="L2" s="51">
        <v>45737</v>
      </c>
      <c r="M2" s="51">
        <v>45744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269</v>
      </c>
      <c r="G3" s="2"/>
      <c r="H3" s="2" t="s">
        <v>0</v>
      </c>
      <c r="I3" s="6">
        <v>0</v>
      </c>
      <c r="J3" s="6">
        <v>100</v>
      </c>
      <c r="K3" s="6">
        <v>0</v>
      </c>
      <c r="L3" s="6">
        <v>10</v>
      </c>
      <c r="M3" s="6">
        <v>0</v>
      </c>
      <c r="N3" s="6">
        <v>0</v>
      </c>
      <c r="O3" s="56">
        <f t="shared" ref="O3:O15" si="0">+F3+I3-J3-K3-L3-M3-N3</f>
        <v>159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2320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2320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852</v>
      </c>
      <c r="G5" s="2"/>
      <c r="H5" s="2" t="s">
        <v>0</v>
      </c>
      <c r="I5" s="6">
        <v>0</v>
      </c>
      <c r="J5" s="6">
        <v>0</v>
      </c>
      <c r="K5" s="6">
        <v>100</v>
      </c>
      <c r="L5" s="6">
        <v>140</v>
      </c>
      <c r="M5" s="6">
        <v>100</v>
      </c>
      <c r="N5" s="6">
        <v>0</v>
      </c>
      <c r="O5" s="56">
        <f t="shared" si="0"/>
        <v>512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350</v>
      </c>
      <c r="G6" s="2"/>
      <c r="H6" s="2" t="s">
        <v>0</v>
      </c>
      <c r="I6" s="6">
        <v>0</v>
      </c>
      <c r="J6" s="6">
        <v>10</v>
      </c>
      <c r="K6" s="6">
        <v>10</v>
      </c>
      <c r="L6" s="6">
        <v>10</v>
      </c>
      <c r="M6" s="6">
        <v>0</v>
      </c>
      <c r="N6" s="6">
        <v>0</v>
      </c>
      <c r="O6" s="56">
        <f t="shared" si="0"/>
        <v>320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934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56">
        <f t="shared" si="0"/>
        <v>934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847</v>
      </c>
      <c r="G8" s="2"/>
      <c r="H8" s="2" t="s">
        <v>0</v>
      </c>
      <c r="I8" s="6">
        <v>0</v>
      </c>
      <c r="J8" s="6">
        <v>10</v>
      </c>
      <c r="K8" s="6">
        <v>100</v>
      </c>
      <c r="L8" s="6">
        <v>0</v>
      </c>
      <c r="M8" s="6">
        <v>40</v>
      </c>
      <c r="N8" s="6">
        <v>0</v>
      </c>
      <c r="O8" s="56">
        <f t="shared" si="0"/>
        <v>697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1285</v>
      </c>
      <c r="G10" s="48"/>
      <c r="H10" s="48" t="s">
        <v>0</v>
      </c>
      <c r="I10" s="6">
        <v>0</v>
      </c>
      <c r="J10" s="6">
        <v>0</v>
      </c>
      <c r="K10" s="6">
        <v>100</v>
      </c>
      <c r="L10" s="6">
        <v>0</v>
      </c>
      <c r="M10" s="6">
        <v>0</v>
      </c>
      <c r="N10" s="6">
        <v>0</v>
      </c>
      <c r="O10" s="57">
        <f t="shared" si="0"/>
        <v>1185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580</v>
      </c>
      <c r="G11" s="48"/>
      <c r="H11" s="48" t="s">
        <v>0</v>
      </c>
      <c r="I11" s="6">
        <v>0</v>
      </c>
      <c r="J11" s="6">
        <v>30</v>
      </c>
      <c r="K11" s="6">
        <v>20</v>
      </c>
      <c r="L11" s="6">
        <v>160</v>
      </c>
      <c r="M11" s="6">
        <v>0</v>
      </c>
      <c r="N11" s="6">
        <v>0</v>
      </c>
      <c r="O11" s="57">
        <f t="shared" si="0"/>
        <v>370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2189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2189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280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50</v>
      </c>
      <c r="M13" s="6">
        <v>0</v>
      </c>
      <c r="N13" s="6">
        <v>0</v>
      </c>
      <c r="O13" s="56">
        <f t="shared" si="0"/>
        <v>230</v>
      </c>
      <c r="P13" s="42">
        <v>500</v>
      </c>
      <c r="Q13" s="31">
        <v>1000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46BF-4BF2-4DDD-B50E-29D0150546C3}">
  <dimension ref="A1:R33"/>
  <sheetViews>
    <sheetView zoomScaleNormal="100" workbookViewId="0">
      <selection activeCell="N8" sqref="N8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55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45751</v>
      </c>
      <c r="K2" s="51">
        <v>45758</v>
      </c>
      <c r="L2" s="51">
        <v>45765</v>
      </c>
      <c r="M2" s="51">
        <v>45772</v>
      </c>
      <c r="N2" s="51">
        <v>45777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159</v>
      </c>
      <c r="G3" s="2"/>
      <c r="H3" s="2" t="s">
        <v>0</v>
      </c>
      <c r="I3" s="6">
        <v>0</v>
      </c>
      <c r="J3" s="6">
        <v>0</v>
      </c>
      <c r="K3" s="6">
        <v>0</v>
      </c>
      <c r="L3" s="6">
        <v>0</v>
      </c>
      <c r="M3" s="6">
        <v>60</v>
      </c>
      <c r="N3" s="6">
        <v>0</v>
      </c>
      <c r="O3" s="56">
        <f t="shared" ref="O3:O15" si="0">+F3+I3-J3-K3-L3-M3-N3</f>
        <v>99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2320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2320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484</v>
      </c>
      <c r="G5" s="2"/>
      <c r="H5" s="2" t="s">
        <v>0</v>
      </c>
      <c r="I5" s="6">
        <v>0</v>
      </c>
      <c r="J5" s="6">
        <v>140</v>
      </c>
      <c r="K5" s="6">
        <v>220</v>
      </c>
      <c r="L5" s="6">
        <v>60</v>
      </c>
      <c r="M5" s="6">
        <v>60</v>
      </c>
      <c r="N5" s="6">
        <v>0</v>
      </c>
      <c r="O5" s="56">
        <f t="shared" si="0"/>
        <v>4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320</v>
      </c>
      <c r="G6" s="2"/>
      <c r="H6" s="2" t="s">
        <v>0</v>
      </c>
      <c r="I6" s="6">
        <v>0</v>
      </c>
      <c r="J6" s="6">
        <v>3</v>
      </c>
      <c r="K6" s="6">
        <v>0</v>
      </c>
      <c r="L6" s="6">
        <v>2</v>
      </c>
      <c r="M6" s="6">
        <v>2</v>
      </c>
      <c r="N6" s="6">
        <v>10</v>
      </c>
      <c r="O6" s="56">
        <f t="shared" si="0"/>
        <v>303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934</v>
      </c>
      <c r="G7" s="2"/>
      <c r="H7" s="2" t="s">
        <v>0</v>
      </c>
      <c r="I7" s="6">
        <v>0</v>
      </c>
      <c r="J7" s="6">
        <v>40</v>
      </c>
      <c r="K7" s="6">
        <v>0</v>
      </c>
      <c r="L7" s="6">
        <v>0</v>
      </c>
      <c r="M7" s="6">
        <v>0</v>
      </c>
      <c r="N7" s="6">
        <v>0</v>
      </c>
      <c r="O7" s="56">
        <f t="shared" si="0"/>
        <v>894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697</v>
      </c>
      <c r="G8" s="2"/>
      <c r="H8" s="2" t="s">
        <v>0</v>
      </c>
      <c r="I8" s="6">
        <v>0</v>
      </c>
      <c r="J8" s="6">
        <v>0</v>
      </c>
      <c r="K8" s="6">
        <v>60</v>
      </c>
      <c r="L8" s="6">
        <v>60</v>
      </c>
      <c r="M8" s="6">
        <v>100</v>
      </c>
      <c r="N8" s="6">
        <v>40</v>
      </c>
      <c r="O8" s="56">
        <f t="shared" si="0"/>
        <v>437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1185</v>
      </c>
      <c r="G10" s="48"/>
      <c r="H10" s="48" t="s">
        <v>0</v>
      </c>
      <c r="I10" s="6">
        <v>0</v>
      </c>
      <c r="J10" s="6">
        <v>40</v>
      </c>
      <c r="K10" s="6">
        <v>340</v>
      </c>
      <c r="L10" s="6">
        <v>120</v>
      </c>
      <c r="M10" s="6">
        <v>200</v>
      </c>
      <c r="N10" s="6">
        <v>40</v>
      </c>
      <c r="O10" s="57">
        <f t="shared" si="0"/>
        <v>445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370</v>
      </c>
      <c r="G11" s="48"/>
      <c r="H11" s="48" t="s">
        <v>0</v>
      </c>
      <c r="I11" s="6">
        <v>0</v>
      </c>
      <c r="J11" s="6">
        <v>0</v>
      </c>
      <c r="K11" s="6">
        <v>0</v>
      </c>
      <c r="L11" s="6">
        <v>0</v>
      </c>
      <c r="M11" s="6">
        <v>50</v>
      </c>
      <c r="N11" s="6">
        <v>0</v>
      </c>
      <c r="O11" s="57">
        <f t="shared" si="0"/>
        <v>320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2189</v>
      </c>
      <c r="G12" s="2"/>
      <c r="H12" s="2" t="s">
        <v>0</v>
      </c>
      <c r="I12" s="6">
        <v>0</v>
      </c>
      <c r="J12" s="6">
        <v>0</v>
      </c>
      <c r="K12" s="6">
        <v>80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240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56">
        <f t="shared" si="0"/>
        <v>240</v>
      </c>
      <c r="P13" s="42">
        <v>200</v>
      </c>
      <c r="Q13" s="31">
        <v>700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8B7C-8FA5-4B86-A20E-725084AC104A}">
  <dimension ref="A1:R33"/>
  <sheetViews>
    <sheetView zoomScaleNormal="100" workbookViewId="0">
      <selection activeCell="M11" sqref="M11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>
        <v>45778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45786</v>
      </c>
      <c r="K2" s="51">
        <v>45793</v>
      </c>
      <c r="L2" s="51">
        <v>45800</v>
      </c>
      <c r="M2" s="51">
        <v>45807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99</v>
      </c>
      <c r="G3" s="2"/>
      <c r="H3" s="2" t="s">
        <v>0</v>
      </c>
      <c r="I3" s="6">
        <v>1000</v>
      </c>
      <c r="J3" s="6">
        <v>260</v>
      </c>
      <c r="K3" s="6">
        <v>180</v>
      </c>
      <c r="L3" s="6">
        <v>100</v>
      </c>
      <c r="M3" s="6">
        <v>70</v>
      </c>
      <c r="N3" s="6">
        <v>0</v>
      </c>
      <c r="O3" s="56">
        <f t="shared" ref="O3:O15" si="0">+F3+I3-J3-K3-L3-M3-N3</f>
        <v>489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2320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2320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4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4</v>
      </c>
      <c r="N5" s="6">
        <v>0</v>
      </c>
      <c r="O5" s="56">
        <f t="shared" si="0"/>
        <v>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303</v>
      </c>
      <c r="G6" s="2"/>
      <c r="H6" s="2" t="s">
        <v>0</v>
      </c>
      <c r="I6" s="6">
        <v>0</v>
      </c>
      <c r="J6" s="6">
        <v>6</v>
      </c>
      <c r="K6" s="6">
        <v>12</v>
      </c>
      <c r="L6" s="6">
        <v>0</v>
      </c>
      <c r="M6" s="6">
        <v>5</v>
      </c>
      <c r="N6" s="6">
        <v>0</v>
      </c>
      <c r="O6" s="56">
        <f t="shared" si="0"/>
        <v>280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894</v>
      </c>
      <c r="G7" s="2"/>
      <c r="H7" s="2" t="s">
        <v>0</v>
      </c>
      <c r="I7" s="6">
        <v>0</v>
      </c>
      <c r="J7" s="6">
        <v>22</v>
      </c>
      <c r="K7" s="6">
        <v>0</v>
      </c>
      <c r="L7" s="6">
        <v>60</v>
      </c>
      <c r="M7" s="6">
        <v>0</v>
      </c>
      <c r="N7" s="6">
        <v>0</v>
      </c>
      <c r="O7" s="56">
        <f t="shared" si="0"/>
        <v>812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437</v>
      </c>
      <c r="G8" s="2"/>
      <c r="H8" s="2" t="s">
        <v>0</v>
      </c>
      <c r="I8" s="6">
        <v>500</v>
      </c>
      <c r="J8" s="6">
        <v>120</v>
      </c>
      <c r="K8" s="6">
        <v>80</v>
      </c>
      <c r="L8" s="6">
        <v>0</v>
      </c>
      <c r="M8" s="6">
        <v>4</v>
      </c>
      <c r="N8" s="6">
        <v>0</v>
      </c>
      <c r="O8" s="56">
        <f t="shared" si="0"/>
        <v>733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445</v>
      </c>
      <c r="G10" s="48"/>
      <c r="H10" s="48" t="s">
        <v>0</v>
      </c>
      <c r="I10" s="6">
        <v>1000</v>
      </c>
      <c r="J10" s="6">
        <v>180</v>
      </c>
      <c r="K10" s="6">
        <v>0</v>
      </c>
      <c r="L10" s="6">
        <v>140</v>
      </c>
      <c r="M10" s="6">
        <v>80</v>
      </c>
      <c r="N10" s="6">
        <v>0</v>
      </c>
      <c r="O10" s="57">
        <f t="shared" si="0"/>
        <v>1045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320</v>
      </c>
      <c r="G11" s="48"/>
      <c r="H11" s="48" t="s">
        <v>0</v>
      </c>
      <c r="I11" s="6">
        <v>0</v>
      </c>
      <c r="J11" s="6">
        <v>10</v>
      </c>
      <c r="K11" s="6">
        <v>0</v>
      </c>
      <c r="L11" s="6">
        <v>0</v>
      </c>
      <c r="M11" s="6">
        <v>50</v>
      </c>
      <c r="N11" s="6">
        <v>0</v>
      </c>
      <c r="O11" s="57">
        <f t="shared" si="0"/>
        <v>260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240</v>
      </c>
      <c r="G13" s="2"/>
      <c r="H13" s="2" t="s">
        <v>0</v>
      </c>
      <c r="I13" s="6">
        <v>0</v>
      </c>
      <c r="J13" s="6">
        <v>2</v>
      </c>
      <c r="K13" s="6">
        <v>8</v>
      </c>
      <c r="L13" s="6">
        <v>0</v>
      </c>
      <c r="M13" s="6">
        <v>0</v>
      </c>
      <c r="N13" s="6">
        <v>0</v>
      </c>
      <c r="O13" s="56">
        <f t="shared" si="0"/>
        <v>230</v>
      </c>
      <c r="P13" s="42">
        <v>200</v>
      </c>
      <c r="Q13" s="31">
        <v>700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E57F-EF3B-4366-B94D-459DCD4BFCA5}">
  <dimension ref="A1:R33"/>
  <sheetViews>
    <sheetView zoomScaleNormal="100" workbookViewId="0">
      <selection activeCell="M3" sqref="M3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56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45814</v>
      </c>
      <c r="K2" s="51">
        <v>45821</v>
      </c>
      <c r="L2" s="51">
        <v>45828</v>
      </c>
      <c r="M2" s="51">
        <v>45835</v>
      </c>
      <c r="N2" s="51">
        <v>45838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489</v>
      </c>
      <c r="G3" s="2"/>
      <c r="H3" s="2" t="s">
        <v>0</v>
      </c>
      <c r="I3" s="6">
        <v>0</v>
      </c>
      <c r="J3" s="6">
        <v>0</v>
      </c>
      <c r="K3" s="6">
        <v>120</v>
      </c>
      <c r="L3" s="6">
        <v>102</v>
      </c>
      <c r="M3" s="6">
        <v>100</v>
      </c>
      <c r="N3" s="6">
        <v>0</v>
      </c>
      <c r="O3" s="56">
        <f t="shared" ref="O3:O15" si="0">+F3+I3-J3-K3-L3-M3-N3</f>
        <v>167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2320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2320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6">
        <f t="shared" si="0"/>
        <v>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280</v>
      </c>
      <c r="G6" s="2"/>
      <c r="H6" s="2" t="s">
        <v>0</v>
      </c>
      <c r="I6" s="6">
        <v>0</v>
      </c>
      <c r="J6" s="6">
        <v>0</v>
      </c>
      <c r="K6" s="6">
        <v>15</v>
      </c>
      <c r="L6" s="6">
        <v>9</v>
      </c>
      <c r="M6" s="6">
        <v>4</v>
      </c>
      <c r="N6" s="6">
        <v>0</v>
      </c>
      <c r="O6" s="56">
        <f t="shared" si="0"/>
        <v>252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812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120</v>
      </c>
      <c r="M7" s="6">
        <v>55</v>
      </c>
      <c r="N7" s="6">
        <v>0</v>
      </c>
      <c r="O7" s="56">
        <f t="shared" si="0"/>
        <v>637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733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56">
        <f t="shared" si="0"/>
        <v>733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1045</v>
      </c>
      <c r="G10" s="48"/>
      <c r="H10" s="48" t="s">
        <v>0</v>
      </c>
      <c r="I10" s="6">
        <v>0</v>
      </c>
      <c r="J10" s="6">
        <v>0</v>
      </c>
      <c r="K10" s="6">
        <v>120</v>
      </c>
      <c r="L10" s="6">
        <v>200</v>
      </c>
      <c r="M10" s="6">
        <v>0</v>
      </c>
      <c r="N10" s="6">
        <v>0</v>
      </c>
      <c r="O10" s="57">
        <f t="shared" si="0"/>
        <v>725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260</v>
      </c>
      <c r="G11" s="48"/>
      <c r="H11" s="48" t="s">
        <v>0</v>
      </c>
      <c r="I11" s="6">
        <v>0</v>
      </c>
      <c r="J11" s="6">
        <v>0</v>
      </c>
      <c r="K11" s="6">
        <v>20</v>
      </c>
      <c r="L11" s="6">
        <v>20</v>
      </c>
      <c r="M11" s="6">
        <v>25</v>
      </c>
      <c r="N11" s="6">
        <v>0</v>
      </c>
      <c r="O11" s="57">
        <f t="shared" si="0"/>
        <v>195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230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4</v>
      </c>
      <c r="M13" s="6">
        <v>16</v>
      </c>
      <c r="N13" s="6">
        <v>0</v>
      </c>
      <c r="O13" s="56">
        <f t="shared" si="0"/>
        <v>210</v>
      </c>
      <c r="P13" s="42">
        <v>200</v>
      </c>
      <c r="Q13" s="31">
        <v>700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EA3F-FC2B-482B-B168-96009CBBA58A}">
  <dimension ref="A1:R33"/>
  <sheetViews>
    <sheetView zoomScaleNormal="100" workbookViewId="0">
      <selection activeCell="N7" sqref="N7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57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45842</v>
      </c>
      <c r="K2" s="51">
        <v>45849</v>
      </c>
      <c r="L2" s="51">
        <v>45856</v>
      </c>
      <c r="M2" s="51">
        <v>45863</v>
      </c>
      <c r="N2" s="51">
        <v>45869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167</v>
      </c>
      <c r="G3" s="2"/>
      <c r="H3" s="2" t="s">
        <v>0</v>
      </c>
      <c r="I3" s="6">
        <v>1000</v>
      </c>
      <c r="J3" s="6">
        <v>80</v>
      </c>
      <c r="K3" s="6">
        <v>0</v>
      </c>
      <c r="L3" s="6">
        <v>20</v>
      </c>
      <c r="M3" s="6">
        <v>180</v>
      </c>
      <c r="N3" s="6">
        <v>120</v>
      </c>
      <c r="O3" s="56">
        <f t="shared" ref="O3:O15" si="0">+F3+I3-J3-K3-L3-M3-N3</f>
        <v>767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2320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60</v>
      </c>
      <c r="O4" s="56">
        <f t="shared" si="0"/>
        <v>2260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6">
        <f t="shared" si="0"/>
        <v>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252</v>
      </c>
      <c r="G6" s="2"/>
      <c r="H6" s="2" t="s">
        <v>0</v>
      </c>
      <c r="I6" s="6">
        <v>0</v>
      </c>
      <c r="J6" s="6">
        <v>10</v>
      </c>
      <c r="K6" s="6">
        <v>9</v>
      </c>
      <c r="L6" s="6">
        <v>6</v>
      </c>
      <c r="M6" s="6">
        <v>3</v>
      </c>
      <c r="N6" s="6">
        <v>10</v>
      </c>
      <c r="O6" s="56">
        <f t="shared" si="0"/>
        <v>214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637</v>
      </c>
      <c r="G7" s="2"/>
      <c r="H7" s="2" t="s">
        <v>0</v>
      </c>
      <c r="I7" s="6">
        <v>0</v>
      </c>
      <c r="J7" s="6">
        <v>0</v>
      </c>
      <c r="K7" s="6">
        <v>20</v>
      </c>
      <c r="L7" s="6">
        <v>80</v>
      </c>
      <c r="M7" s="6">
        <v>0</v>
      </c>
      <c r="N7" s="6">
        <v>0</v>
      </c>
      <c r="O7" s="56">
        <f t="shared" si="0"/>
        <v>537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733</v>
      </c>
      <c r="G8" s="2"/>
      <c r="H8" s="2" t="s">
        <v>0</v>
      </c>
      <c r="I8" s="6">
        <v>0</v>
      </c>
      <c r="J8" s="6">
        <v>0</v>
      </c>
      <c r="K8" s="6">
        <v>60</v>
      </c>
      <c r="L8" s="6">
        <v>40</v>
      </c>
      <c r="M8" s="6">
        <v>80</v>
      </c>
      <c r="N8" s="6">
        <v>0</v>
      </c>
      <c r="O8" s="56">
        <f t="shared" si="0"/>
        <v>553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725</v>
      </c>
      <c r="G10" s="48"/>
      <c r="H10" s="48" t="s">
        <v>0</v>
      </c>
      <c r="I10" s="6">
        <v>0</v>
      </c>
      <c r="J10" s="6">
        <v>120</v>
      </c>
      <c r="K10" s="6">
        <v>41</v>
      </c>
      <c r="L10" s="6">
        <v>196</v>
      </c>
      <c r="M10" s="6">
        <v>0</v>
      </c>
      <c r="N10" s="6">
        <v>0</v>
      </c>
      <c r="O10" s="57">
        <f t="shared" si="0"/>
        <v>368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195</v>
      </c>
      <c r="G11" s="48"/>
      <c r="H11" s="48" t="s">
        <v>0</v>
      </c>
      <c r="I11" s="6">
        <v>0</v>
      </c>
      <c r="J11" s="6">
        <v>0</v>
      </c>
      <c r="K11" s="6">
        <v>20</v>
      </c>
      <c r="L11" s="6">
        <v>30</v>
      </c>
      <c r="M11" s="6">
        <v>0</v>
      </c>
      <c r="N11" s="6">
        <v>0</v>
      </c>
      <c r="O11" s="57">
        <f t="shared" si="0"/>
        <v>145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210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56">
        <f t="shared" si="0"/>
        <v>210</v>
      </c>
      <c r="P13" s="42">
        <v>200</v>
      </c>
      <c r="Q13" s="31">
        <v>700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22BA-B725-40E9-8F1F-0815B7F3913C}">
  <dimension ref="A1:R33"/>
  <sheetViews>
    <sheetView zoomScaleNormal="100" workbookViewId="0">
      <selection activeCell="M4" sqref="M4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58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45877</v>
      </c>
      <c r="K2" s="51">
        <v>45884</v>
      </c>
      <c r="L2" s="51">
        <v>45891</v>
      </c>
      <c r="M2" s="51">
        <v>45898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767</v>
      </c>
      <c r="G3" s="2"/>
      <c r="H3" s="2" t="s">
        <v>0</v>
      </c>
      <c r="I3" s="6">
        <v>0</v>
      </c>
      <c r="J3" s="6">
        <v>0</v>
      </c>
      <c r="K3" s="6">
        <v>140</v>
      </c>
      <c r="L3" s="6">
        <v>120</v>
      </c>
      <c r="M3" s="6">
        <v>140</v>
      </c>
      <c r="N3" s="6">
        <v>0</v>
      </c>
      <c r="O3" s="56">
        <f t="shared" ref="O3:O15" si="0">+F3+I3-J3-K3-L3-M3-N3</f>
        <v>367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2260</v>
      </c>
      <c r="G4" s="2"/>
      <c r="H4" s="2" t="s">
        <v>0</v>
      </c>
      <c r="I4" s="6">
        <v>0</v>
      </c>
      <c r="J4" s="6">
        <v>0</v>
      </c>
      <c r="K4" s="6">
        <v>321</v>
      </c>
      <c r="L4" s="6">
        <v>0</v>
      </c>
      <c r="M4" s="6">
        <v>380</v>
      </c>
      <c r="N4" s="6">
        <v>0</v>
      </c>
      <c r="O4" s="56">
        <f t="shared" si="0"/>
        <v>1559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6">
        <f t="shared" si="0"/>
        <v>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214</v>
      </c>
      <c r="G6" s="2"/>
      <c r="H6" s="2" t="s">
        <v>0</v>
      </c>
      <c r="I6" s="6">
        <v>0</v>
      </c>
      <c r="J6" s="6">
        <v>17</v>
      </c>
      <c r="K6" s="6">
        <v>17</v>
      </c>
      <c r="L6" s="6">
        <v>0</v>
      </c>
      <c r="M6" s="6">
        <v>0</v>
      </c>
      <c r="N6" s="6">
        <v>0</v>
      </c>
      <c r="O6" s="56">
        <f t="shared" si="0"/>
        <v>180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537</v>
      </c>
      <c r="G7" s="2"/>
      <c r="H7" s="2" t="s">
        <v>0</v>
      </c>
      <c r="I7" s="6">
        <v>0</v>
      </c>
      <c r="J7" s="6">
        <v>50</v>
      </c>
      <c r="K7" s="6">
        <v>0</v>
      </c>
      <c r="L7" s="6">
        <v>0</v>
      </c>
      <c r="M7" s="6">
        <v>50</v>
      </c>
      <c r="N7" s="6">
        <v>0</v>
      </c>
      <c r="O7" s="56">
        <f t="shared" si="0"/>
        <v>437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553</v>
      </c>
      <c r="G8" s="2"/>
      <c r="H8" s="2" t="s">
        <v>0</v>
      </c>
      <c r="I8" s="6">
        <v>0</v>
      </c>
      <c r="J8" s="6">
        <v>100</v>
      </c>
      <c r="K8" s="6">
        <v>0</v>
      </c>
      <c r="L8" s="6">
        <v>100</v>
      </c>
      <c r="M8" s="6">
        <v>0</v>
      </c>
      <c r="N8" s="6">
        <v>0</v>
      </c>
      <c r="O8" s="56">
        <f t="shared" si="0"/>
        <v>353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368</v>
      </c>
      <c r="G10" s="48"/>
      <c r="H10" s="48" t="s">
        <v>0</v>
      </c>
      <c r="I10" s="6">
        <v>0</v>
      </c>
      <c r="J10" s="6">
        <v>200</v>
      </c>
      <c r="K10" s="6">
        <v>0</v>
      </c>
      <c r="L10" s="6">
        <v>100</v>
      </c>
      <c r="M10" s="6">
        <v>0</v>
      </c>
      <c r="N10" s="6">
        <v>0</v>
      </c>
      <c r="O10" s="57">
        <f t="shared" si="0"/>
        <v>68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145</v>
      </c>
      <c r="G11" s="48"/>
      <c r="H11" s="48" t="s">
        <v>0</v>
      </c>
      <c r="I11" s="6">
        <v>0</v>
      </c>
      <c r="J11" s="6">
        <v>0</v>
      </c>
      <c r="K11" s="6">
        <v>0</v>
      </c>
      <c r="L11" s="6">
        <v>20</v>
      </c>
      <c r="M11" s="6">
        <v>0</v>
      </c>
      <c r="N11" s="6">
        <v>0</v>
      </c>
      <c r="O11" s="57">
        <f t="shared" si="0"/>
        <v>125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210</v>
      </c>
      <c r="G13" s="2"/>
      <c r="H13" s="2" t="s">
        <v>0</v>
      </c>
      <c r="I13" s="6">
        <v>0</v>
      </c>
      <c r="J13" s="6">
        <v>20</v>
      </c>
      <c r="K13" s="6">
        <v>0</v>
      </c>
      <c r="L13" s="6">
        <v>0</v>
      </c>
      <c r="M13" s="6">
        <v>40</v>
      </c>
      <c r="N13" s="6">
        <v>0</v>
      </c>
      <c r="O13" s="56">
        <f t="shared" si="0"/>
        <v>150</v>
      </c>
      <c r="P13" s="42">
        <v>200</v>
      </c>
      <c r="Q13" s="31">
        <v>700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5225-B832-40CA-BCD1-70C86310FE7A}">
  <dimension ref="A1:R33"/>
  <sheetViews>
    <sheetView zoomScaleNormal="100" workbookViewId="0">
      <selection activeCell="N3" sqref="N3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59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45905</v>
      </c>
      <c r="K2" s="51">
        <v>45912</v>
      </c>
      <c r="L2" s="51">
        <v>45919</v>
      </c>
      <c r="M2" s="51">
        <v>45926</v>
      </c>
      <c r="N2" s="51">
        <v>45930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690</v>
      </c>
      <c r="G3" s="2"/>
      <c r="H3" s="2" t="s">
        <v>0</v>
      </c>
      <c r="I3" s="6">
        <v>1000</v>
      </c>
      <c r="J3" s="6">
        <v>240</v>
      </c>
      <c r="K3" s="6">
        <v>0</v>
      </c>
      <c r="L3" s="6">
        <v>170</v>
      </c>
      <c r="M3" s="6">
        <v>140</v>
      </c>
      <c r="N3" s="6">
        <v>670</v>
      </c>
      <c r="O3" s="56">
        <f t="shared" ref="O3:O15" si="0">+F3+I3-J3-K3-L3-M3-N3</f>
        <v>470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1700</v>
      </c>
      <c r="G4" s="2"/>
      <c r="H4" s="2" t="s">
        <v>0</v>
      </c>
      <c r="I4" s="6">
        <v>0</v>
      </c>
      <c r="J4" s="6">
        <v>140</v>
      </c>
      <c r="K4" s="6">
        <v>440</v>
      </c>
      <c r="L4" s="6">
        <v>180</v>
      </c>
      <c r="M4" s="6">
        <v>40</v>
      </c>
      <c r="N4" s="6">
        <v>0</v>
      </c>
      <c r="O4" s="56">
        <f t="shared" si="0"/>
        <v>900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6">
        <f t="shared" si="0"/>
        <v>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286</v>
      </c>
      <c r="G6" s="2"/>
      <c r="H6" s="2" t="s">
        <v>0</v>
      </c>
      <c r="I6" s="6">
        <v>0</v>
      </c>
      <c r="J6" s="6">
        <v>6</v>
      </c>
      <c r="K6" s="6">
        <v>15</v>
      </c>
      <c r="L6" s="6">
        <v>5</v>
      </c>
      <c r="M6" s="6">
        <v>0</v>
      </c>
      <c r="N6" s="6">
        <v>0</v>
      </c>
      <c r="O6" s="56">
        <f t="shared" si="0"/>
        <v>260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320</v>
      </c>
      <c r="G7" s="2"/>
      <c r="H7" s="2" t="s">
        <v>0</v>
      </c>
      <c r="I7" s="6">
        <v>500</v>
      </c>
      <c r="J7" s="6">
        <v>0</v>
      </c>
      <c r="K7" s="6">
        <v>0</v>
      </c>
      <c r="L7" s="6">
        <v>0</v>
      </c>
      <c r="M7" s="6">
        <v>100</v>
      </c>
      <c r="N7" s="6">
        <v>160</v>
      </c>
      <c r="O7" s="56">
        <f t="shared" si="0"/>
        <v>560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340</v>
      </c>
      <c r="G8" s="2"/>
      <c r="H8" s="2" t="s">
        <v>0</v>
      </c>
      <c r="I8" s="6">
        <v>1000</v>
      </c>
      <c r="J8" s="6">
        <v>320</v>
      </c>
      <c r="K8" s="6">
        <v>0</v>
      </c>
      <c r="L8" s="6">
        <v>0</v>
      </c>
      <c r="M8" s="6">
        <v>0</v>
      </c>
      <c r="N8" s="6">
        <v>0</v>
      </c>
      <c r="O8" s="56">
        <f t="shared" si="0"/>
        <v>1020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15</v>
      </c>
      <c r="G10" s="48"/>
      <c r="H10" s="48" t="s">
        <v>0</v>
      </c>
      <c r="I10" s="6">
        <v>1000</v>
      </c>
      <c r="J10" s="6">
        <v>0</v>
      </c>
      <c r="K10" s="6">
        <v>0</v>
      </c>
      <c r="L10" s="6">
        <v>0</v>
      </c>
      <c r="M10" s="6">
        <v>0</v>
      </c>
      <c r="N10" s="6">
        <v>140</v>
      </c>
      <c r="O10" s="57">
        <f t="shared" si="0"/>
        <v>875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72</v>
      </c>
      <c r="G11" s="48"/>
      <c r="H11" s="48" t="s">
        <v>0</v>
      </c>
      <c r="I11" s="6">
        <v>500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57">
        <f t="shared" si="0"/>
        <v>572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230</v>
      </c>
      <c r="G13" s="2"/>
      <c r="H13" s="2" t="s">
        <v>0</v>
      </c>
      <c r="I13" s="6">
        <v>359</v>
      </c>
      <c r="J13" s="6">
        <v>150</v>
      </c>
      <c r="K13" s="6">
        <v>0</v>
      </c>
      <c r="L13" s="6">
        <v>75</v>
      </c>
      <c r="M13" s="6">
        <v>0</v>
      </c>
      <c r="N13" s="6">
        <v>0</v>
      </c>
      <c r="O13" s="56">
        <f t="shared" si="0"/>
        <v>364</v>
      </c>
      <c r="P13" s="42">
        <v>100</v>
      </c>
      <c r="Q13" s="31">
        <v>500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BF7D-6773-4422-A32C-90001A63C1DB}">
  <dimension ref="A1:R33"/>
  <sheetViews>
    <sheetView topLeftCell="A7" zoomScaleNormal="100" workbookViewId="0">
      <selection activeCell="M10" sqref="M10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60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45940</v>
      </c>
      <c r="K2" s="51">
        <v>45947</v>
      </c>
      <c r="L2" s="51">
        <v>45954</v>
      </c>
      <c r="M2" s="51">
        <v>45961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470</v>
      </c>
      <c r="G3" s="2"/>
      <c r="H3" s="2" t="s">
        <v>0</v>
      </c>
      <c r="I3" s="6">
        <v>0</v>
      </c>
      <c r="J3" s="6">
        <v>0</v>
      </c>
      <c r="K3" s="6">
        <v>0</v>
      </c>
      <c r="L3" s="6">
        <v>20</v>
      </c>
      <c r="M3" s="6">
        <v>140</v>
      </c>
      <c r="N3" s="6">
        <v>0</v>
      </c>
      <c r="O3" s="56">
        <f t="shared" ref="O3:O15" si="0">+F3+I3-J3-K3-L3-M3-N3</f>
        <v>310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900</v>
      </c>
      <c r="G4" s="2"/>
      <c r="H4" s="2" t="s">
        <v>0</v>
      </c>
      <c r="I4" s="6">
        <v>20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920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0</v>
      </c>
      <c r="G5" s="2"/>
      <c r="H5" s="2" t="s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56">
        <f t="shared" si="0"/>
        <v>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260</v>
      </c>
      <c r="G6" s="2"/>
      <c r="H6" s="2" t="s">
        <v>0</v>
      </c>
      <c r="I6" s="6">
        <v>0</v>
      </c>
      <c r="J6" s="6">
        <v>0</v>
      </c>
      <c r="K6" s="6">
        <v>27</v>
      </c>
      <c r="L6" s="6">
        <v>0</v>
      </c>
      <c r="M6" s="6">
        <v>17</v>
      </c>
      <c r="N6" s="6">
        <v>0</v>
      </c>
      <c r="O6" s="56">
        <f t="shared" si="0"/>
        <v>216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560</v>
      </c>
      <c r="G7" s="2"/>
      <c r="H7" s="2" t="s">
        <v>0</v>
      </c>
      <c r="I7" s="6">
        <v>0</v>
      </c>
      <c r="J7" s="6">
        <v>20</v>
      </c>
      <c r="K7" s="6">
        <v>140</v>
      </c>
      <c r="L7" s="6">
        <v>0</v>
      </c>
      <c r="M7" s="6">
        <v>160</v>
      </c>
      <c r="N7" s="6">
        <v>0</v>
      </c>
      <c r="O7" s="56">
        <f t="shared" si="0"/>
        <v>240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1020</v>
      </c>
      <c r="G8" s="2"/>
      <c r="H8" s="2" t="s">
        <v>0</v>
      </c>
      <c r="I8" s="6">
        <v>0</v>
      </c>
      <c r="J8" s="6">
        <v>80</v>
      </c>
      <c r="K8" s="6">
        <v>0</v>
      </c>
      <c r="L8" s="6">
        <v>0</v>
      </c>
      <c r="M8" s="6">
        <v>0</v>
      </c>
      <c r="N8" s="6">
        <v>0</v>
      </c>
      <c r="O8" s="56">
        <f t="shared" si="0"/>
        <v>940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875</v>
      </c>
      <c r="G10" s="48"/>
      <c r="H10" s="48" t="s">
        <v>0</v>
      </c>
      <c r="I10" s="6">
        <v>1000</v>
      </c>
      <c r="J10" s="6">
        <v>140</v>
      </c>
      <c r="K10" s="6">
        <v>200</v>
      </c>
      <c r="L10" s="6">
        <v>0</v>
      </c>
      <c r="M10" s="6">
        <v>120</v>
      </c>
      <c r="N10" s="6">
        <v>0</v>
      </c>
      <c r="O10" s="57">
        <f t="shared" si="0"/>
        <v>1415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572</v>
      </c>
      <c r="G11" s="48"/>
      <c r="H11" s="48" t="s">
        <v>0</v>
      </c>
      <c r="I11" s="6">
        <v>0</v>
      </c>
      <c r="J11" s="6">
        <v>70</v>
      </c>
      <c r="K11" s="6">
        <v>40</v>
      </c>
      <c r="L11" s="6">
        <v>0</v>
      </c>
      <c r="M11" s="6">
        <v>0</v>
      </c>
      <c r="N11" s="6">
        <v>0</v>
      </c>
      <c r="O11" s="57">
        <f t="shared" si="0"/>
        <v>462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364</v>
      </c>
      <c r="G13" s="2"/>
      <c r="H13" s="2" t="s">
        <v>0</v>
      </c>
      <c r="I13" s="6">
        <v>0</v>
      </c>
      <c r="J13" s="6">
        <v>0</v>
      </c>
      <c r="K13" s="6">
        <v>20</v>
      </c>
      <c r="L13" s="6">
        <v>100</v>
      </c>
      <c r="M13" s="6">
        <v>0</v>
      </c>
      <c r="N13" s="6">
        <v>0</v>
      </c>
      <c r="O13" s="56">
        <f t="shared" si="0"/>
        <v>244</v>
      </c>
      <c r="P13" s="42">
        <v>100</v>
      </c>
      <c r="Q13" s="31">
        <v>500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portrait" r:id="rId1"/>
  <colBreaks count="1" manualBreakCount="1">
    <brk id="17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75A8-8ED3-462F-AB31-F25AEFA49422}">
  <dimension ref="A1:R33"/>
  <sheetViews>
    <sheetView topLeftCell="A4" zoomScaleNormal="100" workbookViewId="0">
      <selection activeCell="M6" sqref="M6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61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45968</v>
      </c>
      <c r="K2" s="51">
        <v>45975</v>
      </c>
      <c r="L2" s="51">
        <v>45982</v>
      </c>
      <c r="M2" s="51">
        <v>45989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310</v>
      </c>
      <c r="G3" s="2"/>
      <c r="H3" s="2" t="s">
        <v>0</v>
      </c>
      <c r="I3" s="6">
        <v>0</v>
      </c>
      <c r="J3" s="6">
        <v>60</v>
      </c>
      <c r="K3" s="6">
        <v>0</v>
      </c>
      <c r="L3" s="6">
        <v>0</v>
      </c>
      <c r="M3" s="6">
        <v>0</v>
      </c>
      <c r="N3" s="6">
        <v>0</v>
      </c>
      <c r="O3" s="56">
        <f t="shared" ref="O3:O15" si="0">+F3+I3-J3-K3-L3-M3-N3</f>
        <v>250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920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920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0</v>
      </c>
      <c r="G5" s="2"/>
      <c r="H5" s="2" t="s">
        <v>0</v>
      </c>
      <c r="I5" s="6">
        <v>1000</v>
      </c>
      <c r="J5" s="6">
        <v>0</v>
      </c>
      <c r="K5" s="6">
        <v>220</v>
      </c>
      <c r="L5" s="6">
        <v>180</v>
      </c>
      <c r="M5" s="6">
        <v>100</v>
      </c>
      <c r="N5" s="6">
        <v>0</v>
      </c>
      <c r="O5" s="56">
        <f t="shared" si="0"/>
        <v>500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216</v>
      </c>
      <c r="G6" s="2"/>
      <c r="H6" s="2" t="s">
        <v>0</v>
      </c>
      <c r="I6" s="6">
        <v>0</v>
      </c>
      <c r="J6" s="6">
        <v>0</v>
      </c>
      <c r="K6" s="6">
        <v>0</v>
      </c>
      <c r="L6" s="6">
        <v>4</v>
      </c>
      <c r="M6" s="6">
        <v>40</v>
      </c>
      <c r="N6" s="6">
        <v>0</v>
      </c>
      <c r="O6" s="56">
        <f t="shared" si="0"/>
        <v>172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240</v>
      </c>
      <c r="G7" s="2"/>
      <c r="H7" s="2" t="s">
        <v>0</v>
      </c>
      <c r="I7" s="6">
        <v>1000</v>
      </c>
      <c r="J7" s="6">
        <v>40</v>
      </c>
      <c r="K7" s="6">
        <v>0</v>
      </c>
      <c r="L7" s="6">
        <v>0</v>
      </c>
      <c r="M7" s="6">
        <v>0</v>
      </c>
      <c r="N7" s="6">
        <v>0</v>
      </c>
      <c r="O7" s="56">
        <f t="shared" si="0"/>
        <v>1200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940</v>
      </c>
      <c r="G8" s="2"/>
      <c r="H8" s="2" t="s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56">
        <f t="shared" si="0"/>
        <v>940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1415</v>
      </c>
      <c r="G10" s="48"/>
      <c r="H10" s="48" t="s">
        <v>0</v>
      </c>
      <c r="I10" s="6">
        <v>0</v>
      </c>
      <c r="J10" s="6">
        <v>400</v>
      </c>
      <c r="K10" s="6">
        <v>80</v>
      </c>
      <c r="L10" s="6">
        <v>90</v>
      </c>
      <c r="M10" s="6">
        <v>360</v>
      </c>
      <c r="N10" s="6">
        <v>0</v>
      </c>
      <c r="O10" s="57">
        <f t="shared" si="0"/>
        <v>485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462</v>
      </c>
      <c r="G11" s="48"/>
      <c r="H11" s="48" t="s">
        <v>0</v>
      </c>
      <c r="I11" s="6">
        <v>0</v>
      </c>
      <c r="J11" s="6">
        <v>0</v>
      </c>
      <c r="K11" s="6">
        <v>30</v>
      </c>
      <c r="L11" s="6">
        <v>20</v>
      </c>
      <c r="M11" s="6">
        <v>0</v>
      </c>
      <c r="N11" s="6">
        <v>0</v>
      </c>
      <c r="O11" s="57">
        <f t="shared" si="0"/>
        <v>412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2109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244</v>
      </c>
      <c r="G13" s="2"/>
      <c r="H13" s="2" t="s">
        <v>0</v>
      </c>
      <c r="I13" s="6">
        <v>0</v>
      </c>
      <c r="J13" s="6">
        <v>0</v>
      </c>
      <c r="K13" s="6">
        <v>80</v>
      </c>
      <c r="L13" s="6">
        <v>0</v>
      </c>
      <c r="M13" s="6">
        <v>0</v>
      </c>
      <c r="N13" s="6">
        <v>0</v>
      </c>
      <c r="O13" s="56">
        <f t="shared" si="0"/>
        <v>164</v>
      </c>
      <c r="P13" s="42">
        <v>100</v>
      </c>
      <c r="Q13" s="31">
        <v>500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landscape" horizontalDpi="4294967293" r:id="rId1"/>
  <colBreaks count="1" manualBreakCount="1">
    <brk id="17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81B9-3186-4645-9576-8BC50E3EC718}">
  <dimension ref="A1:R33"/>
  <sheetViews>
    <sheetView topLeftCell="A5" zoomScaleNormal="100" workbookViewId="0">
      <selection activeCell="N12" sqref="N12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62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45996</v>
      </c>
      <c r="K2" s="51">
        <v>46003</v>
      </c>
      <c r="L2" s="51">
        <v>46010</v>
      </c>
      <c r="M2" s="51">
        <v>46017</v>
      </c>
      <c r="N2" s="51">
        <v>46022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250</v>
      </c>
      <c r="G3" s="2"/>
      <c r="H3" s="2" t="s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56">
        <f t="shared" ref="O3:O15" si="0">+F3+I3-J3-K3-L3-M3-N3</f>
        <v>250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920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920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500</v>
      </c>
      <c r="G5" s="2"/>
      <c r="H5" s="2" t="s">
        <v>0</v>
      </c>
      <c r="I5" s="6">
        <v>1000</v>
      </c>
      <c r="J5" s="6">
        <v>0</v>
      </c>
      <c r="K5" s="6">
        <v>60</v>
      </c>
      <c r="L5" s="6">
        <v>100</v>
      </c>
      <c r="M5" s="6">
        <v>160</v>
      </c>
      <c r="N5" s="6">
        <v>0</v>
      </c>
      <c r="O5" s="56">
        <f t="shared" si="0"/>
        <v>1180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172</v>
      </c>
      <c r="G6" s="2"/>
      <c r="H6" s="2" t="s">
        <v>0</v>
      </c>
      <c r="I6" s="6">
        <v>0</v>
      </c>
      <c r="J6" s="6">
        <v>25</v>
      </c>
      <c r="K6" s="6">
        <v>0</v>
      </c>
      <c r="L6" s="6">
        <v>35</v>
      </c>
      <c r="M6" s="6">
        <v>0</v>
      </c>
      <c r="N6" s="6">
        <v>0</v>
      </c>
      <c r="O6" s="56">
        <f t="shared" si="0"/>
        <v>112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1200</v>
      </c>
      <c r="G7" s="2"/>
      <c r="H7" s="2" t="s">
        <v>0</v>
      </c>
      <c r="I7" s="6">
        <v>0</v>
      </c>
      <c r="J7" s="6">
        <v>20</v>
      </c>
      <c r="K7" s="6">
        <v>0</v>
      </c>
      <c r="L7" s="6">
        <v>0</v>
      </c>
      <c r="M7" s="6">
        <v>80</v>
      </c>
      <c r="N7" s="6">
        <v>0</v>
      </c>
      <c r="O7" s="56">
        <f t="shared" si="0"/>
        <v>1100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940</v>
      </c>
      <c r="G8" s="2"/>
      <c r="H8" s="2" t="s">
        <v>0</v>
      </c>
      <c r="I8" s="6">
        <v>0</v>
      </c>
      <c r="J8" s="6">
        <v>20</v>
      </c>
      <c r="K8" s="6">
        <v>0</v>
      </c>
      <c r="L8" s="6">
        <v>0</v>
      </c>
      <c r="M8" s="6">
        <v>40</v>
      </c>
      <c r="N8" s="6">
        <v>20</v>
      </c>
      <c r="O8" s="56">
        <f t="shared" si="0"/>
        <v>860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800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485</v>
      </c>
      <c r="G10" s="48"/>
      <c r="H10" s="48" t="s">
        <v>0</v>
      </c>
      <c r="I10" s="6">
        <v>1000</v>
      </c>
      <c r="J10" s="6">
        <v>95</v>
      </c>
      <c r="K10" s="6">
        <v>20</v>
      </c>
      <c r="L10" s="6">
        <v>20</v>
      </c>
      <c r="M10" s="6">
        <v>45</v>
      </c>
      <c r="N10" s="6">
        <v>10</v>
      </c>
      <c r="O10" s="57">
        <f t="shared" si="0"/>
        <v>1295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412</v>
      </c>
      <c r="G11" s="48"/>
      <c r="H11" s="48" t="s">
        <v>0</v>
      </c>
      <c r="I11" s="6">
        <v>0</v>
      </c>
      <c r="J11" s="6">
        <v>25</v>
      </c>
      <c r="K11" s="6">
        <v>20</v>
      </c>
      <c r="L11" s="6">
        <v>10</v>
      </c>
      <c r="M11" s="6">
        <v>12</v>
      </c>
      <c r="N11" s="6">
        <v>4</v>
      </c>
      <c r="O11" s="57">
        <f t="shared" si="0"/>
        <v>341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2109</v>
      </c>
      <c r="G12" s="2"/>
      <c r="H12" s="2" t="s">
        <v>0</v>
      </c>
      <c r="I12" s="6">
        <v>0</v>
      </c>
      <c r="J12" s="6">
        <v>2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2107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164</v>
      </c>
      <c r="G13" s="2"/>
      <c r="H13" s="2" t="s">
        <v>0</v>
      </c>
      <c r="I13" s="6">
        <v>0</v>
      </c>
      <c r="J13" s="6">
        <v>0</v>
      </c>
      <c r="K13" s="6">
        <v>0</v>
      </c>
      <c r="L13" s="6">
        <v>5</v>
      </c>
      <c r="M13" s="6">
        <v>10</v>
      </c>
      <c r="N13" s="6">
        <v>0</v>
      </c>
      <c r="O13" s="56">
        <f t="shared" si="0"/>
        <v>149</v>
      </c>
      <c r="P13" s="42">
        <v>100</v>
      </c>
      <c r="Q13" s="31">
        <v>500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landscape" horizontalDpi="4294967293" r:id="rId1"/>
  <colBreaks count="1" manualBreakCount="1">
    <brk id="17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2BD4-081B-4BCF-84D9-1EA16A5D61A6}">
  <dimension ref="A1:R33"/>
  <sheetViews>
    <sheetView zoomScaleNormal="100" workbookViewId="0">
      <selection activeCell="M5" sqref="M5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63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46031</v>
      </c>
      <c r="K2" s="51">
        <v>46038</v>
      </c>
      <c r="L2" s="51">
        <v>46045</v>
      </c>
      <c r="M2" s="51">
        <v>46052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250</v>
      </c>
      <c r="G3" s="2"/>
      <c r="H3" s="2" t="s">
        <v>0</v>
      </c>
      <c r="I3" s="6">
        <v>560</v>
      </c>
      <c r="J3" s="6">
        <v>0</v>
      </c>
      <c r="K3" s="6">
        <v>35</v>
      </c>
      <c r="L3" s="6">
        <v>0</v>
      </c>
      <c r="M3" s="6">
        <v>124</v>
      </c>
      <c r="N3" s="6">
        <v>0</v>
      </c>
      <c r="O3" s="56">
        <f t="shared" ref="O3:O15" si="0">+F3+I3-J3-K3-L3-M3-N3</f>
        <v>651</v>
      </c>
      <c r="P3" s="42">
        <v>500</v>
      </c>
      <c r="Q3" s="31">
        <v>3000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920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20</v>
      </c>
      <c r="N4" s="6">
        <v>0</v>
      </c>
      <c r="O4" s="56">
        <f t="shared" si="0"/>
        <v>900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1180</v>
      </c>
      <c r="G5" s="2"/>
      <c r="H5" s="2" t="s">
        <v>0</v>
      </c>
      <c r="I5" s="6">
        <v>0</v>
      </c>
      <c r="J5" s="6">
        <v>40</v>
      </c>
      <c r="K5" s="6">
        <v>40</v>
      </c>
      <c r="L5" s="6">
        <v>40</v>
      </c>
      <c r="M5" s="6">
        <v>40</v>
      </c>
      <c r="N5" s="6">
        <v>0</v>
      </c>
      <c r="O5" s="56">
        <f t="shared" si="0"/>
        <v>1020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172</v>
      </c>
      <c r="G6" s="2"/>
      <c r="H6" s="2" t="s">
        <v>0</v>
      </c>
      <c r="I6" s="6">
        <v>0</v>
      </c>
      <c r="J6" s="6">
        <v>4</v>
      </c>
      <c r="K6" s="6">
        <v>0</v>
      </c>
      <c r="L6" s="6">
        <v>2</v>
      </c>
      <c r="M6" s="6">
        <v>0</v>
      </c>
      <c r="N6" s="6">
        <v>0</v>
      </c>
      <c r="O6" s="56">
        <f t="shared" si="0"/>
        <v>166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1100</v>
      </c>
      <c r="G7" s="2"/>
      <c r="H7" s="2" t="s">
        <v>0</v>
      </c>
      <c r="I7" s="6">
        <v>0</v>
      </c>
      <c r="J7" s="6">
        <v>20</v>
      </c>
      <c r="K7" s="6">
        <v>0</v>
      </c>
      <c r="L7" s="6">
        <v>100</v>
      </c>
      <c r="M7" s="6">
        <v>0</v>
      </c>
      <c r="N7" s="6">
        <v>0</v>
      </c>
      <c r="O7" s="56">
        <f t="shared" si="0"/>
        <v>980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860</v>
      </c>
      <c r="G8" s="2"/>
      <c r="H8" s="2" t="s">
        <v>0</v>
      </c>
      <c r="I8" s="6">
        <v>0</v>
      </c>
      <c r="J8" s="6">
        <v>20</v>
      </c>
      <c r="K8" s="6">
        <v>20</v>
      </c>
      <c r="L8" s="6">
        <v>35</v>
      </c>
      <c r="M8" s="6">
        <v>40</v>
      </c>
      <c r="N8" s="6">
        <v>0</v>
      </c>
      <c r="O8" s="56">
        <f t="shared" si="0"/>
        <v>745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800</v>
      </c>
      <c r="G9" s="2"/>
      <c r="H9" s="2" t="s">
        <v>0</v>
      </c>
      <c r="I9" s="6">
        <v>0</v>
      </c>
      <c r="J9" s="6">
        <v>40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760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950</v>
      </c>
      <c r="G10" s="48"/>
      <c r="H10" s="48" t="s">
        <v>0</v>
      </c>
      <c r="I10" s="6">
        <v>1000</v>
      </c>
      <c r="J10" s="6">
        <v>140</v>
      </c>
      <c r="K10" s="6">
        <v>120</v>
      </c>
      <c r="L10" s="6">
        <v>585</v>
      </c>
      <c r="M10" s="6">
        <v>95</v>
      </c>
      <c r="N10" s="6">
        <v>0</v>
      </c>
      <c r="O10" s="57">
        <f t="shared" si="0"/>
        <v>1010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341</v>
      </c>
      <c r="G11" s="48"/>
      <c r="H11" s="48" t="s">
        <v>0</v>
      </c>
      <c r="I11" s="6">
        <v>0</v>
      </c>
      <c r="J11" s="6">
        <v>30</v>
      </c>
      <c r="K11" s="6">
        <v>1</v>
      </c>
      <c r="L11" s="6">
        <v>0</v>
      </c>
      <c r="M11" s="6">
        <v>1</v>
      </c>
      <c r="N11" s="6">
        <v>0</v>
      </c>
      <c r="O11" s="57">
        <f t="shared" si="0"/>
        <v>309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2107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2107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149</v>
      </c>
      <c r="G13" s="2"/>
      <c r="H13" s="2" t="s">
        <v>0</v>
      </c>
      <c r="I13" s="6">
        <v>0</v>
      </c>
      <c r="J13" s="6">
        <v>8</v>
      </c>
      <c r="K13" s="6">
        <v>7</v>
      </c>
      <c r="L13" s="6">
        <v>0</v>
      </c>
      <c r="M13" s="6">
        <v>0</v>
      </c>
      <c r="N13" s="6">
        <v>0</v>
      </c>
      <c r="O13" s="56">
        <f t="shared" si="0"/>
        <v>134</v>
      </c>
      <c r="P13" s="42">
        <v>100</v>
      </c>
      <c r="Q13" s="31">
        <v>500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landscape" horizontalDpi="4294967293" r:id="rId1"/>
  <colBreaks count="1" manualBreakCount="1">
    <brk id="17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E6E5-CF7F-4A45-9CAA-B692F3615274}">
  <dimension ref="A1:R33"/>
  <sheetViews>
    <sheetView tabSelected="1" zoomScaleNormal="100" workbookViewId="0">
      <selection activeCell="L8" sqref="L8"/>
    </sheetView>
  </sheetViews>
  <sheetFormatPr defaultRowHeight="15" x14ac:dyDescent="0.25"/>
  <cols>
    <col min="1" max="1" width="6.42578125" customWidth="1"/>
    <col min="5" max="5" width="9" customWidth="1"/>
    <col min="6" max="6" width="10.28515625" customWidth="1"/>
    <col min="7" max="7" width="6.7109375" hidden="1" customWidth="1"/>
    <col min="8" max="8" width="7.5703125" customWidth="1"/>
    <col min="9" max="9" width="8.7109375" customWidth="1"/>
    <col min="10" max="10" width="9.85546875" customWidth="1"/>
    <col min="11" max="11" width="10.7109375" customWidth="1"/>
    <col min="12" max="12" width="12.28515625" customWidth="1"/>
    <col min="13" max="13" width="11.28515625" customWidth="1"/>
    <col min="14" max="14" width="11.42578125" customWidth="1"/>
    <col min="15" max="15" width="11.5703125" customWidth="1"/>
    <col min="16" max="16" width="9.7109375" customWidth="1"/>
    <col min="17" max="17" width="11.7109375" customWidth="1"/>
  </cols>
  <sheetData>
    <row r="1" spans="1:18" ht="27.75" customHeight="1" thickBot="1" x14ac:dyDescent="0.3">
      <c r="B1" s="46" t="s">
        <v>64</v>
      </c>
      <c r="C1" s="43"/>
      <c r="O1" s="55" t="s">
        <v>19</v>
      </c>
      <c r="Q1" s="52">
        <v>45705</v>
      </c>
    </row>
    <row r="2" spans="1:18" ht="27.75" customHeight="1" thickBot="1" x14ac:dyDescent="0.3">
      <c r="A2" s="45" t="s">
        <v>28</v>
      </c>
      <c r="B2" s="11" t="s">
        <v>13</v>
      </c>
      <c r="C2" s="11"/>
      <c r="D2" s="11"/>
      <c r="E2" s="12"/>
      <c r="F2" s="12" t="s">
        <v>18</v>
      </c>
      <c r="G2" s="13"/>
      <c r="H2" s="13" t="s">
        <v>15</v>
      </c>
      <c r="I2" s="13" t="s">
        <v>16</v>
      </c>
      <c r="J2" s="51">
        <v>46059</v>
      </c>
      <c r="K2" s="51">
        <v>46066</v>
      </c>
      <c r="L2" s="51">
        <v>46073</v>
      </c>
      <c r="M2" s="51">
        <v>46080</v>
      </c>
      <c r="N2" s="51">
        <v>0</v>
      </c>
      <c r="O2" s="53" t="s">
        <v>17</v>
      </c>
      <c r="P2" s="28" t="s">
        <v>21</v>
      </c>
      <c r="Q2" s="29" t="s">
        <v>26</v>
      </c>
    </row>
    <row r="3" spans="1:18" ht="27.75" customHeight="1" x14ac:dyDescent="0.25">
      <c r="A3" s="44">
        <v>1</v>
      </c>
      <c r="B3" s="19" t="s">
        <v>53</v>
      </c>
      <c r="C3" s="19"/>
      <c r="D3" s="19"/>
      <c r="E3" s="20"/>
      <c r="F3" s="26">
        <v>651</v>
      </c>
      <c r="G3" s="2"/>
      <c r="H3" s="2" t="s">
        <v>0</v>
      </c>
      <c r="I3" s="6">
        <v>0</v>
      </c>
      <c r="J3" s="6">
        <v>340</v>
      </c>
      <c r="K3" s="6">
        <v>0</v>
      </c>
      <c r="L3" s="6">
        <v>0</v>
      </c>
      <c r="M3" s="6">
        <v>0</v>
      </c>
      <c r="N3" s="6">
        <v>0</v>
      </c>
      <c r="O3" s="56">
        <f t="shared" ref="O3:O15" si="0">+F3+I3-J3-K3-L3-M3-N3</f>
        <v>311</v>
      </c>
      <c r="P3" s="42">
        <v>100</v>
      </c>
      <c r="Q3" s="31">
        <v>1500</v>
      </c>
    </row>
    <row r="4" spans="1:18" ht="27.75" customHeight="1" x14ac:dyDescent="0.25">
      <c r="A4" s="4">
        <v>2</v>
      </c>
      <c r="B4" s="19" t="s">
        <v>48</v>
      </c>
      <c r="C4" s="19"/>
      <c r="D4" s="19"/>
      <c r="E4" s="20"/>
      <c r="F4" s="26">
        <v>900</v>
      </c>
      <c r="G4" s="2"/>
      <c r="H4" s="2" t="s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56">
        <f t="shared" si="0"/>
        <v>900</v>
      </c>
      <c r="P4" s="42">
        <v>500</v>
      </c>
      <c r="Q4" s="31">
        <v>3000</v>
      </c>
      <c r="R4" t="s">
        <v>19</v>
      </c>
    </row>
    <row r="5" spans="1:18" ht="27.75" customHeight="1" x14ac:dyDescent="0.25">
      <c r="A5" s="4">
        <v>3</v>
      </c>
      <c r="B5" s="19" t="s">
        <v>49</v>
      </c>
      <c r="C5" s="19"/>
      <c r="D5" s="19"/>
      <c r="E5" s="20"/>
      <c r="F5" s="26">
        <v>1020</v>
      </c>
      <c r="G5" s="2"/>
      <c r="H5" s="2" t="s">
        <v>0</v>
      </c>
      <c r="I5" s="6">
        <v>0</v>
      </c>
      <c r="J5" s="6">
        <v>100</v>
      </c>
      <c r="K5" s="6">
        <v>160</v>
      </c>
      <c r="L5" s="6">
        <v>20</v>
      </c>
      <c r="M5" s="6">
        <v>0</v>
      </c>
      <c r="N5" s="6">
        <v>0</v>
      </c>
      <c r="O5" s="56">
        <f t="shared" si="0"/>
        <v>740</v>
      </c>
      <c r="P5" s="42">
        <v>500</v>
      </c>
      <c r="Q5" s="31">
        <v>3000</v>
      </c>
    </row>
    <row r="6" spans="1:18" ht="27.75" customHeight="1" x14ac:dyDescent="0.25">
      <c r="A6" s="4">
        <v>4</v>
      </c>
      <c r="B6" s="19" t="s">
        <v>51</v>
      </c>
      <c r="C6" s="19"/>
      <c r="D6" s="19"/>
      <c r="E6" s="20"/>
      <c r="F6" s="26">
        <v>166</v>
      </c>
      <c r="G6" s="2"/>
      <c r="H6" s="2" t="s">
        <v>0</v>
      </c>
      <c r="I6" s="6">
        <v>0</v>
      </c>
      <c r="J6" s="6">
        <v>0</v>
      </c>
      <c r="K6" s="6">
        <v>3</v>
      </c>
      <c r="L6" s="6">
        <v>0</v>
      </c>
      <c r="M6" s="6">
        <v>0</v>
      </c>
      <c r="N6" s="6">
        <v>0</v>
      </c>
      <c r="O6" s="56">
        <f t="shared" si="0"/>
        <v>163</v>
      </c>
      <c r="P6" s="42">
        <v>50</v>
      </c>
      <c r="Q6" s="31">
        <v>200</v>
      </c>
    </row>
    <row r="7" spans="1:18" ht="27.75" customHeight="1" x14ac:dyDescent="0.25">
      <c r="A7" s="4">
        <v>5</v>
      </c>
      <c r="B7" s="19" t="s">
        <v>47</v>
      </c>
      <c r="C7" s="19"/>
      <c r="D7" s="19"/>
      <c r="E7" s="20"/>
      <c r="F7" s="26">
        <v>980</v>
      </c>
      <c r="G7" s="2"/>
      <c r="H7" s="2" t="s">
        <v>0</v>
      </c>
      <c r="I7" s="6">
        <v>0</v>
      </c>
      <c r="J7" s="6">
        <v>0</v>
      </c>
      <c r="K7" s="6">
        <v>0</v>
      </c>
      <c r="L7" s="6">
        <v>120</v>
      </c>
      <c r="M7" s="6">
        <v>0</v>
      </c>
      <c r="N7" s="6">
        <v>0</v>
      </c>
      <c r="O7" s="56">
        <f t="shared" si="0"/>
        <v>860</v>
      </c>
      <c r="P7" s="42">
        <v>500</v>
      </c>
      <c r="Q7" s="31">
        <v>3000</v>
      </c>
    </row>
    <row r="8" spans="1:18" ht="27.75" customHeight="1" x14ac:dyDescent="0.25">
      <c r="A8" s="4">
        <v>6</v>
      </c>
      <c r="B8" s="19" t="s">
        <v>5</v>
      </c>
      <c r="C8" s="19"/>
      <c r="D8" s="19"/>
      <c r="E8" s="20"/>
      <c r="F8" s="26">
        <v>745</v>
      </c>
      <c r="G8" s="2"/>
      <c r="H8" s="2" t="s">
        <v>0</v>
      </c>
      <c r="I8" s="6">
        <v>0</v>
      </c>
      <c r="J8" s="6">
        <v>45</v>
      </c>
      <c r="K8" s="6">
        <v>40</v>
      </c>
      <c r="L8" s="6">
        <v>0</v>
      </c>
      <c r="M8" s="6">
        <v>0</v>
      </c>
      <c r="N8" s="6">
        <v>0</v>
      </c>
      <c r="O8" s="56">
        <f t="shared" si="0"/>
        <v>660</v>
      </c>
      <c r="P8" s="42">
        <v>200</v>
      </c>
      <c r="Q8" s="31">
        <v>1000</v>
      </c>
    </row>
    <row r="9" spans="1:18" ht="27.75" customHeight="1" x14ac:dyDescent="0.25">
      <c r="A9" s="4">
        <v>7</v>
      </c>
      <c r="B9" s="19" t="s">
        <v>9</v>
      </c>
      <c r="C9" s="19"/>
      <c r="D9" s="19"/>
      <c r="E9" s="20"/>
      <c r="F9" s="26">
        <v>760</v>
      </c>
      <c r="G9" s="2"/>
      <c r="H9" s="2" t="s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56">
        <f t="shared" si="0"/>
        <v>760</v>
      </c>
      <c r="P9" s="42">
        <v>300</v>
      </c>
      <c r="Q9" s="31">
        <v>3000</v>
      </c>
    </row>
    <row r="10" spans="1:18" ht="27.75" customHeight="1" x14ac:dyDescent="0.25">
      <c r="A10" s="4">
        <v>8</v>
      </c>
      <c r="B10" s="19" t="s">
        <v>44</v>
      </c>
      <c r="C10" s="19"/>
      <c r="D10" s="19"/>
      <c r="E10" s="20"/>
      <c r="F10" s="47">
        <v>1010</v>
      </c>
      <c r="G10" s="48"/>
      <c r="H10" s="48" t="s">
        <v>0</v>
      </c>
      <c r="I10" s="6">
        <v>0</v>
      </c>
      <c r="J10" s="6">
        <v>260</v>
      </c>
      <c r="K10" s="6">
        <v>100</v>
      </c>
      <c r="L10" s="6">
        <v>0</v>
      </c>
      <c r="M10" s="6">
        <v>0</v>
      </c>
      <c r="N10" s="6">
        <v>0</v>
      </c>
      <c r="O10" s="57">
        <f t="shared" si="0"/>
        <v>650</v>
      </c>
      <c r="P10" s="42">
        <v>1000</v>
      </c>
      <c r="Q10" s="31">
        <v>5000</v>
      </c>
    </row>
    <row r="11" spans="1:18" ht="27.75" customHeight="1" x14ac:dyDescent="0.25">
      <c r="A11" s="4">
        <v>9</v>
      </c>
      <c r="B11" s="19" t="s">
        <v>45</v>
      </c>
      <c r="C11" s="19"/>
      <c r="D11" s="19"/>
      <c r="E11" s="20"/>
      <c r="F11" s="47">
        <v>309</v>
      </c>
      <c r="G11" s="48"/>
      <c r="H11" s="48" t="s">
        <v>0</v>
      </c>
      <c r="I11" s="6">
        <v>0</v>
      </c>
      <c r="J11" s="6">
        <v>4</v>
      </c>
      <c r="K11" s="6">
        <v>6</v>
      </c>
      <c r="L11" s="6">
        <v>130</v>
      </c>
      <c r="M11" s="6">
        <v>0</v>
      </c>
      <c r="N11" s="6">
        <v>0</v>
      </c>
      <c r="O11" s="57">
        <f t="shared" si="0"/>
        <v>169</v>
      </c>
      <c r="P11" s="42">
        <v>200</v>
      </c>
      <c r="Q11" s="31">
        <v>2000</v>
      </c>
      <c r="R11" t="s">
        <v>54</v>
      </c>
    </row>
    <row r="12" spans="1:18" ht="27.75" customHeight="1" x14ac:dyDescent="0.25">
      <c r="A12" s="4">
        <v>10</v>
      </c>
      <c r="B12" s="19" t="s">
        <v>52</v>
      </c>
      <c r="C12" s="19"/>
      <c r="D12" s="19"/>
      <c r="E12" s="20"/>
      <c r="F12" s="26">
        <v>2107</v>
      </c>
      <c r="G12" s="2"/>
      <c r="H12" s="2" t="s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56">
        <f t="shared" si="0"/>
        <v>2107</v>
      </c>
      <c r="P12" s="42">
        <v>200</v>
      </c>
      <c r="Q12" s="31">
        <v>1000</v>
      </c>
    </row>
    <row r="13" spans="1:18" ht="27.75" customHeight="1" x14ac:dyDescent="0.25">
      <c r="A13" s="4">
        <v>11</v>
      </c>
      <c r="B13" s="19" t="s">
        <v>25</v>
      </c>
      <c r="C13" s="19"/>
      <c r="D13" s="19"/>
      <c r="E13" s="20"/>
      <c r="F13" s="40">
        <v>134</v>
      </c>
      <c r="G13" s="2"/>
      <c r="H13" s="2" t="s">
        <v>0</v>
      </c>
      <c r="I13" s="6">
        <v>0</v>
      </c>
      <c r="J13" s="6">
        <v>46</v>
      </c>
      <c r="K13" s="6">
        <v>2</v>
      </c>
      <c r="L13" s="6">
        <v>0</v>
      </c>
      <c r="M13" s="6">
        <v>0</v>
      </c>
      <c r="N13" s="6">
        <v>0</v>
      </c>
      <c r="O13" s="56">
        <f t="shared" si="0"/>
        <v>86</v>
      </c>
      <c r="P13" s="42">
        <v>100</v>
      </c>
      <c r="Q13" s="31">
        <v>500</v>
      </c>
    </row>
    <row r="14" spans="1:18" ht="27.75" customHeight="1" x14ac:dyDescent="0.25">
      <c r="A14" s="4">
        <v>12</v>
      </c>
      <c r="B14" s="19" t="s">
        <v>19</v>
      </c>
      <c r="C14" s="19"/>
      <c r="D14" s="19"/>
      <c r="E14" s="20"/>
      <c r="F14" s="26">
        <v>0</v>
      </c>
      <c r="G14" s="2"/>
      <c r="H14" s="2" t="s">
        <v>19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56">
        <f t="shared" si="0"/>
        <v>0</v>
      </c>
      <c r="P14" s="42">
        <v>0</v>
      </c>
      <c r="Q14" s="31">
        <v>0</v>
      </c>
    </row>
    <row r="15" spans="1:18" ht="24.75" customHeight="1" x14ac:dyDescent="0.25">
      <c r="A15" s="4">
        <v>13</v>
      </c>
      <c r="B15" s="19" t="s">
        <v>19</v>
      </c>
      <c r="C15" s="19" t="s">
        <v>19</v>
      </c>
      <c r="D15" s="19"/>
      <c r="E15" s="20"/>
      <c r="F15" s="40">
        <v>0</v>
      </c>
      <c r="G15" s="2"/>
      <c r="H15" s="2" t="s">
        <v>19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54">
        <f t="shared" si="0"/>
        <v>0</v>
      </c>
      <c r="P15" s="42">
        <v>0</v>
      </c>
      <c r="Q15" s="2">
        <v>0</v>
      </c>
    </row>
    <row r="16" spans="1:18" ht="19.5" customHeight="1" x14ac:dyDescent="0.25"/>
    <row r="26" ht="7.5" customHeight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</sheetData>
  <pageMargins left="0.7" right="0.7" top="0.75" bottom="0.75" header="0.3" footer="0.3"/>
  <pageSetup paperSize="9" scale="57" orientation="landscape" horizontalDpi="4294967293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54</vt:i4>
      </vt:variant>
    </vt:vector>
  </HeadingPairs>
  <TitlesOfParts>
    <vt:vector size="54" baseType="lpstr">
      <vt:lpstr>EYLÜL 2025 (2)</vt:lpstr>
      <vt:lpstr>1 HAFTA</vt:lpstr>
      <vt:lpstr>eylül 4 HAFTA</vt:lpstr>
      <vt:lpstr>ekim 1 hafta</vt:lpstr>
      <vt:lpstr>ekim 2 hafta </vt:lpstr>
      <vt:lpstr>ekim 3 hafta </vt:lpstr>
      <vt:lpstr>ekim 4 hafta </vt:lpstr>
      <vt:lpstr>KASIM 1 HAFTA</vt:lpstr>
      <vt:lpstr>KASIM 2 HAFTA </vt:lpstr>
      <vt:lpstr>KASIM 3 HAFTA </vt:lpstr>
      <vt:lpstr>KASIM 4 HAFTA </vt:lpstr>
      <vt:lpstr>KASIM 5 HAFTA </vt:lpstr>
      <vt:lpstr>ARALIK 1 HAFTA </vt:lpstr>
      <vt:lpstr>ARALIK 2 HAFTA </vt:lpstr>
      <vt:lpstr>ARALIK 3 HAFTA </vt:lpstr>
      <vt:lpstr>ARALIK 4 HAFTA </vt:lpstr>
      <vt:lpstr>OCAK 1 HAFTA</vt:lpstr>
      <vt:lpstr>OCAK 2 HAFTA </vt:lpstr>
      <vt:lpstr>OCAK 3 HAFTA </vt:lpstr>
      <vt:lpstr>OCAK 4 HAFTA </vt:lpstr>
      <vt:lpstr>OCAK5-ŞUBAT 1 HAFTA </vt:lpstr>
      <vt:lpstr>MART 3 HAFTA</vt:lpstr>
      <vt:lpstr>HAZ.TEM.2023</vt:lpstr>
      <vt:lpstr>TEMMUZ 2023</vt:lpstr>
      <vt:lpstr>AĞUSTOS 2023 </vt:lpstr>
      <vt:lpstr>EYLÜL 2023</vt:lpstr>
      <vt:lpstr>EKİM 2023</vt:lpstr>
      <vt:lpstr>KASIM2023</vt:lpstr>
      <vt:lpstr>ARALIK2023</vt:lpstr>
      <vt:lpstr>OCAK 2024</vt:lpstr>
      <vt:lpstr>ŞUBAT 2024</vt:lpstr>
      <vt:lpstr>MART 2024</vt:lpstr>
      <vt:lpstr>NİSAN 2024</vt:lpstr>
      <vt:lpstr>MAYIS 2024</vt:lpstr>
      <vt:lpstr>HAZİRAN 2024</vt:lpstr>
      <vt:lpstr>TEMMUZ 2024</vt:lpstr>
      <vt:lpstr>AĞUSTOS 2024</vt:lpstr>
      <vt:lpstr>EYLÜL 2024</vt:lpstr>
      <vt:lpstr>EKİM 2024</vt:lpstr>
      <vt:lpstr>KASIM 2024</vt:lpstr>
      <vt:lpstr>OCAK 2025</vt:lpstr>
      <vt:lpstr>ŞUBAT 2025</vt:lpstr>
      <vt:lpstr>MART 2025</vt:lpstr>
      <vt:lpstr>NİSAN 2025</vt:lpstr>
      <vt:lpstr>MAYIS 2025</vt:lpstr>
      <vt:lpstr>HAZİRAN 2025</vt:lpstr>
      <vt:lpstr>TEMMUZ 2025</vt:lpstr>
      <vt:lpstr>AĞUSTOS 2025</vt:lpstr>
      <vt:lpstr>EYLÜL 2025</vt:lpstr>
      <vt:lpstr>EKİM 2025</vt:lpstr>
      <vt:lpstr>KASIM 2025</vt:lpstr>
      <vt:lpstr>ARALIK 2025</vt:lpstr>
      <vt:lpstr>OCAK 2026</vt:lpstr>
      <vt:lpstr>ŞUBAT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Abdulkerim Gürsoy</dc:creator>
  <cp:lastModifiedBy>Abdulkerim Gürsoy</cp:lastModifiedBy>
  <cp:lastPrinted>2025-11-10T13:59:16Z</cp:lastPrinted>
  <dcterms:created xsi:type="dcterms:W3CDTF">2022-08-30T06:23:37Z</dcterms:created>
  <dcterms:modified xsi:type="dcterms:W3CDTF">2026-02-24T06:26:15Z</dcterms:modified>
</cp:coreProperties>
</file>