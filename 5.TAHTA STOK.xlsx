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kerim.gursoy\Desktop\DEPO STOK\"/>
    </mc:Choice>
  </mc:AlternateContent>
  <xr:revisionPtr revIDLastSave="0" documentId="13_ncr:1_{D9AA0950-64F1-4942-8C68-2DDDDDF96E92}" xr6:coauthVersionLast="47" xr6:coauthVersionMax="47" xr10:uidLastSave="{00000000-0000-0000-0000-000000000000}"/>
  <bookViews>
    <workbookView xWindow="-120" yWindow="-120" windowWidth="24240" windowHeight="13020" firstSheet="46" activeTab="51" xr2:uid="{00000000-000D-0000-FFFF-FFFF00000000}"/>
  </bookViews>
  <sheets>
    <sheet name="eylül 4 hafta" sheetId="1" r:id="rId1"/>
    <sheet name="ekim 1 hafta " sheetId="4" r:id="rId2"/>
    <sheet name="ekim 2 hafta " sheetId="5" r:id="rId3"/>
    <sheet name="ekim 3 hafta" sheetId="6" r:id="rId4"/>
    <sheet name="ekim 4 hafta " sheetId="7" r:id="rId5"/>
    <sheet name="KASIM 1 HAFTA" sheetId="8" r:id="rId6"/>
    <sheet name="KASIM 2 HAFTA " sheetId="9" r:id="rId7"/>
    <sheet name="KASIM 3 HAFTA " sheetId="10" r:id="rId8"/>
    <sheet name="KASIM 4 HAFTA " sheetId="11" r:id="rId9"/>
    <sheet name="KASIM 5 HAFTA " sheetId="12" r:id="rId10"/>
    <sheet name="ARALIK 1 HAFTA" sheetId="13" r:id="rId11"/>
    <sheet name="ARALIK 2 HAFTA " sheetId="14" r:id="rId12"/>
    <sheet name="ARALIK 3 HAFTA " sheetId="15" r:id="rId13"/>
    <sheet name="ARALIK 4 HAFTA " sheetId="16" r:id="rId14"/>
    <sheet name="OCAK 1.HAFTA" sheetId="17" r:id="rId15"/>
    <sheet name="OCAK 2.HAFTA " sheetId="18" r:id="rId16"/>
    <sheet name="OCAK 3.HAFTA " sheetId="19" r:id="rId17"/>
    <sheet name="OCAK 4.HAFTA " sheetId="20" r:id="rId18"/>
    <sheet name="OCAK 5.ŞUBAT 1 HAFTA " sheetId="21" r:id="rId19"/>
    <sheet name="MART 3 HAFTA" sheetId="22" r:id="rId20"/>
    <sheet name="HAZ,TEM.2023" sheetId="23" r:id="rId21"/>
    <sheet name="TEMMUZ 2023" sheetId="24" r:id="rId22"/>
    <sheet name="AĞUSTOS 2023" sheetId="25" r:id="rId23"/>
    <sheet name="EYLÜL 2023" sheetId="26" r:id="rId24"/>
    <sheet name="EKİM 2023" sheetId="27" r:id="rId25"/>
    <sheet name="KASIM 2023" sheetId="29" r:id="rId26"/>
    <sheet name="ARALIK2023" sheetId="30" r:id="rId27"/>
    <sheet name="OCAK 2023" sheetId="31" r:id="rId28"/>
    <sheet name="ŞUBAT 2024" sheetId="32" r:id="rId29"/>
    <sheet name="MART 2024" sheetId="33" r:id="rId30"/>
    <sheet name="NİSAN 2024" sheetId="34" r:id="rId31"/>
    <sheet name="MAYIS 2024" sheetId="35" r:id="rId32"/>
    <sheet name="HAZİRAN 2024" sheetId="36" r:id="rId33"/>
    <sheet name="TEMMUZ 2024" sheetId="37" r:id="rId34"/>
    <sheet name="AĞUSTOS 2024" sheetId="38" r:id="rId35"/>
    <sheet name="EYLÜL 2024" sheetId="39" r:id="rId36"/>
    <sheet name="EKİM 2024" sheetId="40" r:id="rId37"/>
    <sheet name="KASIM 2024" sheetId="41" r:id="rId38"/>
    <sheet name="OCAK 2025" sheetId="42" r:id="rId39"/>
    <sheet name="ŞUBAT 2025" sheetId="43" r:id="rId40"/>
    <sheet name="MART 2025" sheetId="44" r:id="rId41"/>
    <sheet name="NİSAN 2025" sheetId="45" r:id="rId42"/>
    <sheet name="MAYIS 2025" sheetId="46" r:id="rId43"/>
    <sheet name="HAZİRAN 2025" sheetId="47" r:id="rId44"/>
    <sheet name="TEMMUZ 2025" sheetId="48" r:id="rId45"/>
    <sheet name="AĞUSTOS 2025" sheetId="49" r:id="rId46"/>
    <sheet name="EYLÜL 2025" sheetId="50" r:id="rId47"/>
    <sheet name="EKİM 2025" sheetId="51" r:id="rId48"/>
    <sheet name="KASIM 2025" sheetId="52" r:id="rId49"/>
    <sheet name="ARALIK 2025" sheetId="53" r:id="rId50"/>
    <sheet name="OCAK 2026" sheetId="54" r:id="rId51"/>
    <sheet name="ŞUBAT 2026" sheetId="55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7" i="55" l="1"/>
  <c r="J76" i="55"/>
  <c r="J75" i="55"/>
  <c r="J74" i="55"/>
  <c r="J73" i="55"/>
  <c r="J72" i="55"/>
  <c r="J71" i="55"/>
  <c r="J70" i="55"/>
  <c r="J69" i="55"/>
  <c r="J68" i="55"/>
  <c r="J67" i="55"/>
  <c r="J66" i="55"/>
  <c r="J65" i="55"/>
  <c r="J64" i="55"/>
  <c r="J63" i="55"/>
  <c r="J62" i="55"/>
  <c r="J61" i="55"/>
  <c r="J60" i="55"/>
  <c r="J59" i="55"/>
  <c r="J58" i="55"/>
  <c r="J57" i="55"/>
  <c r="J56" i="55"/>
  <c r="J55" i="55"/>
  <c r="J54" i="55"/>
  <c r="J53" i="55"/>
  <c r="J52" i="55"/>
  <c r="J51" i="55"/>
  <c r="J50" i="55"/>
  <c r="J49" i="55"/>
  <c r="J48" i="55"/>
  <c r="J47" i="55"/>
  <c r="J46" i="55"/>
  <c r="J45" i="55"/>
  <c r="J44" i="55"/>
  <c r="J43" i="55"/>
  <c r="J42" i="55"/>
  <c r="J41" i="55"/>
  <c r="J40" i="55"/>
  <c r="J39" i="55"/>
  <c r="J38" i="55"/>
  <c r="J37" i="55"/>
  <c r="J36" i="55"/>
  <c r="J35" i="55"/>
  <c r="J34" i="55"/>
  <c r="J33" i="55"/>
  <c r="J32" i="55"/>
  <c r="J31" i="55"/>
  <c r="J30" i="55"/>
  <c r="J29" i="55"/>
  <c r="J28" i="55"/>
  <c r="J27" i="55"/>
  <c r="J26" i="55"/>
  <c r="J25" i="55"/>
  <c r="J24" i="55"/>
  <c r="J23" i="55"/>
  <c r="J22" i="55"/>
  <c r="J21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J6" i="55"/>
  <c r="J5" i="55"/>
  <c r="J4" i="55"/>
  <c r="J3" i="55"/>
  <c r="J76" i="54"/>
  <c r="J75" i="54"/>
  <c r="J74" i="54"/>
  <c r="J73" i="54"/>
  <c r="J72" i="54"/>
  <c r="J71" i="54"/>
  <c r="J70" i="54"/>
  <c r="J69" i="54"/>
  <c r="J68" i="54"/>
  <c r="J67" i="54"/>
  <c r="J66" i="54"/>
  <c r="J65" i="54"/>
  <c r="J64" i="54"/>
  <c r="J63" i="54"/>
  <c r="J62" i="54"/>
  <c r="J61" i="54"/>
  <c r="J60" i="54"/>
  <c r="J59" i="54"/>
  <c r="J58" i="54"/>
  <c r="J57" i="54"/>
  <c r="J56" i="54"/>
  <c r="J55" i="54"/>
  <c r="J54" i="54"/>
  <c r="J53" i="54"/>
  <c r="J52" i="54"/>
  <c r="J51" i="54"/>
  <c r="J50" i="54"/>
  <c r="J49" i="54"/>
  <c r="J48" i="54"/>
  <c r="J47" i="54"/>
  <c r="J46" i="54"/>
  <c r="J45" i="54"/>
  <c r="J44" i="54"/>
  <c r="J43" i="54"/>
  <c r="J42" i="54"/>
  <c r="J41" i="54"/>
  <c r="J40" i="54"/>
  <c r="J39" i="54"/>
  <c r="J38" i="54"/>
  <c r="J37" i="54"/>
  <c r="J36" i="54"/>
  <c r="J35" i="54"/>
  <c r="J34" i="54"/>
  <c r="J33" i="54"/>
  <c r="J32" i="54"/>
  <c r="J31" i="54"/>
  <c r="J30" i="54"/>
  <c r="J29" i="54"/>
  <c r="J28" i="54"/>
  <c r="J27" i="54"/>
  <c r="J26" i="54"/>
  <c r="J25" i="54"/>
  <c r="J24" i="54"/>
  <c r="J23" i="54"/>
  <c r="J22" i="54"/>
  <c r="J21" i="54"/>
  <c r="J20" i="54"/>
  <c r="J19" i="54"/>
  <c r="J18" i="54"/>
  <c r="J17" i="54"/>
  <c r="J16" i="54"/>
  <c r="J15" i="54"/>
  <c r="J14" i="54"/>
  <c r="J13" i="54"/>
  <c r="J12" i="54"/>
  <c r="J11" i="54"/>
  <c r="J10" i="54"/>
  <c r="J9" i="54"/>
  <c r="J8" i="54"/>
  <c r="J7" i="54"/>
  <c r="J6" i="54"/>
  <c r="J5" i="54"/>
  <c r="J4" i="54"/>
  <c r="J3" i="54"/>
  <c r="J76" i="53"/>
  <c r="J75" i="53"/>
  <c r="J74" i="53"/>
  <c r="J73" i="53"/>
  <c r="J72" i="53"/>
  <c r="J71" i="53"/>
  <c r="J70" i="53"/>
  <c r="J69" i="53"/>
  <c r="J68" i="53"/>
  <c r="J67" i="53"/>
  <c r="J66" i="53"/>
  <c r="J65" i="53"/>
  <c r="J64" i="53"/>
  <c r="J63" i="53"/>
  <c r="J62" i="53"/>
  <c r="J61" i="53"/>
  <c r="J60" i="53"/>
  <c r="J59" i="53"/>
  <c r="J58" i="53"/>
  <c r="J57" i="53"/>
  <c r="J56" i="53"/>
  <c r="J55" i="53"/>
  <c r="J54" i="53"/>
  <c r="J53" i="53"/>
  <c r="J52" i="53"/>
  <c r="J51" i="53"/>
  <c r="J50" i="53"/>
  <c r="J49" i="53"/>
  <c r="J48" i="53"/>
  <c r="J47" i="53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32" i="53"/>
  <c r="J31" i="53"/>
  <c r="J30" i="53"/>
  <c r="J29" i="53"/>
  <c r="J28" i="53"/>
  <c r="J27" i="53"/>
  <c r="J26" i="53"/>
  <c r="J25" i="53"/>
  <c r="J24" i="53"/>
  <c r="J23" i="53"/>
  <c r="J22" i="53"/>
  <c r="J21" i="53"/>
  <c r="J20" i="53"/>
  <c r="J19" i="53"/>
  <c r="J18" i="53"/>
  <c r="J17" i="53"/>
  <c r="J16" i="53"/>
  <c r="J15" i="53"/>
  <c r="J14" i="53"/>
  <c r="J13" i="53"/>
  <c r="J12" i="53"/>
  <c r="J11" i="53"/>
  <c r="J10" i="53"/>
  <c r="J9" i="53"/>
  <c r="J8" i="53"/>
  <c r="J7" i="53"/>
  <c r="J6" i="53"/>
  <c r="J5" i="53"/>
  <c r="J4" i="53"/>
  <c r="J3" i="53"/>
  <c r="J76" i="52"/>
  <c r="J75" i="52"/>
  <c r="J74" i="52"/>
  <c r="J73" i="52"/>
  <c r="J72" i="52"/>
  <c r="J71" i="52"/>
  <c r="J70" i="52"/>
  <c r="J69" i="52"/>
  <c r="J68" i="52"/>
  <c r="J67" i="52"/>
  <c r="J66" i="52"/>
  <c r="J65" i="52"/>
  <c r="J64" i="52"/>
  <c r="J63" i="52"/>
  <c r="J62" i="52"/>
  <c r="J61" i="52"/>
  <c r="J60" i="52"/>
  <c r="J59" i="52"/>
  <c r="J58" i="52"/>
  <c r="J57" i="52"/>
  <c r="J56" i="52"/>
  <c r="J55" i="52"/>
  <c r="J54" i="52"/>
  <c r="J53" i="52"/>
  <c r="J52" i="52"/>
  <c r="J51" i="52"/>
  <c r="J50" i="52"/>
  <c r="J49" i="52"/>
  <c r="J48" i="52"/>
  <c r="J47" i="52"/>
  <c r="J46" i="52"/>
  <c r="J45" i="52"/>
  <c r="J44" i="52"/>
  <c r="J43" i="52"/>
  <c r="J42" i="52"/>
  <c r="J41" i="52"/>
  <c r="J40" i="52"/>
  <c r="J39" i="52"/>
  <c r="J38" i="52"/>
  <c r="J37" i="52"/>
  <c r="J36" i="52"/>
  <c r="J35" i="52"/>
  <c r="J34" i="52"/>
  <c r="J33" i="52"/>
  <c r="J32" i="52"/>
  <c r="J31" i="52"/>
  <c r="J30" i="52"/>
  <c r="J29" i="52"/>
  <c r="J28" i="52"/>
  <c r="J27" i="52"/>
  <c r="J26" i="52"/>
  <c r="J25" i="52"/>
  <c r="J24" i="52"/>
  <c r="J23" i="52"/>
  <c r="J22" i="52"/>
  <c r="J21" i="52"/>
  <c r="J20" i="52"/>
  <c r="J19" i="52"/>
  <c r="J18" i="52"/>
  <c r="J17" i="52"/>
  <c r="J16" i="52"/>
  <c r="J15" i="52"/>
  <c r="J14" i="52"/>
  <c r="J13" i="52"/>
  <c r="J12" i="52"/>
  <c r="J11" i="52"/>
  <c r="J10" i="52"/>
  <c r="J9" i="52"/>
  <c r="J8" i="52"/>
  <c r="J7" i="52"/>
  <c r="J6" i="52"/>
  <c r="J5" i="52"/>
  <c r="J4" i="52"/>
  <c r="J3" i="52"/>
  <c r="J76" i="51"/>
  <c r="J75" i="51"/>
  <c r="J74" i="51"/>
  <c r="J73" i="51"/>
  <c r="J72" i="51"/>
  <c r="J71" i="51"/>
  <c r="J70" i="51"/>
  <c r="J69" i="51"/>
  <c r="J68" i="51"/>
  <c r="J67" i="51"/>
  <c r="J66" i="51"/>
  <c r="J65" i="51"/>
  <c r="J64" i="51"/>
  <c r="J63" i="51"/>
  <c r="J62" i="51"/>
  <c r="J61" i="51"/>
  <c r="J60" i="51"/>
  <c r="J59" i="51"/>
  <c r="J58" i="51"/>
  <c r="J57" i="51"/>
  <c r="J56" i="51"/>
  <c r="J55" i="51"/>
  <c r="J54" i="51"/>
  <c r="J53" i="51"/>
  <c r="J52" i="51"/>
  <c r="J51" i="51"/>
  <c r="J50" i="51"/>
  <c r="J49" i="51"/>
  <c r="J48" i="51"/>
  <c r="J47" i="51"/>
  <c r="J46" i="51"/>
  <c r="J45" i="51"/>
  <c r="J44" i="51"/>
  <c r="J43" i="51"/>
  <c r="J42" i="51"/>
  <c r="J41" i="51"/>
  <c r="J40" i="51"/>
  <c r="J39" i="51"/>
  <c r="J38" i="51"/>
  <c r="J37" i="51"/>
  <c r="J36" i="51"/>
  <c r="J35" i="51"/>
  <c r="J34" i="51"/>
  <c r="J33" i="51"/>
  <c r="J32" i="51"/>
  <c r="J31" i="51"/>
  <c r="J30" i="51"/>
  <c r="J29" i="51"/>
  <c r="J28" i="51"/>
  <c r="J27" i="51"/>
  <c r="J26" i="51"/>
  <c r="J25" i="51"/>
  <c r="J24" i="51"/>
  <c r="J23" i="51"/>
  <c r="J22" i="51"/>
  <c r="J21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J6" i="51"/>
  <c r="J5" i="51"/>
  <c r="J4" i="51"/>
  <c r="J3" i="51"/>
  <c r="J76" i="50"/>
  <c r="J75" i="50"/>
  <c r="J74" i="50"/>
  <c r="J73" i="50"/>
  <c r="J72" i="50"/>
  <c r="J71" i="50"/>
  <c r="J70" i="50"/>
  <c r="J69" i="50"/>
  <c r="J68" i="50"/>
  <c r="J67" i="50"/>
  <c r="J66" i="50"/>
  <c r="J65" i="50"/>
  <c r="J64" i="50"/>
  <c r="J63" i="50"/>
  <c r="J62" i="50"/>
  <c r="J61" i="50"/>
  <c r="J60" i="50"/>
  <c r="J59" i="50"/>
  <c r="J58" i="50"/>
  <c r="J57" i="50"/>
  <c r="J56" i="50"/>
  <c r="J55" i="50"/>
  <c r="J54" i="50"/>
  <c r="J53" i="50"/>
  <c r="J52" i="50"/>
  <c r="J51" i="50"/>
  <c r="J50" i="50"/>
  <c r="J49" i="50"/>
  <c r="J48" i="50"/>
  <c r="J47" i="50"/>
  <c r="J46" i="50"/>
  <c r="J45" i="50"/>
  <c r="J44" i="50"/>
  <c r="J43" i="50"/>
  <c r="J42" i="50"/>
  <c r="J41" i="50"/>
  <c r="J40" i="50"/>
  <c r="J39" i="50"/>
  <c r="J38" i="50"/>
  <c r="J37" i="50"/>
  <c r="J36" i="50"/>
  <c r="J35" i="50"/>
  <c r="J34" i="50"/>
  <c r="J33" i="50"/>
  <c r="J32" i="50"/>
  <c r="J31" i="50"/>
  <c r="J30" i="50"/>
  <c r="J29" i="50"/>
  <c r="J28" i="50"/>
  <c r="J27" i="50"/>
  <c r="J26" i="50"/>
  <c r="J25" i="50"/>
  <c r="J24" i="50"/>
  <c r="J23" i="50"/>
  <c r="J22" i="50"/>
  <c r="J21" i="50"/>
  <c r="J20" i="50"/>
  <c r="J19" i="50"/>
  <c r="J18" i="50"/>
  <c r="J17" i="50"/>
  <c r="J16" i="50"/>
  <c r="J15" i="50"/>
  <c r="J14" i="50"/>
  <c r="J13" i="50"/>
  <c r="J12" i="50"/>
  <c r="J11" i="50"/>
  <c r="J10" i="50"/>
  <c r="J9" i="50"/>
  <c r="J8" i="50"/>
  <c r="J7" i="50"/>
  <c r="J6" i="50"/>
  <c r="J5" i="50"/>
  <c r="J4" i="50"/>
  <c r="J3" i="50"/>
  <c r="J76" i="49"/>
  <c r="J75" i="49"/>
  <c r="J74" i="49"/>
  <c r="J73" i="49"/>
  <c r="J72" i="49"/>
  <c r="J71" i="49"/>
  <c r="J70" i="49"/>
  <c r="J69" i="49"/>
  <c r="J68" i="49"/>
  <c r="J67" i="49"/>
  <c r="J66" i="49"/>
  <c r="J65" i="49"/>
  <c r="J64" i="49"/>
  <c r="J63" i="49"/>
  <c r="J62" i="49"/>
  <c r="J61" i="49"/>
  <c r="J60" i="49"/>
  <c r="J59" i="49"/>
  <c r="J58" i="49"/>
  <c r="J57" i="49"/>
  <c r="J56" i="49"/>
  <c r="J55" i="49"/>
  <c r="J54" i="49"/>
  <c r="J53" i="49"/>
  <c r="J52" i="49"/>
  <c r="J51" i="49"/>
  <c r="J50" i="49"/>
  <c r="J49" i="49"/>
  <c r="J48" i="49"/>
  <c r="J47" i="49"/>
  <c r="J46" i="49"/>
  <c r="J45" i="49"/>
  <c r="J44" i="49"/>
  <c r="J43" i="49"/>
  <c r="J42" i="49"/>
  <c r="J41" i="49"/>
  <c r="J40" i="49"/>
  <c r="J39" i="49"/>
  <c r="J38" i="49"/>
  <c r="J37" i="49"/>
  <c r="J36" i="49"/>
  <c r="J35" i="49"/>
  <c r="J34" i="49"/>
  <c r="J33" i="49"/>
  <c r="J32" i="49"/>
  <c r="J31" i="49"/>
  <c r="J30" i="49"/>
  <c r="J29" i="49"/>
  <c r="J28" i="49"/>
  <c r="J27" i="49"/>
  <c r="J26" i="49"/>
  <c r="J25" i="49"/>
  <c r="J24" i="49"/>
  <c r="J23" i="49"/>
  <c r="J22" i="49"/>
  <c r="J21" i="49"/>
  <c r="J20" i="49"/>
  <c r="J19" i="49"/>
  <c r="J18" i="49"/>
  <c r="J17" i="49"/>
  <c r="J16" i="49"/>
  <c r="J15" i="49"/>
  <c r="J14" i="49"/>
  <c r="J13" i="49"/>
  <c r="J12" i="49"/>
  <c r="J11" i="49"/>
  <c r="J10" i="49"/>
  <c r="J9" i="49"/>
  <c r="J8" i="49"/>
  <c r="J7" i="49"/>
  <c r="J6" i="49"/>
  <c r="J5" i="49"/>
  <c r="J4" i="49"/>
  <c r="J3" i="49"/>
  <c r="J76" i="48"/>
  <c r="J75" i="48"/>
  <c r="J74" i="48"/>
  <c r="J73" i="48"/>
  <c r="J72" i="48"/>
  <c r="J71" i="48"/>
  <c r="J70" i="48"/>
  <c r="J69" i="48"/>
  <c r="J68" i="48"/>
  <c r="J67" i="48"/>
  <c r="J66" i="48"/>
  <c r="J65" i="48"/>
  <c r="J64" i="48"/>
  <c r="J63" i="48"/>
  <c r="J62" i="48"/>
  <c r="J61" i="48"/>
  <c r="J60" i="48"/>
  <c r="J59" i="48"/>
  <c r="J58" i="48"/>
  <c r="J57" i="48"/>
  <c r="J56" i="48"/>
  <c r="J55" i="48"/>
  <c r="J54" i="48"/>
  <c r="J53" i="48"/>
  <c r="J52" i="48"/>
  <c r="J51" i="48"/>
  <c r="J50" i="48"/>
  <c r="J49" i="48"/>
  <c r="J48" i="48"/>
  <c r="J47" i="48"/>
  <c r="J46" i="48"/>
  <c r="J45" i="48"/>
  <c r="J44" i="48"/>
  <c r="J43" i="48"/>
  <c r="J42" i="48"/>
  <c r="J41" i="48"/>
  <c r="J40" i="48"/>
  <c r="J39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J5" i="48"/>
  <c r="J4" i="48"/>
  <c r="J3" i="48"/>
  <c r="J76" i="47"/>
  <c r="J75" i="47"/>
  <c r="J74" i="47"/>
  <c r="J73" i="47"/>
  <c r="J72" i="47"/>
  <c r="J71" i="47"/>
  <c r="J70" i="47"/>
  <c r="J69" i="47"/>
  <c r="J68" i="47"/>
  <c r="J67" i="47"/>
  <c r="J66" i="47"/>
  <c r="J65" i="47"/>
  <c r="J64" i="47"/>
  <c r="J63" i="47"/>
  <c r="J62" i="47"/>
  <c r="J61" i="47"/>
  <c r="J60" i="47"/>
  <c r="J59" i="47"/>
  <c r="J58" i="47"/>
  <c r="J57" i="47"/>
  <c r="J56" i="47"/>
  <c r="J55" i="47"/>
  <c r="J54" i="47"/>
  <c r="J53" i="47"/>
  <c r="J52" i="47"/>
  <c r="J51" i="47"/>
  <c r="J50" i="47"/>
  <c r="J49" i="47"/>
  <c r="J48" i="47"/>
  <c r="J47" i="47"/>
  <c r="J46" i="47"/>
  <c r="J45" i="47"/>
  <c r="J44" i="47"/>
  <c r="J43" i="47"/>
  <c r="J42" i="47"/>
  <c r="J41" i="47"/>
  <c r="J40" i="47"/>
  <c r="J39" i="47"/>
  <c r="J38" i="47"/>
  <c r="J37" i="47"/>
  <c r="J36" i="47"/>
  <c r="J35" i="47"/>
  <c r="J34" i="47"/>
  <c r="J33" i="47"/>
  <c r="J32" i="47"/>
  <c r="J31" i="47"/>
  <c r="J30" i="47"/>
  <c r="J29" i="47"/>
  <c r="J28" i="47"/>
  <c r="J27" i="47"/>
  <c r="J26" i="47"/>
  <c r="J25" i="47"/>
  <c r="J24" i="47"/>
  <c r="J23" i="47"/>
  <c r="J22" i="47"/>
  <c r="J21" i="47"/>
  <c r="J20" i="47"/>
  <c r="J19" i="47"/>
  <c r="J18" i="47"/>
  <c r="J17" i="47"/>
  <c r="J16" i="47"/>
  <c r="J15" i="47"/>
  <c r="J14" i="47"/>
  <c r="J13" i="47"/>
  <c r="J12" i="47"/>
  <c r="J11" i="47"/>
  <c r="J10" i="47"/>
  <c r="J9" i="47"/>
  <c r="J8" i="47"/>
  <c r="J7" i="47"/>
  <c r="J6" i="47"/>
  <c r="J5" i="47"/>
  <c r="J4" i="47"/>
  <c r="J3" i="47"/>
  <c r="J76" i="46"/>
  <c r="J75" i="46"/>
  <c r="J74" i="46"/>
  <c r="J73" i="46"/>
  <c r="J72" i="46"/>
  <c r="J71" i="46"/>
  <c r="J70" i="46"/>
  <c r="J69" i="46"/>
  <c r="J68" i="46"/>
  <c r="J67" i="46"/>
  <c r="J66" i="46"/>
  <c r="J65" i="46"/>
  <c r="J64" i="46"/>
  <c r="J63" i="46"/>
  <c r="J62" i="46"/>
  <c r="J61" i="46"/>
  <c r="J60" i="46"/>
  <c r="J59" i="46"/>
  <c r="J58" i="46"/>
  <c r="J57" i="46"/>
  <c r="J56" i="46"/>
  <c r="J55" i="46"/>
  <c r="J54" i="46"/>
  <c r="J53" i="46"/>
  <c r="J52" i="46"/>
  <c r="J51" i="46"/>
  <c r="J50" i="46"/>
  <c r="J49" i="46"/>
  <c r="J48" i="46"/>
  <c r="J47" i="46"/>
  <c r="J46" i="46"/>
  <c r="J45" i="46"/>
  <c r="J44" i="46"/>
  <c r="J43" i="46"/>
  <c r="J42" i="46"/>
  <c r="J41" i="46"/>
  <c r="J40" i="46"/>
  <c r="J39" i="46"/>
  <c r="J38" i="46"/>
  <c r="J37" i="46"/>
  <c r="J36" i="46"/>
  <c r="J35" i="46"/>
  <c r="J34" i="46"/>
  <c r="J33" i="46"/>
  <c r="J32" i="46"/>
  <c r="J31" i="46"/>
  <c r="J30" i="46"/>
  <c r="J29" i="46"/>
  <c r="J28" i="46"/>
  <c r="J27" i="46"/>
  <c r="J26" i="46"/>
  <c r="J25" i="46"/>
  <c r="J24" i="46"/>
  <c r="J23" i="46"/>
  <c r="J22" i="46"/>
  <c r="J21" i="46"/>
  <c r="J20" i="46"/>
  <c r="J19" i="46"/>
  <c r="J18" i="46"/>
  <c r="J17" i="46"/>
  <c r="J16" i="46"/>
  <c r="J15" i="46"/>
  <c r="J14" i="46"/>
  <c r="J13" i="46"/>
  <c r="J12" i="46"/>
  <c r="J11" i="46"/>
  <c r="J10" i="46"/>
  <c r="J9" i="46"/>
  <c r="J8" i="46"/>
  <c r="J7" i="46"/>
  <c r="J6" i="46"/>
  <c r="J5" i="46"/>
  <c r="J4" i="46"/>
  <c r="J3" i="46"/>
  <c r="J63" i="45"/>
  <c r="J76" i="45"/>
  <c r="J75" i="45"/>
  <c r="J74" i="45"/>
  <c r="J73" i="45"/>
  <c r="J72" i="45"/>
  <c r="J71" i="45"/>
  <c r="J70" i="45"/>
  <c r="J69" i="45"/>
  <c r="J68" i="45"/>
  <c r="J67" i="45"/>
  <c r="J66" i="45"/>
  <c r="J65" i="45"/>
  <c r="J64" i="45"/>
  <c r="J62" i="45"/>
  <c r="J61" i="45"/>
  <c r="J60" i="45"/>
  <c r="J59" i="45"/>
  <c r="J58" i="45"/>
  <c r="J57" i="45"/>
  <c r="J56" i="45"/>
  <c r="J55" i="45"/>
  <c r="J54" i="45"/>
  <c r="J53" i="45"/>
  <c r="J52" i="45"/>
  <c r="J51" i="45"/>
  <c r="J50" i="45"/>
  <c r="J49" i="45"/>
  <c r="J48" i="45"/>
  <c r="J47" i="45"/>
  <c r="J46" i="45"/>
  <c r="J45" i="45"/>
  <c r="J44" i="45"/>
  <c r="J43" i="45"/>
  <c r="J42" i="45"/>
  <c r="J41" i="45"/>
  <c r="J40" i="45"/>
  <c r="J39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J7" i="45"/>
  <c r="J6" i="45"/>
  <c r="J5" i="45"/>
  <c r="J4" i="45"/>
  <c r="J3" i="45"/>
  <c r="J76" i="44"/>
  <c r="J75" i="44"/>
  <c r="J74" i="44"/>
  <c r="J73" i="44"/>
  <c r="J72" i="44"/>
  <c r="J71" i="44"/>
  <c r="J70" i="44"/>
  <c r="J69" i="44"/>
  <c r="J68" i="44"/>
  <c r="J67" i="44"/>
  <c r="J66" i="44"/>
  <c r="J65" i="44"/>
  <c r="J64" i="44"/>
  <c r="J63" i="44"/>
  <c r="J62" i="44"/>
  <c r="J61" i="44"/>
  <c r="J60" i="44"/>
  <c r="J59" i="44"/>
  <c r="J58" i="44"/>
  <c r="J57" i="44"/>
  <c r="J56" i="44"/>
  <c r="J55" i="44"/>
  <c r="J54" i="44"/>
  <c r="J53" i="44"/>
  <c r="J52" i="44"/>
  <c r="J51" i="44"/>
  <c r="J50" i="44"/>
  <c r="J49" i="44"/>
  <c r="J48" i="44"/>
  <c r="J47" i="44"/>
  <c r="J46" i="44"/>
  <c r="J45" i="44"/>
  <c r="J44" i="44"/>
  <c r="J43" i="44"/>
  <c r="J42" i="44"/>
  <c r="J41" i="44"/>
  <c r="J40" i="44"/>
  <c r="J39" i="44"/>
  <c r="J38" i="44"/>
  <c r="J37" i="44"/>
  <c r="J36" i="44"/>
  <c r="J35" i="44"/>
  <c r="J34" i="44"/>
  <c r="J33" i="44"/>
  <c r="J32" i="44"/>
  <c r="J31" i="44"/>
  <c r="J30" i="44"/>
  <c r="J29" i="44"/>
  <c r="J28" i="44"/>
  <c r="J27" i="44"/>
  <c r="J26" i="44"/>
  <c r="J25" i="44"/>
  <c r="J24" i="44"/>
  <c r="J23" i="44"/>
  <c r="J22" i="44"/>
  <c r="J21" i="44"/>
  <c r="J20" i="44"/>
  <c r="J19" i="44"/>
  <c r="J18" i="44"/>
  <c r="J17" i="44"/>
  <c r="J16" i="44"/>
  <c r="J15" i="44"/>
  <c r="J14" i="44"/>
  <c r="J13" i="44"/>
  <c r="J12" i="44"/>
  <c r="J11" i="44"/>
  <c r="J10" i="44"/>
  <c r="J9" i="44"/>
  <c r="J8" i="44"/>
  <c r="J7" i="44"/>
  <c r="J6" i="44"/>
  <c r="J5" i="44"/>
  <c r="J4" i="44"/>
  <c r="J3" i="44"/>
  <c r="J76" i="43" l="1"/>
  <c r="J75" i="43"/>
  <c r="J74" i="43"/>
  <c r="J73" i="43"/>
  <c r="J72" i="43"/>
  <c r="J71" i="43"/>
  <c r="J70" i="43"/>
  <c r="J69" i="43"/>
  <c r="J68" i="43"/>
  <c r="J67" i="43"/>
  <c r="J66" i="43"/>
  <c r="J65" i="43"/>
  <c r="J64" i="43"/>
  <c r="J63" i="43"/>
  <c r="J62" i="43"/>
  <c r="J61" i="43"/>
  <c r="J60" i="43"/>
  <c r="J59" i="43"/>
  <c r="J58" i="43"/>
  <c r="J57" i="43"/>
  <c r="J56" i="43"/>
  <c r="J55" i="43"/>
  <c r="J54" i="43"/>
  <c r="J53" i="43"/>
  <c r="J52" i="43"/>
  <c r="J51" i="43"/>
  <c r="J50" i="43"/>
  <c r="J49" i="43"/>
  <c r="J48" i="43"/>
  <c r="J47" i="43"/>
  <c r="J46" i="43"/>
  <c r="J45" i="43"/>
  <c r="J44" i="43"/>
  <c r="J43" i="43"/>
  <c r="J42" i="43"/>
  <c r="J41" i="43"/>
  <c r="J40" i="43"/>
  <c r="J39" i="43"/>
  <c r="J38" i="43"/>
  <c r="J37" i="43"/>
  <c r="J36" i="43"/>
  <c r="J35" i="43"/>
  <c r="J34" i="43"/>
  <c r="J33" i="43"/>
  <c r="J32" i="43"/>
  <c r="J31" i="43"/>
  <c r="J30" i="43"/>
  <c r="J29" i="43"/>
  <c r="J28" i="43"/>
  <c r="J27" i="43"/>
  <c r="J26" i="43"/>
  <c r="J25" i="43"/>
  <c r="J24" i="43"/>
  <c r="J23" i="43"/>
  <c r="J22" i="43"/>
  <c r="J21" i="43"/>
  <c r="J20" i="43"/>
  <c r="J19" i="43"/>
  <c r="J18" i="43"/>
  <c r="J17" i="43"/>
  <c r="J16" i="43"/>
  <c r="J15" i="43"/>
  <c r="J14" i="43"/>
  <c r="J13" i="43"/>
  <c r="J12" i="43"/>
  <c r="J11" i="43"/>
  <c r="J10" i="43"/>
  <c r="J9" i="43"/>
  <c r="J8" i="43"/>
  <c r="J7" i="43"/>
  <c r="J6" i="43"/>
  <c r="J5" i="43"/>
  <c r="J4" i="43"/>
  <c r="J3" i="43"/>
  <c r="J76" i="42" l="1"/>
  <c r="J75" i="42"/>
  <c r="J74" i="42"/>
  <c r="J73" i="42"/>
  <c r="J72" i="42"/>
  <c r="J71" i="42"/>
  <c r="J70" i="42"/>
  <c r="J69" i="42"/>
  <c r="J68" i="42"/>
  <c r="J67" i="42"/>
  <c r="J66" i="42"/>
  <c r="J65" i="42"/>
  <c r="J64" i="42"/>
  <c r="J63" i="42"/>
  <c r="J62" i="42"/>
  <c r="J61" i="42"/>
  <c r="J60" i="42"/>
  <c r="J59" i="42"/>
  <c r="J58" i="42"/>
  <c r="J57" i="42"/>
  <c r="J56" i="42"/>
  <c r="J55" i="42"/>
  <c r="J54" i="42"/>
  <c r="J53" i="42"/>
  <c r="J52" i="42"/>
  <c r="J51" i="42"/>
  <c r="J50" i="42"/>
  <c r="J49" i="42"/>
  <c r="J48" i="42"/>
  <c r="J47" i="42"/>
  <c r="J46" i="42"/>
  <c r="J45" i="42"/>
  <c r="J44" i="42"/>
  <c r="J43" i="42"/>
  <c r="J42" i="42"/>
  <c r="J41" i="42"/>
  <c r="J40" i="42"/>
  <c r="J39" i="42"/>
  <c r="J38" i="42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J21" i="42"/>
  <c r="J20" i="42"/>
  <c r="J19" i="42"/>
  <c r="J18" i="42"/>
  <c r="J17" i="42"/>
  <c r="J16" i="42"/>
  <c r="J15" i="42"/>
  <c r="J14" i="42"/>
  <c r="J13" i="42"/>
  <c r="J12" i="42"/>
  <c r="J11" i="42"/>
  <c r="J10" i="42"/>
  <c r="J9" i="42"/>
  <c r="J8" i="42"/>
  <c r="J7" i="42"/>
  <c r="J6" i="42"/>
  <c r="J5" i="42"/>
  <c r="J4" i="42"/>
  <c r="J3" i="42"/>
  <c r="J78" i="41" l="1"/>
  <c r="J77" i="41"/>
  <c r="J76" i="41"/>
  <c r="J75" i="41"/>
  <c r="J74" i="41"/>
  <c r="J73" i="41"/>
  <c r="J72" i="41"/>
  <c r="J71" i="41"/>
  <c r="J70" i="41"/>
  <c r="J69" i="41"/>
  <c r="J68" i="41"/>
  <c r="J67" i="41"/>
  <c r="J66" i="41"/>
  <c r="J65" i="41"/>
  <c r="J64" i="41"/>
  <c r="J63" i="41"/>
  <c r="J62" i="41"/>
  <c r="J61" i="41"/>
  <c r="J60" i="41"/>
  <c r="J59" i="41"/>
  <c r="J58" i="41"/>
  <c r="J57" i="41"/>
  <c r="J56" i="41"/>
  <c r="J55" i="41"/>
  <c r="J54" i="41"/>
  <c r="J53" i="41"/>
  <c r="J52" i="41"/>
  <c r="J51" i="41"/>
  <c r="J50" i="41"/>
  <c r="J49" i="41"/>
  <c r="J48" i="41"/>
  <c r="J47" i="41"/>
  <c r="J46" i="41"/>
  <c r="J45" i="41"/>
  <c r="J44" i="41"/>
  <c r="J43" i="41"/>
  <c r="J42" i="41"/>
  <c r="J41" i="41"/>
  <c r="J40" i="41"/>
  <c r="J39" i="41"/>
  <c r="J38" i="41"/>
  <c r="J37" i="41"/>
  <c r="J36" i="41"/>
  <c r="J35" i="41"/>
  <c r="J34" i="41"/>
  <c r="J33" i="41"/>
  <c r="J32" i="41"/>
  <c r="J31" i="41"/>
  <c r="J30" i="41"/>
  <c r="J29" i="41"/>
  <c r="J28" i="41"/>
  <c r="J27" i="41"/>
  <c r="J26" i="41"/>
  <c r="J25" i="41"/>
  <c r="J24" i="41"/>
  <c r="J23" i="41"/>
  <c r="J22" i="41"/>
  <c r="J21" i="41"/>
  <c r="J20" i="41"/>
  <c r="J19" i="41"/>
  <c r="J18" i="41"/>
  <c r="J17" i="41"/>
  <c r="J16" i="41"/>
  <c r="J15" i="41"/>
  <c r="J14" i="41"/>
  <c r="J13" i="41"/>
  <c r="J12" i="41"/>
  <c r="J11" i="41"/>
  <c r="J10" i="41"/>
  <c r="J9" i="41"/>
  <c r="J8" i="41"/>
  <c r="J7" i="41"/>
  <c r="J6" i="41"/>
  <c r="J5" i="41"/>
  <c r="J4" i="41"/>
  <c r="J3" i="41"/>
  <c r="J78" i="40" l="1"/>
  <c r="J77" i="40"/>
  <c r="J76" i="40"/>
  <c r="J75" i="40"/>
  <c r="J74" i="40"/>
  <c r="J73" i="40"/>
  <c r="J72" i="40"/>
  <c r="J71" i="40"/>
  <c r="J70" i="40"/>
  <c r="J69" i="40"/>
  <c r="J68" i="40"/>
  <c r="J67" i="40"/>
  <c r="J66" i="40"/>
  <c r="J65" i="40"/>
  <c r="J64" i="40"/>
  <c r="J63" i="40"/>
  <c r="J62" i="40"/>
  <c r="J61" i="40"/>
  <c r="J60" i="40"/>
  <c r="J59" i="40"/>
  <c r="J58" i="40"/>
  <c r="J57" i="40"/>
  <c r="J56" i="40"/>
  <c r="J55" i="40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J5" i="40"/>
  <c r="J4" i="40"/>
  <c r="J3" i="40"/>
  <c r="J78" i="39" l="1"/>
  <c r="J77" i="39"/>
  <c r="J76" i="39"/>
  <c r="J75" i="39"/>
  <c r="J74" i="39"/>
  <c r="J73" i="39"/>
  <c r="J72" i="39"/>
  <c r="J71" i="39"/>
  <c r="J70" i="39"/>
  <c r="J69" i="39"/>
  <c r="J68" i="39"/>
  <c r="J67" i="39"/>
  <c r="J66" i="39"/>
  <c r="J65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J21" i="39"/>
  <c r="J20" i="39"/>
  <c r="J19" i="39"/>
  <c r="J18" i="39"/>
  <c r="J17" i="39"/>
  <c r="J16" i="39"/>
  <c r="J15" i="39"/>
  <c r="J14" i="39"/>
  <c r="J13" i="39"/>
  <c r="J12" i="39"/>
  <c r="J11" i="39"/>
  <c r="J10" i="39"/>
  <c r="J9" i="39"/>
  <c r="J8" i="39"/>
  <c r="J7" i="39"/>
  <c r="J6" i="39"/>
  <c r="J5" i="39"/>
  <c r="J4" i="39"/>
  <c r="J3" i="39"/>
  <c r="J78" i="38" l="1"/>
  <c r="J77" i="38"/>
  <c r="J76" i="38"/>
  <c r="J75" i="38"/>
  <c r="J74" i="38"/>
  <c r="J73" i="38"/>
  <c r="J72" i="38"/>
  <c r="J71" i="38"/>
  <c r="J70" i="38"/>
  <c r="J69" i="38"/>
  <c r="J68" i="38"/>
  <c r="J67" i="38"/>
  <c r="J66" i="38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1" i="38"/>
  <c r="J10" i="38"/>
  <c r="J9" i="38"/>
  <c r="J8" i="38"/>
  <c r="J7" i="38"/>
  <c r="J6" i="38"/>
  <c r="J5" i="38"/>
  <c r="J4" i="38"/>
  <c r="J3" i="38"/>
  <c r="J78" i="37" l="1"/>
  <c r="J77" i="37"/>
  <c r="J76" i="37"/>
  <c r="J75" i="37"/>
  <c r="J74" i="37"/>
  <c r="J73" i="37"/>
  <c r="J72" i="37"/>
  <c r="J71" i="37"/>
  <c r="J70" i="37"/>
  <c r="J69" i="37"/>
  <c r="J68" i="37"/>
  <c r="J67" i="37"/>
  <c r="J66" i="37"/>
  <c r="J65" i="37"/>
  <c r="J64" i="37"/>
  <c r="J63" i="37"/>
  <c r="J62" i="37"/>
  <c r="J61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J32" i="37"/>
  <c r="J31" i="37"/>
  <c r="J30" i="37"/>
  <c r="J29" i="37"/>
  <c r="J28" i="37"/>
  <c r="J27" i="37"/>
  <c r="J26" i="37"/>
  <c r="J25" i="37"/>
  <c r="J24" i="37"/>
  <c r="J23" i="37"/>
  <c r="J22" i="37"/>
  <c r="J21" i="37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J5" i="37"/>
  <c r="J4" i="37"/>
  <c r="J3" i="37"/>
  <c r="J78" i="36" l="1"/>
  <c r="J77" i="36"/>
  <c r="J76" i="36"/>
  <c r="J75" i="36"/>
  <c r="J74" i="36"/>
  <c r="J73" i="36"/>
  <c r="J72" i="36"/>
  <c r="J71" i="36"/>
  <c r="J70" i="36"/>
  <c r="J69" i="36"/>
  <c r="J68" i="36"/>
  <c r="J67" i="36"/>
  <c r="J66" i="36"/>
  <c r="J65" i="36"/>
  <c r="J64" i="36"/>
  <c r="J63" i="36"/>
  <c r="J62" i="36"/>
  <c r="J61" i="36"/>
  <c r="J60" i="36"/>
  <c r="J59" i="36"/>
  <c r="J58" i="36"/>
  <c r="J57" i="36"/>
  <c r="J56" i="36"/>
  <c r="J55" i="36"/>
  <c r="J54" i="36"/>
  <c r="J53" i="36"/>
  <c r="J52" i="36"/>
  <c r="J51" i="36"/>
  <c r="J50" i="36"/>
  <c r="J49" i="36"/>
  <c r="J48" i="36"/>
  <c r="J47" i="36"/>
  <c r="J46" i="36"/>
  <c r="J45" i="36"/>
  <c r="J44" i="36"/>
  <c r="J43" i="36"/>
  <c r="J42" i="36"/>
  <c r="J41" i="36"/>
  <c r="J40" i="36"/>
  <c r="J39" i="36"/>
  <c r="J38" i="36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J5" i="36"/>
  <c r="J4" i="36"/>
  <c r="J3" i="36"/>
  <c r="J78" i="35" l="1"/>
  <c r="J77" i="35"/>
  <c r="J76" i="35"/>
  <c r="J75" i="35"/>
  <c r="J74" i="35"/>
  <c r="J73" i="35"/>
  <c r="J72" i="35"/>
  <c r="J71" i="35"/>
  <c r="J70" i="35"/>
  <c r="J69" i="35"/>
  <c r="J68" i="35"/>
  <c r="J67" i="35"/>
  <c r="J66" i="35"/>
  <c r="J65" i="35"/>
  <c r="J64" i="35"/>
  <c r="J63" i="35"/>
  <c r="J62" i="35"/>
  <c r="J61" i="35"/>
  <c r="J60" i="35"/>
  <c r="J59" i="35"/>
  <c r="J58" i="35"/>
  <c r="J57" i="35"/>
  <c r="J56" i="35"/>
  <c r="J55" i="35"/>
  <c r="J54" i="35"/>
  <c r="J53" i="35"/>
  <c r="J52" i="35"/>
  <c r="J51" i="35"/>
  <c r="J50" i="35"/>
  <c r="J49" i="35"/>
  <c r="J48" i="35"/>
  <c r="J47" i="35"/>
  <c r="J46" i="35"/>
  <c r="J45" i="35"/>
  <c r="J44" i="35"/>
  <c r="J43" i="35"/>
  <c r="J42" i="35"/>
  <c r="J41" i="35"/>
  <c r="J40" i="35"/>
  <c r="J39" i="35"/>
  <c r="J38" i="35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22" i="35"/>
  <c r="J21" i="35"/>
  <c r="J20" i="35"/>
  <c r="J19" i="35"/>
  <c r="J18" i="35"/>
  <c r="J17" i="35"/>
  <c r="J16" i="35"/>
  <c r="J15" i="35"/>
  <c r="J14" i="35"/>
  <c r="J13" i="35"/>
  <c r="J12" i="35"/>
  <c r="J11" i="35"/>
  <c r="J10" i="35"/>
  <c r="J9" i="35"/>
  <c r="J8" i="35"/>
  <c r="J7" i="35"/>
  <c r="J6" i="35"/>
  <c r="J5" i="35"/>
  <c r="J4" i="35"/>
  <c r="J3" i="35"/>
  <c r="J78" i="34" l="1"/>
  <c r="J77" i="34"/>
  <c r="J76" i="34"/>
  <c r="J75" i="34"/>
  <c r="J74" i="34"/>
  <c r="J73" i="34"/>
  <c r="J72" i="34"/>
  <c r="J71" i="34"/>
  <c r="J70" i="34"/>
  <c r="J69" i="34"/>
  <c r="J68" i="34"/>
  <c r="J67" i="34"/>
  <c r="J66" i="34"/>
  <c r="J65" i="34"/>
  <c r="J64" i="34"/>
  <c r="J63" i="34"/>
  <c r="J62" i="34"/>
  <c r="J61" i="34"/>
  <c r="J60" i="34"/>
  <c r="J59" i="34"/>
  <c r="J58" i="34"/>
  <c r="J57" i="34"/>
  <c r="J56" i="34"/>
  <c r="J55" i="34"/>
  <c r="J54" i="34"/>
  <c r="J53" i="34"/>
  <c r="J52" i="34"/>
  <c r="J51" i="34"/>
  <c r="J50" i="34"/>
  <c r="J49" i="34"/>
  <c r="J48" i="34"/>
  <c r="J47" i="34"/>
  <c r="J46" i="34"/>
  <c r="J45" i="34"/>
  <c r="J44" i="34"/>
  <c r="J43" i="34"/>
  <c r="J42" i="34"/>
  <c r="J41" i="34"/>
  <c r="J40" i="34"/>
  <c r="J39" i="34"/>
  <c r="J38" i="34"/>
  <c r="J37" i="34"/>
  <c r="J36" i="34"/>
  <c r="J35" i="34"/>
  <c r="J34" i="34"/>
  <c r="J33" i="34"/>
  <c r="J32" i="34"/>
  <c r="J31" i="34"/>
  <c r="J30" i="34"/>
  <c r="J29" i="34"/>
  <c r="J28" i="34"/>
  <c r="J27" i="34"/>
  <c r="J26" i="34"/>
  <c r="J25" i="34"/>
  <c r="J24" i="34"/>
  <c r="J23" i="34"/>
  <c r="J22" i="34"/>
  <c r="J21" i="34"/>
  <c r="J20" i="34"/>
  <c r="J19" i="34"/>
  <c r="J18" i="34"/>
  <c r="J17" i="34"/>
  <c r="J16" i="34"/>
  <c r="J15" i="34"/>
  <c r="J14" i="34"/>
  <c r="J13" i="34"/>
  <c r="J12" i="34"/>
  <c r="J11" i="34"/>
  <c r="J10" i="34"/>
  <c r="J9" i="34"/>
  <c r="J8" i="34"/>
  <c r="J7" i="34"/>
  <c r="J6" i="34"/>
  <c r="J5" i="34"/>
  <c r="J4" i="34"/>
  <c r="J3" i="34"/>
  <c r="J78" i="33" l="1"/>
  <c r="J77" i="33"/>
  <c r="J76" i="33"/>
  <c r="J75" i="33"/>
  <c r="J74" i="33"/>
  <c r="J73" i="33"/>
  <c r="J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24" i="33"/>
  <c r="J23" i="33"/>
  <c r="J22" i="33"/>
  <c r="J21" i="33"/>
  <c r="J20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6" i="33"/>
  <c r="J5" i="33"/>
  <c r="J4" i="33"/>
  <c r="J3" i="33"/>
  <c r="J78" i="32" l="1"/>
  <c r="J77" i="32"/>
  <c r="J76" i="32"/>
  <c r="J75" i="32"/>
  <c r="J74" i="32"/>
  <c r="J73" i="32"/>
  <c r="J72" i="32"/>
  <c r="J71" i="32"/>
  <c r="J70" i="32"/>
  <c r="J69" i="32"/>
  <c r="J68" i="32"/>
  <c r="J67" i="32"/>
  <c r="J66" i="32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J5" i="32"/>
  <c r="J4" i="32"/>
  <c r="J3" i="32"/>
  <c r="J78" i="31" l="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J6" i="31"/>
  <c r="J5" i="31"/>
  <c r="J4" i="31"/>
  <c r="J3" i="31"/>
  <c r="J78" i="30" l="1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J6" i="30"/>
  <c r="J5" i="30"/>
  <c r="J4" i="30"/>
  <c r="J3" i="30"/>
  <c r="J78" i="29" l="1"/>
  <c r="J77" i="29"/>
  <c r="J76" i="29"/>
  <c r="J75" i="29"/>
  <c r="J74" i="29"/>
  <c r="J73" i="29"/>
  <c r="J72" i="29"/>
  <c r="J71" i="29"/>
  <c r="J70" i="29"/>
  <c r="J69" i="29"/>
  <c r="J68" i="29"/>
  <c r="J67" i="29"/>
  <c r="J66" i="29"/>
  <c r="J65" i="29"/>
  <c r="J64" i="29"/>
  <c r="J63" i="29"/>
  <c r="J62" i="29"/>
  <c r="J61" i="29"/>
  <c r="J60" i="29"/>
  <c r="J59" i="29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J5" i="29"/>
  <c r="J4" i="29"/>
  <c r="J3" i="29"/>
  <c r="J78" i="27" l="1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78" i="26" l="1"/>
  <c r="J77" i="26"/>
  <c r="J76" i="26"/>
  <c r="J75" i="26"/>
  <c r="J74" i="26"/>
  <c r="J73" i="26"/>
  <c r="J72" i="26"/>
  <c r="J71" i="26"/>
  <c r="J70" i="26"/>
  <c r="J69" i="26"/>
  <c r="J68" i="26"/>
  <c r="J67" i="26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J8" i="26"/>
  <c r="J7" i="26"/>
  <c r="J6" i="26"/>
  <c r="J5" i="26"/>
  <c r="J4" i="26"/>
  <c r="J3" i="26"/>
  <c r="J78" i="25" l="1"/>
  <c r="J77" i="25"/>
  <c r="J76" i="25"/>
  <c r="J75" i="25"/>
  <c r="J74" i="25"/>
  <c r="J73" i="25"/>
  <c r="J72" i="25"/>
  <c r="J71" i="25"/>
  <c r="J70" i="25"/>
  <c r="J69" i="25"/>
  <c r="J68" i="25"/>
  <c r="J67" i="25"/>
  <c r="J66" i="25"/>
  <c r="J65" i="25"/>
  <c r="J64" i="25"/>
  <c r="J63" i="25"/>
  <c r="J62" i="25"/>
  <c r="J61" i="25"/>
  <c r="J60" i="25"/>
  <c r="J59" i="25"/>
  <c r="J58" i="25"/>
  <c r="J56" i="25"/>
  <c r="J55" i="25"/>
  <c r="J54" i="25"/>
  <c r="J53" i="25"/>
  <c r="J52" i="25"/>
  <c r="J51" i="25"/>
  <c r="J50" i="25"/>
  <c r="J49" i="25"/>
  <c r="J47" i="25"/>
  <c r="J46" i="25"/>
  <c r="J45" i="25"/>
  <c r="J44" i="25"/>
  <c r="J43" i="25"/>
  <c r="J42" i="25"/>
  <c r="J41" i="25"/>
  <c r="J40" i="25"/>
  <c r="J39" i="25"/>
  <c r="J37" i="25"/>
  <c r="J36" i="25"/>
  <c r="J32" i="25"/>
  <c r="J31" i="25"/>
  <c r="J30" i="25"/>
  <c r="J29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7" i="25"/>
  <c r="J6" i="25"/>
  <c r="J5" i="25"/>
  <c r="J4" i="25"/>
  <c r="J3" i="25"/>
  <c r="J78" i="24" l="1"/>
  <c r="J77" i="24"/>
  <c r="J76" i="24"/>
  <c r="J75" i="24"/>
  <c r="J74" i="24"/>
  <c r="J73" i="24"/>
  <c r="J72" i="24"/>
  <c r="J71" i="24"/>
  <c r="J70" i="24"/>
  <c r="J69" i="24"/>
  <c r="J68" i="24"/>
  <c r="J67" i="24"/>
  <c r="J66" i="24"/>
  <c r="J65" i="24"/>
  <c r="J64" i="24"/>
  <c r="J63" i="24"/>
  <c r="J62" i="24"/>
  <c r="J61" i="24"/>
  <c r="J60" i="24"/>
  <c r="J59" i="24"/>
  <c r="J58" i="24"/>
  <c r="J56" i="24"/>
  <c r="J55" i="24"/>
  <c r="J54" i="24"/>
  <c r="J53" i="24"/>
  <c r="J52" i="24"/>
  <c r="J51" i="24"/>
  <c r="J50" i="24"/>
  <c r="J49" i="24"/>
  <c r="J47" i="24"/>
  <c r="J46" i="24"/>
  <c r="J45" i="24"/>
  <c r="J44" i="24"/>
  <c r="J43" i="24"/>
  <c r="J42" i="24"/>
  <c r="J41" i="24"/>
  <c r="J40" i="24"/>
  <c r="J39" i="24"/>
  <c r="J37" i="24"/>
  <c r="J36" i="24"/>
  <c r="J32" i="24"/>
  <c r="J31" i="24"/>
  <c r="J30" i="24"/>
  <c r="J29" i="24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9" i="24"/>
  <c r="J8" i="24"/>
  <c r="J7" i="24"/>
  <c r="J6" i="24"/>
  <c r="J5" i="24"/>
  <c r="J4" i="24"/>
  <c r="J3" i="24"/>
  <c r="J78" i="23" l="1"/>
  <c r="J77" i="23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61" i="23"/>
  <c r="J60" i="23"/>
  <c r="J59" i="23"/>
  <c r="J58" i="23"/>
  <c r="J56" i="23"/>
  <c r="J55" i="23"/>
  <c r="J54" i="23"/>
  <c r="J53" i="23"/>
  <c r="J52" i="23"/>
  <c r="J51" i="23"/>
  <c r="J50" i="23"/>
  <c r="J49" i="23"/>
  <c r="J47" i="23"/>
  <c r="J46" i="23"/>
  <c r="J45" i="23"/>
  <c r="J44" i="23"/>
  <c r="J43" i="23"/>
  <c r="J42" i="23"/>
  <c r="J41" i="23"/>
  <c r="J40" i="23"/>
  <c r="J39" i="23"/>
  <c r="J37" i="23"/>
  <c r="J36" i="23"/>
  <c r="J32" i="23"/>
  <c r="J31" i="23"/>
  <c r="J30" i="23"/>
  <c r="J29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3" i="23"/>
  <c r="J78" i="22" l="1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6" i="22"/>
  <c r="J55" i="22"/>
  <c r="J54" i="22"/>
  <c r="J53" i="22"/>
  <c r="J52" i="22"/>
  <c r="J51" i="22"/>
  <c r="J50" i="22"/>
  <c r="J49" i="22"/>
  <c r="J47" i="22"/>
  <c r="J46" i="22"/>
  <c r="J45" i="22"/>
  <c r="J44" i="22"/>
  <c r="J43" i="22"/>
  <c r="J42" i="22"/>
  <c r="J41" i="22"/>
  <c r="J40" i="22"/>
  <c r="J39" i="22"/>
  <c r="J37" i="22"/>
  <c r="J36" i="22"/>
  <c r="J32" i="22"/>
  <c r="J31" i="22"/>
  <c r="J30" i="22"/>
  <c r="J29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J3" i="22"/>
  <c r="J78" i="21" l="1"/>
  <c r="J77" i="21"/>
  <c r="J76" i="21"/>
  <c r="J75" i="21"/>
  <c r="J74" i="21"/>
  <c r="J73" i="21"/>
  <c r="J72" i="21"/>
  <c r="J71" i="21"/>
  <c r="J70" i="21"/>
  <c r="J69" i="21"/>
  <c r="J68" i="21"/>
  <c r="J67" i="21"/>
  <c r="J66" i="21"/>
  <c r="J65" i="21"/>
  <c r="J64" i="21"/>
  <c r="J63" i="21"/>
  <c r="J62" i="21"/>
  <c r="J61" i="21"/>
  <c r="J60" i="21"/>
  <c r="J59" i="21"/>
  <c r="J58" i="21"/>
  <c r="J56" i="21"/>
  <c r="J55" i="21"/>
  <c r="J54" i="21"/>
  <c r="J53" i="21"/>
  <c r="J52" i="21"/>
  <c r="J51" i="21"/>
  <c r="J50" i="21"/>
  <c r="J49" i="21"/>
  <c r="J47" i="21"/>
  <c r="J46" i="21"/>
  <c r="J45" i="21"/>
  <c r="J44" i="21"/>
  <c r="J43" i="21"/>
  <c r="J42" i="21"/>
  <c r="J41" i="21"/>
  <c r="J40" i="21"/>
  <c r="J39" i="21"/>
  <c r="J37" i="21"/>
  <c r="J36" i="21"/>
  <c r="J32" i="21"/>
  <c r="J31" i="21"/>
  <c r="J30" i="21"/>
  <c r="J29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J5" i="21"/>
  <c r="J4" i="21"/>
  <c r="J3" i="21"/>
  <c r="J78" i="20" l="1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6" i="20"/>
  <c r="J55" i="20"/>
  <c r="J54" i="20"/>
  <c r="J53" i="20"/>
  <c r="J52" i="20"/>
  <c r="J51" i="20"/>
  <c r="J50" i="20"/>
  <c r="J49" i="20"/>
  <c r="J47" i="20"/>
  <c r="J46" i="20"/>
  <c r="J45" i="20"/>
  <c r="J44" i="20"/>
  <c r="J43" i="20"/>
  <c r="J42" i="20"/>
  <c r="J41" i="20"/>
  <c r="J40" i="20"/>
  <c r="J39" i="20"/>
  <c r="J37" i="20"/>
  <c r="J36" i="20"/>
  <c r="J32" i="20"/>
  <c r="J31" i="20"/>
  <c r="J30" i="20"/>
  <c r="J29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J4" i="20"/>
  <c r="J3" i="20"/>
  <c r="J49" i="19" l="1"/>
  <c r="J78" i="19" l="1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5" i="19"/>
  <c r="J54" i="19"/>
  <c r="J53" i="19"/>
  <c r="J52" i="19"/>
  <c r="J51" i="19"/>
  <c r="J50" i="19"/>
  <c r="J47" i="19"/>
  <c r="J46" i="19"/>
  <c r="J45" i="19"/>
  <c r="J44" i="19"/>
  <c r="J43" i="19"/>
  <c r="J42" i="19"/>
  <c r="J41" i="19"/>
  <c r="J40" i="19"/>
  <c r="J39" i="19"/>
  <c r="J37" i="19"/>
  <c r="J36" i="19"/>
  <c r="J32" i="19"/>
  <c r="J31" i="19"/>
  <c r="J30" i="19"/>
  <c r="J29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4" i="18" l="1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1" i="18"/>
  <c r="J60" i="18"/>
  <c r="J58" i="18"/>
  <c r="J55" i="18"/>
  <c r="J53" i="18"/>
  <c r="J52" i="18"/>
  <c r="J51" i="18"/>
  <c r="J50" i="18"/>
  <c r="J49" i="18"/>
  <c r="J47" i="18"/>
  <c r="J46" i="18"/>
  <c r="J45" i="18"/>
  <c r="J44" i="18"/>
  <c r="J43" i="18"/>
  <c r="J42" i="18"/>
  <c r="J41" i="18"/>
  <c r="J40" i="18"/>
  <c r="J39" i="18"/>
  <c r="J37" i="18"/>
  <c r="J36" i="18"/>
  <c r="J32" i="18"/>
  <c r="J31" i="18"/>
  <c r="J30" i="18"/>
  <c r="J29" i="18"/>
  <c r="J26" i="18"/>
  <c r="J25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J78" i="17" l="1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1" i="17"/>
  <c r="J60" i="17"/>
  <c r="J58" i="17"/>
  <c r="J55" i="17"/>
  <c r="J53" i="17"/>
  <c r="J52" i="17"/>
  <c r="J51" i="17"/>
  <c r="J50" i="17"/>
  <c r="J49" i="17"/>
  <c r="J47" i="17"/>
  <c r="J46" i="17"/>
  <c r="J45" i="17"/>
  <c r="J44" i="17"/>
  <c r="J43" i="17"/>
  <c r="J42" i="17"/>
  <c r="J41" i="17"/>
  <c r="J40" i="17"/>
  <c r="J39" i="17"/>
  <c r="J37" i="17"/>
  <c r="J36" i="17"/>
  <c r="J32" i="17"/>
  <c r="J31" i="17"/>
  <c r="J30" i="17"/>
  <c r="J29" i="17"/>
  <c r="J26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78" i="16" l="1"/>
  <c r="J77" i="16"/>
  <c r="J76" i="16"/>
  <c r="J75" i="16"/>
  <c r="J74" i="16"/>
  <c r="J73" i="16"/>
  <c r="J72" i="16"/>
  <c r="J71" i="16"/>
  <c r="J70" i="16"/>
  <c r="J69" i="16"/>
  <c r="J68" i="16"/>
  <c r="J67" i="16"/>
  <c r="J66" i="16"/>
  <c r="J65" i="16"/>
  <c r="J64" i="16"/>
  <c r="J58" i="16"/>
  <c r="J55" i="16"/>
  <c r="J53" i="16"/>
  <c r="J52" i="16"/>
  <c r="J51" i="16"/>
  <c r="J50" i="16"/>
  <c r="J47" i="16"/>
  <c r="J46" i="16"/>
  <c r="J44" i="16"/>
  <c r="J43" i="16"/>
  <c r="J42" i="16"/>
  <c r="J41" i="16"/>
  <c r="J40" i="16"/>
  <c r="J39" i="16"/>
  <c r="J37" i="16"/>
  <c r="J36" i="16"/>
  <c r="J32" i="16"/>
  <c r="J23" i="16"/>
  <c r="J22" i="16"/>
  <c r="J21" i="16"/>
  <c r="J20" i="16"/>
  <c r="J19" i="16"/>
  <c r="J18" i="16"/>
  <c r="J17" i="16"/>
  <c r="J15" i="16"/>
  <c r="J12" i="16"/>
  <c r="J11" i="16"/>
  <c r="J10" i="16"/>
  <c r="J9" i="16"/>
  <c r="J8" i="16"/>
  <c r="J7" i="16"/>
  <c r="J6" i="16"/>
  <c r="J5" i="16"/>
  <c r="J4" i="16"/>
  <c r="J78" i="15" l="1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58" i="15"/>
  <c r="J55" i="15"/>
  <c r="J53" i="15"/>
  <c r="J52" i="15"/>
  <c r="J51" i="15"/>
  <c r="J50" i="15"/>
  <c r="J47" i="15"/>
  <c r="J46" i="15"/>
  <c r="J43" i="15"/>
  <c r="J42" i="15"/>
  <c r="J41" i="15"/>
  <c r="J40" i="15"/>
  <c r="J37" i="15"/>
  <c r="J36" i="15"/>
  <c r="J32" i="15"/>
  <c r="J23" i="15"/>
  <c r="J22" i="15"/>
  <c r="J21" i="15"/>
  <c r="J20" i="15"/>
  <c r="J19" i="15"/>
  <c r="J18" i="15"/>
  <c r="J17" i="15"/>
  <c r="J15" i="15"/>
  <c r="J12" i="15"/>
  <c r="J11" i="15"/>
  <c r="J10" i="15"/>
  <c r="J8" i="15"/>
  <c r="J7" i="15"/>
  <c r="J6" i="15"/>
  <c r="J5" i="15"/>
  <c r="J4" i="15"/>
  <c r="J78" i="14" l="1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58" i="14"/>
  <c r="J53" i="14"/>
  <c r="J52" i="14"/>
  <c r="J51" i="14"/>
  <c r="J50" i="14"/>
  <c r="J46" i="14"/>
  <c r="J43" i="14"/>
  <c r="J42" i="14"/>
  <c r="J41" i="14"/>
  <c r="J40" i="14"/>
  <c r="J37" i="14"/>
  <c r="J36" i="14"/>
  <c r="J32" i="14"/>
  <c r="J22" i="14"/>
  <c r="J21" i="14"/>
  <c r="J20" i="14"/>
  <c r="J19" i="14"/>
  <c r="J18" i="14"/>
  <c r="J17" i="14"/>
  <c r="J15" i="14"/>
  <c r="J12" i="14"/>
  <c r="J11" i="14"/>
  <c r="J10" i="14"/>
  <c r="J7" i="14"/>
  <c r="J6" i="14"/>
  <c r="J5" i="14"/>
  <c r="J4" i="14"/>
  <c r="J78" i="13" l="1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58" i="13"/>
  <c r="J53" i="13"/>
  <c r="J52" i="13"/>
  <c r="J51" i="13"/>
  <c r="J50" i="13"/>
  <c r="J46" i="13"/>
  <c r="J43" i="13"/>
  <c r="J42" i="13"/>
  <c r="J41" i="13"/>
  <c r="J40" i="13"/>
  <c r="J37" i="13"/>
  <c r="J36" i="13"/>
  <c r="J32" i="13"/>
  <c r="J22" i="13"/>
  <c r="J21" i="13"/>
  <c r="J20" i="13"/>
  <c r="J19" i="13"/>
  <c r="J18" i="13"/>
  <c r="J17" i="13"/>
  <c r="J15" i="13"/>
  <c r="J12" i="13"/>
  <c r="J11" i="13"/>
  <c r="J10" i="13"/>
  <c r="J7" i="13"/>
  <c r="J5" i="13"/>
  <c r="J4" i="13"/>
  <c r="J78" i="12" l="1"/>
  <c r="J76" i="12"/>
  <c r="J75" i="12"/>
  <c r="J74" i="12"/>
  <c r="J71" i="12"/>
  <c r="J70" i="12"/>
  <c r="J68" i="12"/>
  <c r="J65" i="12"/>
  <c r="J58" i="12"/>
  <c r="J52" i="12"/>
  <c r="J51" i="12"/>
  <c r="J50" i="12"/>
  <c r="J46" i="12"/>
  <c r="J43" i="12"/>
  <c r="J42" i="12"/>
  <c r="J41" i="12"/>
  <c r="J40" i="12"/>
  <c r="J37" i="12"/>
  <c r="J32" i="12"/>
  <c r="J21" i="12"/>
  <c r="J19" i="12"/>
  <c r="J18" i="12"/>
  <c r="J17" i="12"/>
  <c r="J12" i="12"/>
  <c r="J11" i="12"/>
  <c r="J10" i="12"/>
  <c r="J7" i="12"/>
  <c r="J5" i="12"/>
  <c r="J4" i="12"/>
  <c r="J78" i="9" l="1"/>
  <c r="C78" i="10" s="1"/>
  <c r="J78" i="10" s="1"/>
  <c r="C78" i="11" s="1"/>
  <c r="J78" i="11" s="1"/>
  <c r="J77" i="9"/>
  <c r="C77" i="10" s="1"/>
  <c r="J77" i="10" s="1"/>
  <c r="J76" i="9"/>
  <c r="C76" i="10" s="1"/>
  <c r="J76" i="10" s="1"/>
  <c r="C76" i="11" s="1"/>
  <c r="J76" i="11" s="1"/>
  <c r="J75" i="9"/>
  <c r="C75" i="10" s="1"/>
  <c r="J75" i="10" s="1"/>
  <c r="C75" i="11" s="1"/>
  <c r="J75" i="11" s="1"/>
  <c r="J74" i="9"/>
  <c r="C74" i="10" s="1"/>
  <c r="J74" i="10" s="1"/>
  <c r="C74" i="11" s="1"/>
  <c r="J74" i="11" s="1"/>
  <c r="C77" i="13" l="1"/>
  <c r="J77" i="13" s="1"/>
  <c r="C77" i="12"/>
  <c r="J77" i="12" s="1"/>
  <c r="C77" i="11"/>
  <c r="J77" i="11" s="1"/>
  <c r="J22" i="10" l="1"/>
  <c r="J31" i="9"/>
  <c r="C31" i="10" s="1"/>
  <c r="J31" i="10" s="1"/>
  <c r="J22" i="9"/>
  <c r="C22" i="10" s="1"/>
  <c r="C31" i="16" l="1"/>
  <c r="J31" i="16" s="1"/>
  <c r="C31" i="15"/>
  <c r="J31" i="15" s="1"/>
  <c r="C31" i="14"/>
  <c r="J31" i="14" s="1"/>
  <c r="C31" i="13"/>
  <c r="J31" i="13" s="1"/>
  <c r="C31" i="12"/>
  <c r="J31" i="12" s="1"/>
  <c r="C31" i="11"/>
  <c r="J31" i="11" s="1"/>
  <c r="C22" i="12"/>
  <c r="J22" i="12" s="1"/>
  <c r="C22" i="11"/>
  <c r="J22" i="11" s="1"/>
  <c r="J74" i="7"/>
  <c r="C74" i="8" s="1"/>
  <c r="J74" i="8" s="1"/>
  <c r="C73" i="9" s="1"/>
  <c r="J73" i="9" s="1"/>
  <c r="C73" i="10" s="1"/>
  <c r="J73" i="10" s="1"/>
  <c r="J73" i="7"/>
  <c r="C73" i="8" s="1"/>
  <c r="J73" i="8" s="1"/>
  <c r="C72" i="9" s="1"/>
  <c r="J72" i="9" s="1"/>
  <c r="C72" i="10" s="1"/>
  <c r="J72" i="10" s="1"/>
  <c r="J72" i="7"/>
  <c r="C72" i="8" s="1"/>
  <c r="J72" i="8" s="1"/>
  <c r="C71" i="9" s="1"/>
  <c r="J71" i="9" s="1"/>
  <c r="C71" i="10" s="1"/>
  <c r="J71" i="10" s="1"/>
  <c r="C71" i="11" s="1"/>
  <c r="J71" i="11" s="1"/>
  <c r="J71" i="7"/>
  <c r="C71" i="8" s="1"/>
  <c r="J71" i="8" s="1"/>
  <c r="C70" i="9" s="1"/>
  <c r="J70" i="9" s="1"/>
  <c r="C70" i="10" s="1"/>
  <c r="J70" i="10" s="1"/>
  <c r="C70" i="11" s="1"/>
  <c r="J70" i="11" s="1"/>
  <c r="J70" i="7"/>
  <c r="C70" i="8" s="1"/>
  <c r="J70" i="8" s="1"/>
  <c r="C69" i="9" s="1"/>
  <c r="J69" i="9" s="1"/>
  <c r="C69" i="10" s="1"/>
  <c r="J69" i="10" s="1"/>
  <c r="J69" i="7"/>
  <c r="C69" i="8" s="1"/>
  <c r="J69" i="8" s="1"/>
  <c r="C68" i="9" s="1"/>
  <c r="J68" i="9" s="1"/>
  <c r="C68" i="10" s="1"/>
  <c r="J68" i="10" s="1"/>
  <c r="C68" i="11" s="1"/>
  <c r="J68" i="11" s="1"/>
  <c r="J68" i="7"/>
  <c r="C68" i="8" s="1"/>
  <c r="J68" i="8" s="1"/>
  <c r="C67" i="9" s="1"/>
  <c r="J67" i="9" s="1"/>
  <c r="C67" i="10" s="1"/>
  <c r="J67" i="10" s="1"/>
  <c r="J67" i="7"/>
  <c r="C67" i="8" s="1"/>
  <c r="J67" i="8" s="1"/>
  <c r="C66" i="9" s="1"/>
  <c r="J66" i="9" s="1"/>
  <c r="C66" i="10" s="1"/>
  <c r="J66" i="10" s="1"/>
  <c r="C67" i="12" l="1"/>
  <c r="J67" i="12" s="1"/>
  <c r="C67" i="11"/>
  <c r="J67" i="11" s="1"/>
  <c r="C72" i="12"/>
  <c r="J72" i="12" s="1"/>
  <c r="C72" i="11"/>
  <c r="J72" i="11" s="1"/>
  <c r="C66" i="12"/>
  <c r="J66" i="12" s="1"/>
  <c r="C66" i="11"/>
  <c r="J66" i="11" s="1"/>
  <c r="C69" i="12"/>
  <c r="J69" i="12" s="1"/>
  <c r="C69" i="11"/>
  <c r="J69" i="11" s="1"/>
  <c r="C73" i="12"/>
  <c r="J73" i="12" s="1"/>
  <c r="C73" i="11"/>
  <c r="J73" i="11" s="1"/>
  <c r="J69" i="6" l="1"/>
  <c r="J68" i="6"/>
  <c r="J67" i="6"/>
  <c r="J69" i="5" l="1"/>
  <c r="J68" i="5"/>
  <c r="J67" i="5"/>
  <c r="J3" i="4" l="1"/>
  <c r="C3" i="5" s="1"/>
  <c r="J22" i="4" l="1"/>
  <c r="C22" i="5" s="1"/>
  <c r="J22" i="5" s="1"/>
  <c r="J66" i="7" l="1"/>
  <c r="C66" i="8" s="1"/>
  <c r="J66" i="8" s="1"/>
  <c r="C65" i="9" s="1"/>
  <c r="J65" i="9" s="1"/>
  <c r="C65" i="10" s="1"/>
  <c r="J65" i="10" s="1"/>
  <c r="C65" i="11" s="1"/>
  <c r="J65" i="11" s="1"/>
  <c r="J65" i="7"/>
  <c r="C65" i="8" s="1"/>
  <c r="J65" i="8" s="1"/>
  <c r="C64" i="9" s="1"/>
  <c r="J64" i="9" s="1"/>
  <c r="C64" i="10" s="1"/>
  <c r="J64" i="10" s="1"/>
  <c r="J48" i="7"/>
  <c r="C48" i="8" s="1"/>
  <c r="J48" i="8" s="1"/>
  <c r="C47" i="9" s="1"/>
  <c r="J47" i="9" s="1"/>
  <c r="C47" i="10" s="1"/>
  <c r="J47" i="10" s="1"/>
  <c r="J47" i="7"/>
  <c r="C47" i="8" s="1"/>
  <c r="J47" i="8" s="1"/>
  <c r="C46" i="9" s="1"/>
  <c r="J46" i="9" s="1"/>
  <c r="C46" i="10" s="1"/>
  <c r="J46" i="10" s="1"/>
  <c r="C46" i="11" s="1"/>
  <c r="J46" i="11" s="1"/>
  <c r="J45" i="7"/>
  <c r="C45" i="8" s="1"/>
  <c r="J45" i="8" s="1"/>
  <c r="C44" i="9" s="1"/>
  <c r="J44" i="9" s="1"/>
  <c r="C44" i="10" s="1"/>
  <c r="J44" i="10" s="1"/>
  <c r="J43" i="7"/>
  <c r="C43" i="8" s="1"/>
  <c r="J43" i="8" s="1"/>
  <c r="C42" i="9" s="1"/>
  <c r="J42" i="9" s="1"/>
  <c r="C42" i="10" s="1"/>
  <c r="J42" i="10" s="1"/>
  <c r="C42" i="11" s="1"/>
  <c r="J42" i="11" s="1"/>
  <c r="J42" i="7"/>
  <c r="C42" i="8" s="1"/>
  <c r="J42" i="8" s="1"/>
  <c r="C41" i="9" s="1"/>
  <c r="J41" i="9" s="1"/>
  <c r="C41" i="10" s="1"/>
  <c r="J41" i="10" s="1"/>
  <c r="C41" i="11" s="1"/>
  <c r="J41" i="11" s="1"/>
  <c r="J19" i="7"/>
  <c r="C19" i="8" s="1"/>
  <c r="J19" i="8" s="1"/>
  <c r="C19" i="9" s="1"/>
  <c r="J19" i="9" s="1"/>
  <c r="C19" i="10" s="1"/>
  <c r="J19" i="10" s="1"/>
  <c r="C19" i="11" s="1"/>
  <c r="J19" i="11" s="1"/>
  <c r="J18" i="7"/>
  <c r="C18" i="8" s="1"/>
  <c r="J18" i="8" s="1"/>
  <c r="C18" i="9" s="1"/>
  <c r="J18" i="9" s="1"/>
  <c r="C18" i="10" s="1"/>
  <c r="J18" i="10" s="1"/>
  <c r="C18" i="11" s="1"/>
  <c r="J18" i="11" s="1"/>
  <c r="J15" i="7"/>
  <c r="C15" i="8" s="1"/>
  <c r="J15" i="8" s="1"/>
  <c r="C15" i="9" s="1"/>
  <c r="J15" i="9" s="1"/>
  <c r="C15" i="10" s="1"/>
  <c r="J15" i="10" s="1"/>
  <c r="J11" i="7"/>
  <c r="C11" i="8" s="1"/>
  <c r="J11" i="8" s="1"/>
  <c r="C11" i="9" s="1"/>
  <c r="J11" i="9" s="1"/>
  <c r="C11" i="10" s="1"/>
  <c r="J11" i="10" s="1"/>
  <c r="C11" i="11" s="1"/>
  <c r="J11" i="11" s="1"/>
  <c r="J66" i="6"/>
  <c r="J65" i="6"/>
  <c r="J64" i="6"/>
  <c r="C64" i="7" s="1"/>
  <c r="J64" i="7" s="1"/>
  <c r="C64" i="8" s="1"/>
  <c r="J64" i="8" s="1"/>
  <c r="C63" i="9" s="1"/>
  <c r="J63" i="9" s="1"/>
  <c r="C63" i="10" s="1"/>
  <c r="J63" i="10" s="1"/>
  <c r="J63" i="6"/>
  <c r="C63" i="7" s="1"/>
  <c r="J63" i="7" s="1"/>
  <c r="C63" i="8" s="1"/>
  <c r="J63" i="8" s="1"/>
  <c r="C62" i="9" s="1"/>
  <c r="J62" i="9" s="1"/>
  <c r="C62" i="10" s="1"/>
  <c r="J62" i="10" s="1"/>
  <c r="J62" i="6"/>
  <c r="C62" i="7" s="1"/>
  <c r="J62" i="7" s="1"/>
  <c r="C62" i="8" s="1"/>
  <c r="J62" i="8" s="1"/>
  <c r="C61" i="9" s="1"/>
  <c r="J61" i="9" s="1"/>
  <c r="C61" i="10" s="1"/>
  <c r="J61" i="10" s="1"/>
  <c r="J61" i="6"/>
  <c r="C61" i="7" s="1"/>
  <c r="J61" i="7" s="1"/>
  <c r="C61" i="8" s="1"/>
  <c r="J61" i="8" s="1"/>
  <c r="C60" i="9" s="1"/>
  <c r="J60" i="9" s="1"/>
  <c r="C60" i="10" s="1"/>
  <c r="J60" i="10" s="1"/>
  <c r="J60" i="6"/>
  <c r="C60" i="7" s="1"/>
  <c r="J60" i="7" s="1"/>
  <c r="C60" i="8" s="1"/>
  <c r="J60" i="8" s="1"/>
  <c r="C59" i="9" s="1"/>
  <c r="J59" i="9" s="1"/>
  <c r="C59" i="10" s="1"/>
  <c r="J59" i="10" s="1"/>
  <c r="J59" i="6"/>
  <c r="C59" i="7" s="1"/>
  <c r="J59" i="7" s="1"/>
  <c r="C59" i="8" s="1"/>
  <c r="J59" i="8" s="1"/>
  <c r="C58" i="9" s="1"/>
  <c r="J58" i="9" s="1"/>
  <c r="C58" i="10" s="1"/>
  <c r="J58" i="10" s="1"/>
  <c r="C58" i="11" s="1"/>
  <c r="J58" i="11" s="1"/>
  <c r="J58" i="6"/>
  <c r="C58" i="7" s="1"/>
  <c r="J58" i="7" s="1"/>
  <c r="C58" i="8" s="1"/>
  <c r="J58" i="8" s="1"/>
  <c r="C57" i="9" s="1"/>
  <c r="J57" i="9" s="1"/>
  <c r="C57" i="10" s="1"/>
  <c r="J57" i="10" s="1"/>
  <c r="J57" i="6"/>
  <c r="C57" i="7" s="1"/>
  <c r="J57" i="7" s="1"/>
  <c r="C57" i="8" s="1"/>
  <c r="J57" i="8" s="1"/>
  <c r="C56" i="9" s="1"/>
  <c r="J56" i="9" s="1"/>
  <c r="C56" i="10" s="1"/>
  <c r="J56" i="10" s="1"/>
  <c r="J56" i="6"/>
  <c r="C56" i="7" s="1"/>
  <c r="J56" i="7" s="1"/>
  <c r="C56" i="8" s="1"/>
  <c r="J56" i="8" s="1"/>
  <c r="C55" i="9" s="1"/>
  <c r="J55" i="9" s="1"/>
  <c r="C55" i="10" s="1"/>
  <c r="J55" i="10" s="1"/>
  <c r="J55" i="6"/>
  <c r="C55" i="7" s="1"/>
  <c r="J55" i="7" s="1"/>
  <c r="C55" i="8" s="1"/>
  <c r="J55" i="8" s="1"/>
  <c r="C54" i="9" s="1"/>
  <c r="J54" i="9" s="1"/>
  <c r="C54" i="10" s="1"/>
  <c r="J54" i="10" s="1"/>
  <c r="J54" i="6"/>
  <c r="C54" i="7" s="1"/>
  <c r="J54" i="7" s="1"/>
  <c r="C54" i="8" s="1"/>
  <c r="J54" i="8" s="1"/>
  <c r="C53" i="9" s="1"/>
  <c r="J53" i="9" s="1"/>
  <c r="C53" i="10" s="1"/>
  <c r="J53" i="10" s="1"/>
  <c r="J53" i="6"/>
  <c r="C53" i="7" s="1"/>
  <c r="J53" i="7" s="1"/>
  <c r="C53" i="8" s="1"/>
  <c r="J53" i="8" s="1"/>
  <c r="C52" i="9" s="1"/>
  <c r="J52" i="9" s="1"/>
  <c r="C52" i="10" s="1"/>
  <c r="J52" i="10" s="1"/>
  <c r="C52" i="11" s="1"/>
  <c r="J52" i="11" s="1"/>
  <c r="J52" i="6"/>
  <c r="C52" i="7" s="1"/>
  <c r="J52" i="7" s="1"/>
  <c r="C52" i="8" s="1"/>
  <c r="J52" i="8" s="1"/>
  <c r="C51" i="9" s="1"/>
  <c r="J51" i="9" s="1"/>
  <c r="C51" i="10" s="1"/>
  <c r="J51" i="10" s="1"/>
  <c r="C51" i="11" s="1"/>
  <c r="J51" i="11" s="1"/>
  <c r="J51" i="6"/>
  <c r="C51" i="7" s="1"/>
  <c r="J51" i="7" s="1"/>
  <c r="C51" i="8" s="1"/>
  <c r="J51" i="8" s="1"/>
  <c r="C50" i="9" s="1"/>
  <c r="J50" i="9" s="1"/>
  <c r="C50" i="10" s="1"/>
  <c r="J50" i="10" s="1"/>
  <c r="C50" i="11" s="1"/>
  <c r="J50" i="11" s="1"/>
  <c r="J50" i="6"/>
  <c r="C50" i="7" s="1"/>
  <c r="J50" i="7" s="1"/>
  <c r="C50" i="8" s="1"/>
  <c r="J50" i="8" s="1"/>
  <c r="C49" i="9" s="1"/>
  <c r="J49" i="9" s="1"/>
  <c r="C49" i="10" s="1"/>
  <c r="J49" i="10" s="1"/>
  <c r="J49" i="6"/>
  <c r="C49" i="7" s="1"/>
  <c r="J49" i="7" s="1"/>
  <c r="C49" i="8" s="1"/>
  <c r="J49" i="8" s="1"/>
  <c r="C48" i="9" s="1"/>
  <c r="J48" i="9" s="1"/>
  <c r="C48" i="10" s="1"/>
  <c r="J48" i="10" s="1"/>
  <c r="J48" i="6"/>
  <c r="J47" i="6"/>
  <c r="J46" i="6"/>
  <c r="C46" i="7" s="1"/>
  <c r="J46" i="7" s="1"/>
  <c r="C46" i="8" s="1"/>
  <c r="J46" i="8" s="1"/>
  <c r="C45" i="9" s="1"/>
  <c r="J45" i="9" s="1"/>
  <c r="C45" i="10" s="1"/>
  <c r="J45" i="10" s="1"/>
  <c r="J45" i="6"/>
  <c r="J44" i="6"/>
  <c r="C44" i="7" s="1"/>
  <c r="J44" i="7" s="1"/>
  <c r="C44" i="8" s="1"/>
  <c r="J44" i="8" s="1"/>
  <c r="C43" i="9" s="1"/>
  <c r="J43" i="9" s="1"/>
  <c r="C43" i="10" s="1"/>
  <c r="J43" i="10" s="1"/>
  <c r="C43" i="11" s="1"/>
  <c r="J43" i="11" s="1"/>
  <c r="J43" i="6"/>
  <c r="J42" i="6"/>
  <c r="J41" i="6"/>
  <c r="C41" i="7" s="1"/>
  <c r="J41" i="7" s="1"/>
  <c r="C41" i="8" s="1"/>
  <c r="J41" i="8" s="1"/>
  <c r="C40" i="9" s="1"/>
  <c r="J40" i="9" s="1"/>
  <c r="C40" i="10" s="1"/>
  <c r="J40" i="10" s="1"/>
  <c r="C40" i="11" s="1"/>
  <c r="J40" i="11" s="1"/>
  <c r="J40" i="6"/>
  <c r="C40" i="7" s="1"/>
  <c r="J40" i="7" s="1"/>
  <c r="C40" i="8" s="1"/>
  <c r="J40" i="8" s="1"/>
  <c r="C39" i="9" s="1"/>
  <c r="J39" i="9" s="1"/>
  <c r="C39" i="10" s="1"/>
  <c r="J39" i="10" s="1"/>
  <c r="J39" i="6"/>
  <c r="C39" i="7" s="1"/>
  <c r="J39" i="7" s="1"/>
  <c r="C39" i="8" s="1"/>
  <c r="J39" i="8" s="1"/>
  <c r="C38" i="9" s="1"/>
  <c r="J38" i="9" s="1"/>
  <c r="C38" i="10" s="1"/>
  <c r="J38" i="10" s="1"/>
  <c r="J38" i="6"/>
  <c r="C38" i="7" s="1"/>
  <c r="J38" i="7" s="1"/>
  <c r="C38" i="8" s="1"/>
  <c r="J38" i="8" s="1"/>
  <c r="C37" i="9" s="1"/>
  <c r="J37" i="9" s="1"/>
  <c r="C37" i="10" s="1"/>
  <c r="J37" i="10" s="1"/>
  <c r="C37" i="11" s="1"/>
  <c r="J37" i="11" s="1"/>
  <c r="J37" i="6"/>
  <c r="C37" i="7" s="1"/>
  <c r="J37" i="7" s="1"/>
  <c r="C37" i="8" s="1"/>
  <c r="J37" i="8" s="1"/>
  <c r="C36" i="9" s="1"/>
  <c r="J36" i="9" s="1"/>
  <c r="C36" i="10" s="1"/>
  <c r="J36" i="10" s="1"/>
  <c r="J36" i="6"/>
  <c r="C36" i="7" s="1"/>
  <c r="J36" i="7" s="1"/>
  <c r="C36" i="8" s="1"/>
  <c r="J36" i="8" s="1"/>
  <c r="J35" i="6"/>
  <c r="C35" i="7" s="1"/>
  <c r="J35" i="7" s="1"/>
  <c r="C35" i="8" s="1"/>
  <c r="J35" i="8" s="1"/>
  <c r="C35" i="9" s="1"/>
  <c r="J35" i="9" s="1"/>
  <c r="C35" i="10" s="1"/>
  <c r="J35" i="10" s="1"/>
  <c r="J34" i="6"/>
  <c r="C34" i="7" s="1"/>
  <c r="J34" i="7" s="1"/>
  <c r="C34" i="8" s="1"/>
  <c r="J34" i="8" s="1"/>
  <c r="C34" i="9" s="1"/>
  <c r="J34" i="9" s="1"/>
  <c r="C34" i="10" s="1"/>
  <c r="J34" i="10" s="1"/>
  <c r="J33" i="6"/>
  <c r="C33" i="7" s="1"/>
  <c r="J33" i="7" s="1"/>
  <c r="C33" i="8" s="1"/>
  <c r="J33" i="8" s="1"/>
  <c r="C33" i="9" s="1"/>
  <c r="J33" i="9" s="1"/>
  <c r="C33" i="10" s="1"/>
  <c r="J33" i="10" s="1"/>
  <c r="J32" i="6"/>
  <c r="C32" i="7" s="1"/>
  <c r="J32" i="7" s="1"/>
  <c r="C32" i="8" s="1"/>
  <c r="J32" i="8" s="1"/>
  <c r="C32" i="9" s="1"/>
  <c r="J32" i="9" s="1"/>
  <c r="C32" i="10" s="1"/>
  <c r="J32" i="10" s="1"/>
  <c r="C32" i="11" s="1"/>
  <c r="J32" i="11" s="1"/>
  <c r="J31" i="6"/>
  <c r="C31" i="7" s="1"/>
  <c r="J31" i="7" s="1"/>
  <c r="C31" i="8" s="1"/>
  <c r="J31" i="8" s="1"/>
  <c r="J30" i="6"/>
  <c r="C30" i="7" s="1"/>
  <c r="J30" i="7" s="1"/>
  <c r="C30" i="8" s="1"/>
  <c r="J30" i="8" s="1"/>
  <c r="C30" i="9" s="1"/>
  <c r="J30" i="9" s="1"/>
  <c r="C30" i="10" s="1"/>
  <c r="J30" i="10" s="1"/>
  <c r="J29" i="6"/>
  <c r="C29" i="7" s="1"/>
  <c r="J29" i="7" s="1"/>
  <c r="C29" i="8" s="1"/>
  <c r="J29" i="8" s="1"/>
  <c r="C29" i="9" s="1"/>
  <c r="J29" i="9" s="1"/>
  <c r="C29" i="10" s="1"/>
  <c r="J29" i="10" s="1"/>
  <c r="J28" i="6"/>
  <c r="C28" i="7" s="1"/>
  <c r="J28" i="7" s="1"/>
  <c r="C28" i="8" s="1"/>
  <c r="J28" i="8" s="1"/>
  <c r="C28" i="9" s="1"/>
  <c r="J28" i="9" s="1"/>
  <c r="C28" i="10" s="1"/>
  <c r="J28" i="10" s="1"/>
  <c r="J27" i="6"/>
  <c r="C27" i="7" s="1"/>
  <c r="J27" i="7" s="1"/>
  <c r="C27" i="8" s="1"/>
  <c r="J27" i="8" s="1"/>
  <c r="C27" i="9" s="1"/>
  <c r="J27" i="9" s="1"/>
  <c r="C27" i="10" s="1"/>
  <c r="J27" i="10" s="1"/>
  <c r="J26" i="6"/>
  <c r="C26" i="7" s="1"/>
  <c r="J26" i="7" s="1"/>
  <c r="C26" i="8" s="1"/>
  <c r="J26" i="8" s="1"/>
  <c r="C26" i="9" s="1"/>
  <c r="J26" i="9" s="1"/>
  <c r="C26" i="10" s="1"/>
  <c r="J26" i="10" s="1"/>
  <c r="J25" i="6"/>
  <c r="C25" i="7" s="1"/>
  <c r="J25" i="7" s="1"/>
  <c r="C25" i="8" s="1"/>
  <c r="J25" i="8" s="1"/>
  <c r="C25" i="9" s="1"/>
  <c r="J25" i="9" s="1"/>
  <c r="C25" i="10" s="1"/>
  <c r="J25" i="10" s="1"/>
  <c r="J24" i="6"/>
  <c r="C24" i="7" s="1"/>
  <c r="J24" i="7" s="1"/>
  <c r="C24" i="8" s="1"/>
  <c r="J24" i="8" s="1"/>
  <c r="C24" i="9" s="1"/>
  <c r="J24" i="9" s="1"/>
  <c r="C24" i="10" s="1"/>
  <c r="J24" i="10" s="1"/>
  <c r="J23" i="6"/>
  <c r="C23" i="7" s="1"/>
  <c r="J23" i="7" s="1"/>
  <c r="C23" i="8" s="1"/>
  <c r="J23" i="8" s="1"/>
  <c r="C23" i="9" s="1"/>
  <c r="J23" i="9" s="1"/>
  <c r="C23" i="10" s="1"/>
  <c r="J23" i="10" s="1"/>
  <c r="J22" i="6"/>
  <c r="C22" i="7" s="1"/>
  <c r="J22" i="7" s="1"/>
  <c r="C22" i="8" s="1"/>
  <c r="J22" i="8" s="1"/>
  <c r="J21" i="6"/>
  <c r="C21" i="7" s="1"/>
  <c r="J21" i="7" s="1"/>
  <c r="C21" i="8" s="1"/>
  <c r="J21" i="8" s="1"/>
  <c r="C21" i="9" s="1"/>
  <c r="J21" i="9" s="1"/>
  <c r="C21" i="10" s="1"/>
  <c r="J21" i="10" s="1"/>
  <c r="C21" i="11" s="1"/>
  <c r="J21" i="11" s="1"/>
  <c r="J20" i="6"/>
  <c r="C20" i="7" s="1"/>
  <c r="J20" i="7" s="1"/>
  <c r="C20" i="8" s="1"/>
  <c r="J20" i="8" s="1"/>
  <c r="C20" i="9" s="1"/>
  <c r="J20" i="9" s="1"/>
  <c r="C20" i="10" s="1"/>
  <c r="J20" i="10" s="1"/>
  <c r="J19" i="6"/>
  <c r="J18" i="6"/>
  <c r="J17" i="6"/>
  <c r="C17" i="7" s="1"/>
  <c r="J17" i="7" s="1"/>
  <c r="C17" i="8" s="1"/>
  <c r="J17" i="8" s="1"/>
  <c r="C17" i="9" s="1"/>
  <c r="J17" i="9" s="1"/>
  <c r="C17" i="10" s="1"/>
  <c r="J17" i="10" s="1"/>
  <c r="C17" i="11" s="1"/>
  <c r="J17" i="11" s="1"/>
  <c r="J16" i="6"/>
  <c r="C16" i="7" s="1"/>
  <c r="J16" i="7" s="1"/>
  <c r="C16" i="8" s="1"/>
  <c r="J16" i="8" s="1"/>
  <c r="C16" i="9" s="1"/>
  <c r="J16" i="9" s="1"/>
  <c r="C16" i="10" s="1"/>
  <c r="J16" i="10" s="1"/>
  <c r="J15" i="6"/>
  <c r="J14" i="6"/>
  <c r="C14" i="7" s="1"/>
  <c r="J14" i="7" s="1"/>
  <c r="C14" i="8" s="1"/>
  <c r="J14" i="8" s="1"/>
  <c r="C14" i="9" s="1"/>
  <c r="J14" i="9" s="1"/>
  <c r="C14" i="10" s="1"/>
  <c r="J14" i="10" s="1"/>
  <c r="J13" i="6"/>
  <c r="C13" i="7" s="1"/>
  <c r="J13" i="7" s="1"/>
  <c r="C13" i="8" s="1"/>
  <c r="J13" i="8" s="1"/>
  <c r="C13" i="9" s="1"/>
  <c r="J13" i="9" s="1"/>
  <c r="C13" i="10" s="1"/>
  <c r="J13" i="10" s="1"/>
  <c r="J12" i="6"/>
  <c r="C12" i="7" s="1"/>
  <c r="J12" i="7" s="1"/>
  <c r="C12" i="8" s="1"/>
  <c r="J12" i="8" s="1"/>
  <c r="C12" i="9" s="1"/>
  <c r="J12" i="9" s="1"/>
  <c r="C12" i="10" s="1"/>
  <c r="J12" i="10" s="1"/>
  <c r="C12" i="11" s="1"/>
  <c r="J12" i="11" s="1"/>
  <c r="J11" i="6"/>
  <c r="J10" i="6"/>
  <c r="C10" i="7" s="1"/>
  <c r="J10" i="7" s="1"/>
  <c r="C10" i="8" s="1"/>
  <c r="J10" i="8" s="1"/>
  <c r="C10" i="9" s="1"/>
  <c r="J10" i="9" s="1"/>
  <c r="C10" i="10" s="1"/>
  <c r="J10" i="10" s="1"/>
  <c r="C10" i="11" s="1"/>
  <c r="J10" i="11" s="1"/>
  <c r="J9" i="6"/>
  <c r="C9" i="7" s="1"/>
  <c r="J9" i="7" s="1"/>
  <c r="C9" i="8" s="1"/>
  <c r="J9" i="8" s="1"/>
  <c r="C9" i="9" s="1"/>
  <c r="J9" i="9" s="1"/>
  <c r="C9" i="10" s="1"/>
  <c r="J9" i="10" s="1"/>
  <c r="J8" i="6"/>
  <c r="C8" i="7" s="1"/>
  <c r="J8" i="7" s="1"/>
  <c r="C8" i="8" s="1"/>
  <c r="J8" i="8" s="1"/>
  <c r="C8" i="9" s="1"/>
  <c r="J8" i="9" s="1"/>
  <c r="C8" i="10" s="1"/>
  <c r="J8" i="10" s="1"/>
  <c r="J7" i="6"/>
  <c r="C7" i="7" s="1"/>
  <c r="J7" i="7" s="1"/>
  <c r="C7" i="8" s="1"/>
  <c r="J7" i="8" s="1"/>
  <c r="C7" i="9" s="1"/>
  <c r="J7" i="9" s="1"/>
  <c r="C7" i="10" s="1"/>
  <c r="J7" i="10" s="1"/>
  <c r="C7" i="11" s="1"/>
  <c r="J7" i="11" s="1"/>
  <c r="J6" i="6"/>
  <c r="C6" i="7" s="1"/>
  <c r="J6" i="7" s="1"/>
  <c r="C6" i="8" s="1"/>
  <c r="J6" i="8" s="1"/>
  <c r="C6" i="9" s="1"/>
  <c r="J6" i="9" s="1"/>
  <c r="C6" i="10" s="1"/>
  <c r="J6" i="10" s="1"/>
  <c r="J5" i="6"/>
  <c r="C5" i="7" s="1"/>
  <c r="J5" i="7" s="1"/>
  <c r="C5" i="8" s="1"/>
  <c r="J5" i="8" s="1"/>
  <c r="C5" i="9" s="1"/>
  <c r="J5" i="9" s="1"/>
  <c r="C5" i="10" s="1"/>
  <c r="J5" i="10" s="1"/>
  <c r="C5" i="11" s="1"/>
  <c r="J5" i="11" s="1"/>
  <c r="J4" i="6"/>
  <c r="C4" i="7" s="1"/>
  <c r="J4" i="7" s="1"/>
  <c r="C4" i="8" s="1"/>
  <c r="J4" i="8" s="1"/>
  <c r="C4" i="9" s="1"/>
  <c r="J4" i="9" s="1"/>
  <c r="C4" i="10" s="1"/>
  <c r="J4" i="10" s="1"/>
  <c r="C4" i="11" s="1"/>
  <c r="J4" i="11" s="1"/>
  <c r="J3" i="6"/>
  <c r="C3" i="7" s="1"/>
  <c r="J3" i="7" s="1"/>
  <c r="C3" i="8" s="1"/>
  <c r="J3" i="8" s="1"/>
  <c r="C3" i="9" s="1"/>
  <c r="J3" i="9" s="1"/>
  <c r="C3" i="10" s="1"/>
  <c r="J3" i="10" s="1"/>
  <c r="J44" i="5"/>
  <c r="J43" i="5"/>
  <c r="J8" i="5"/>
  <c r="J7" i="5"/>
  <c r="J4" i="5"/>
  <c r="J67" i="4"/>
  <c r="J66" i="4"/>
  <c r="C66" i="5" s="1"/>
  <c r="J66" i="5" s="1"/>
  <c r="J65" i="4"/>
  <c r="C65" i="5" s="1"/>
  <c r="J65" i="5" s="1"/>
  <c r="J64" i="4"/>
  <c r="C64" i="5" s="1"/>
  <c r="J64" i="5" s="1"/>
  <c r="J63" i="4"/>
  <c r="C63" i="5" s="1"/>
  <c r="J63" i="5" s="1"/>
  <c r="J62" i="4"/>
  <c r="C62" i="5" s="1"/>
  <c r="J62" i="5" s="1"/>
  <c r="J61" i="4"/>
  <c r="C61" i="5" s="1"/>
  <c r="J61" i="5" s="1"/>
  <c r="J60" i="4"/>
  <c r="C60" i="5" s="1"/>
  <c r="J60" i="5" s="1"/>
  <c r="J59" i="4"/>
  <c r="C59" i="5" s="1"/>
  <c r="J59" i="5" s="1"/>
  <c r="J58" i="4"/>
  <c r="C58" i="5" s="1"/>
  <c r="J58" i="5" s="1"/>
  <c r="J57" i="4"/>
  <c r="C57" i="5" s="1"/>
  <c r="J57" i="5" s="1"/>
  <c r="J56" i="4"/>
  <c r="C56" i="5" s="1"/>
  <c r="J56" i="5" s="1"/>
  <c r="J55" i="4"/>
  <c r="C55" i="5" s="1"/>
  <c r="J55" i="5" s="1"/>
  <c r="J54" i="4"/>
  <c r="C54" i="5" s="1"/>
  <c r="J54" i="5" s="1"/>
  <c r="J53" i="4"/>
  <c r="C53" i="5" s="1"/>
  <c r="J53" i="5" s="1"/>
  <c r="J52" i="4"/>
  <c r="C52" i="5" s="1"/>
  <c r="J52" i="5" s="1"/>
  <c r="J51" i="4"/>
  <c r="C51" i="5" s="1"/>
  <c r="J51" i="5" s="1"/>
  <c r="J50" i="4"/>
  <c r="C50" i="5" s="1"/>
  <c r="J50" i="5" s="1"/>
  <c r="J49" i="4"/>
  <c r="C49" i="5" s="1"/>
  <c r="J49" i="5" s="1"/>
  <c r="J48" i="4"/>
  <c r="C48" i="5" s="1"/>
  <c r="J48" i="5" s="1"/>
  <c r="J47" i="4"/>
  <c r="C47" i="5" s="1"/>
  <c r="J47" i="5" s="1"/>
  <c r="J46" i="4"/>
  <c r="C46" i="5" s="1"/>
  <c r="J46" i="5" s="1"/>
  <c r="J45" i="4"/>
  <c r="C45" i="5" s="1"/>
  <c r="J45" i="5" s="1"/>
  <c r="J44" i="4"/>
  <c r="J43" i="4"/>
  <c r="J42" i="4"/>
  <c r="C42" i="5" s="1"/>
  <c r="J42" i="5" s="1"/>
  <c r="J41" i="4"/>
  <c r="C41" i="5" s="1"/>
  <c r="J41" i="5" s="1"/>
  <c r="J40" i="4"/>
  <c r="C40" i="5" s="1"/>
  <c r="J40" i="5" s="1"/>
  <c r="J39" i="4"/>
  <c r="C39" i="5" s="1"/>
  <c r="J39" i="5" s="1"/>
  <c r="J38" i="4"/>
  <c r="C38" i="5" s="1"/>
  <c r="J38" i="5" s="1"/>
  <c r="J37" i="4"/>
  <c r="C37" i="5" s="1"/>
  <c r="J37" i="5" s="1"/>
  <c r="J36" i="4"/>
  <c r="C36" i="5" s="1"/>
  <c r="J36" i="5" s="1"/>
  <c r="J35" i="4"/>
  <c r="C35" i="5" s="1"/>
  <c r="J35" i="5" s="1"/>
  <c r="J34" i="4"/>
  <c r="C34" i="5" s="1"/>
  <c r="J34" i="5" s="1"/>
  <c r="J33" i="4"/>
  <c r="C33" i="5" s="1"/>
  <c r="J33" i="5" s="1"/>
  <c r="J32" i="4"/>
  <c r="C32" i="5" s="1"/>
  <c r="J32" i="5" s="1"/>
  <c r="J31" i="4"/>
  <c r="C31" i="5" s="1"/>
  <c r="J31" i="5" s="1"/>
  <c r="J30" i="4"/>
  <c r="C30" i="5" s="1"/>
  <c r="J30" i="5" s="1"/>
  <c r="J29" i="4"/>
  <c r="C29" i="5" s="1"/>
  <c r="J29" i="5" s="1"/>
  <c r="J28" i="4"/>
  <c r="C28" i="5" s="1"/>
  <c r="J28" i="5" s="1"/>
  <c r="J27" i="4"/>
  <c r="C27" i="5" s="1"/>
  <c r="J27" i="5" s="1"/>
  <c r="J26" i="4"/>
  <c r="C26" i="5" s="1"/>
  <c r="J26" i="5" s="1"/>
  <c r="J25" i="4"/>
  <c r="C25" i="5" s="1"/>
  <c r="J25" i="5" s="1"/>
  <c r="J24" i="4"/>
  <c r="C24" i="5" s="1"/>
  <c r="J24" i="5" s="1"/>
  <c r="J23" i="4"/>
  <c r="C23" i="5" s="1"/>
  <c r="J23" i="5" s="1"/>
  <c r="J21" i="4"/>
  <c r="C21" i="5" s="1"/>
  <c r="J21" i="5" s="1"/>
  <c r="J20" i="4"/>
  <c r="C20" i="5" s="1"/>
  <c r="J20" i="5" s="1"/>
  <c r="J19" i="4"/>
  <c r="C19" i="5" s="1"/>
  <c r="J19" i="5" s="1"/>
  <c r="J18" i="4"/>
  <c r="C18" i="5" s="1"/>
  <c r="J18" i="5" s="1"/>
  <c r="J17" i="4"/>
  <c r="C17" i="5" s="1"/>
  <c r="J17" i="5" s="1"/>
  <c r="J16" i="4"/>
  <c r="C16" i="5" s="1"/>
  <c r="J16" i="5" s="1"/>
  <c r="J15" i="4"/>
  <c r="C15" i="5" s="1"/>
  <c r="J15" i="5" s="1"/>
  <c r="J14" i="4"/>
  <c r="C14" i="5" s="1"/>
  <c r="J14" i="5" s="1"/>
  <c r="J13" i="4"/>
  <c r="C13" i="5" s="1"/>
  <c r="J13" i="5" s="1"/>
  <c r="J12" i="4"/>
  <c r="C12" i="5" s="1"/>
  <c r="J12" i="5" s="1"/>
  <c r="J11" i="4"/>
  <c r="C11" i="5" s="1"/>
  <c r="J11" i="5" s="1"/>
  <c r="J10" i="4"/>
  <c r="C10" i="5" s="1"/>
  <c r="J10" i="5" s="1"/>
  <c r="J9" i="4"/>
  <c r="C9" i="5" s="1"/>
  <c r="J9" i="5" s="1"/>
  <c r="J8" i="4"/>
  <c r="C8" i="5" s="1"/>
  <c r="J7" i="4"/>
  <c r="C7" i="5" s="1"/>
  <c r="J6" i="4"/>
  <c r="C6" i="5" s="1"/>
  <c r="J6" i="5" s="1"/>
  <c r="J5" i="4"/>
  <c r="C5" i="5" s="1"/>
  <c r="J5" i="5" s="1"/>
  <c r="J4" i="4"/>
  <c r="C4" i="5" s="1"/>
  <c r="C6" i="13" l="1"/>
  <c r="J6" i="13" s="1"/>
  <c r="C6" i="12"/>
  <c r="J6" i="12" s="1"/>
  <c r="C6" i="11"/>
  <c r="J6" i="11" s="1"/>
  <c r="C26" i="16"/>
  <c r="J26" i="16" s="1"/>
  <c r="C26" i="15"/>
  <c r="J26" i="15" s="1"/>
  <c r="C26" i="14"/>
  <c r="J26" i="14" s="1"/>
  <c r="C26" i="13"/>
  <c r="J26" i="13" s="1"/>
  <c r="C26" i="12"/>
  <c r="J26" i="12" s="1"/>
  <c r="C26" i="11"/>
  <c r="J26" i="11" s="1"/>
  <c r="C34" i="25"/>
  <c r="J34" i="25" s="1"/>
  <c r="C34" i="24"/>
  <c r="J34" i="24" s="1"/>
  <c r="C34" i="23"/>
  <c r="J34" i="23" s="1"/>
  <c r="C34" i="22"/>
  <c r="J34" i="22" s="1"/>
  <c r="C34" i="21"/>
  <c r="J34" i="21" s="1"/>
  <c r="C34" i="20"/>
  <c r="J34" i="20" s="1"/>
  <c r="C34" i="19"/>
  <c r="J34" i="19" s="1"/>
  <c r="C34" i="18"/>
  <c r="J34" i="18" s="1"/>
  <c r="C34" i="17"/>
  <c r="J34" i="17" s="1"/>
  <c r="C34" i="16"/>
  <c r="J34" i="16" s="1"/>
  <c r="C34" i="15"/>
  <c r="J34" i="15" s="1"/>
  <c r="C34" i="14"/>
  <c r="J34" i="14" s="1"/>
  <c r="C34" i="13"/>
  <c r="J34" i="13" s="1"/>
  <c r="C34" i="12"/>
  <c r="J34" i="12" s="1"/>
  <c r="C34" i="11"/>
  <c r="J34" i="11" s="1"/>
  <c r="C49" i="16"/>
  <c r="J49" i="16" s="1"/>
  <c r="C49" i="15"/>
  <c r="J49" i="15" s="1"/>
  <c r="C49" i="14"/>
  <c r="J49" i="14" s="1"/>
  <c r="C49" i="13"/>
  <c r="J49" i="13" s="1"/>
  <c r="C49" i="12"/>
  <c r="J49" i="12" s="1"/>
  <c r="C49" i="11"/>
  <c r="J49" i="11" s="1"/>
  <c r="C53" i="12"/>
  <c r="J53" i="12" s="1"/>
  <c r="C53" i="11"/>
  <c r="J53" i="11" s="1"/>
  <c r="C57" i="25"/>
  <c r="J57" i="25" s="1"/>
  <c r="C57" i="24"/>
  <c r="J57" i="24" s="1"/>
  <c r="C57" i="23"/>
  <c r="J57" i="23" s="1"/>
  <c r="C57" i="22"/>
  <c r="J57" i="22" s="1"/>
  <c r="C57" i="21"/>
  <c r="J57" i="21" s="1"/>
  <c r="C57" i="20"/>
  <c r="J57" i="20" s="1"/>
  <c r="C57" i="19"/>
  <c r="J57" i="19" s="1"/>
  <c r="C57" i="18"/>
  <c r="J57" i="18" s="1"/>
  <c r="C57" i="17"/>
  <c r="J57" i="17" s="1"/>
  <c r="C57" i="16"/>
  <c r="J57" i="16" s="1"/>
  <c r="C57" i="15"/>
  <c r="J57" i="15" s="1"/>
  <c r="C57" i="14"/>
  <c r="J57" i="14" s="1"/>
  <c r="C57" i="13"/>
  <c r="J57" i="13" s="1"/>
  <c r="C57" i="12"/>
  <c r="J57" i="12" s="1"/>
  <c r="C57" i="11"/>
  <c r="J57" i="11" s="1"/>
  <c r="C61" i="16"/>
  <c r="J61" i="16" s="1"/>
  <c r="C61" i="15"/>
  <c r="J61" i="15" s="1"/>
  <c r="C61" i="14"/>
  <c r="J61" i="14" s="1"/>
  <c r="C61" i="13"/>
  <c r="J61" i="13" s="1"/>
  <c r="C61" i="12"/>
  <c r="J61" i="12" s="1"/>
  <c r="C61" i="11"/>
  <c r="J61" i="11" s="1"/>
  <c r="C3" i="17"/>
  <c r="J3" i="17" s="1"/>
  <c r="C3" i="16"/>
  <c r="J3" i="16" s="1"/>
  <c r="C3" i="15"/>
  <c r="J3" i="15" s="1"/>
  <c r="C3" i="14"/>
  <c r="J3" i="14" s="1"/>
  <c r="C3" i="13"/>
  <c r="J3" i="13" s="1"/>
  <c r="C3" i="12"/>
  <c r="J3" i="12" s="1"/>
  <c r="C3" i="11"/>
  <c r="J3" i="11" s="1"/>
  <c r="C23" i="14"/>
  <c r="J23" i="14" s="1"/>
  <c r="C23" i="13"/>
  <c r="J23" i="13" s="1"/>
  <c r="C23" i="12"/>
  <c r="J23" i="12" s="1"/>
  <c r="C23" i="11"/>
  <c r="J23" i="11" s="1"/>
  <c r="C27" i="25"/>
  <c r="J27" i="25" s="1"/>
  <c r="C27" i="24"/>
  <c r="J27" i="24" s="1"/>
  <c r="C27" i="23"/>
  <c r="J27" i="23" s="1"/>
  <c r="C27" i="22"/>
  <c r="J27" i="22" s="1"/>
  <c r="C27" i="21"/>
  <c r="J27" i="21" s="1"/>
  <c r="C27" i="20"/>
  <c r="J27" i="20" s="1"/>
  <c r="C27" i="19"/>
  <c r="J27" i="19" s="1"/>
  <c r="C27" i="18"/>
  <c r="J27" i="18" s="1"/>
  <c r="C27" i="17"/>
  <c r="J27" i="17" s="1"/>
  <c r="C27" i="16"/>
  <c r="J27" i="16" s="1"/>
  <c r="C27" i="15"/>
  <c r="J27" i="15" s="1"/>
  <c r="C27" i="14"/>
  <c r="J27" i="14" s="1"/>
  <c r="C27" i="13"/>
  <c r="J27" i="13" s="1"/>
  <c r="C27" i="12"/>
  <c r="J27" i="12" s="1"/>
  <c r="C27" i="11"/>
  <c r="J27" i="11" s="1"/>
  <c r="C35" i="25"/>
  <c r="J35" i="25" s="1"/>
  <c r="C35" i="24"/>
  <c r="J35" i="24" s="1"/>
  <c r="C35" i="23"/>
  <c r="J35" i="23" s="1"/>
  <c r="C35" i="22"/>
  <c r="J35" i="22" s="1"/>
  <c r="C35" i="21"/>
  <c r="J35" i="21" s="1"/>
  <c r="C35" i="20"/>
  <c r="J35" i="20" s="1"/>
  <c r="C35" i="19"/>
  <c r="J35" i="19" s="1"/>
  <c r="C35" i="18"/>
  <c r="J35" i="18" s="1"/>
  <c r="C35" i="17"/>
  <c r="J35" i="17" s="1"/>
  <c r="C35" i="16"/>
  <c r="J35" i="16" s="1"/>
  <c r="C35" i="15"/>
  <c r="J35" i="15" s="1"/>
  <c r="C35" i="14"/>
  <c r="J35" i="14" s="1"/>
  <c r="C35" i="13"/>
  <c r="J35" i="13" s="1"/>
  <c r="C35" i="12"/>
  <c r="J35" i="12" s="1"/>
  <c r="C35" i="11"/>
  <c r="J35" i="11" s="1"/>
  <c r="C38" i="25"/>
  <c r="J38" i="25" s="1"/>
  <c r="C38" i="24"/>
  <c r="J38" i="24" s="1"/>
  <c r="C38" i="23"/>
  <c r="J38" i="23" s="1"/>
  <c r="C38" i="22"/>
  <c r="J38" i="22" s="1"/>
  <c r="C38" i="21"/>
  <c r="J38" i="21" s="1"/>
  <c r="C38" i="20"/>
  <c r="J38" i="20" s="1"/>
  <c r="C38" i="19"/>
  <c r="J38" i="19" s="1"/>
  <c r="C38" i="18"/>
  <c r="J38" i="18" s="1"/>
  <c r="C38" i="17"/>
  <c r="J38" i="17" s="1"/>
  <c r="C38" i="16"/>
  <c r="J38" i="16" s="1"/>
  <c r="C38" i="15"/>
  <c r="J38" i="15" s="1"/>
  <c r="C38" i="14"/>
  <c r="J38" i="14" s="1"/>
  <c r="C38" i="13"/>
  <c r="J38" i="13" s="1"/>
  <c r="C38" i="12"/>
  <c r="J38" i="12" s="1"/>
  <c r="C38" i="11"/>
  <c r="J38" i="11" s="1"/>
  <c r="C54" i="18"/>
  <c r="J54" i="18" s="1"/>
  <c r="C54" i="17"/>
  <c r="J54" i="17" s="1"/>
  <c r="C54" i="16"/>
  <c r="J54" i="16" s="1"/>
  <c r="C54" i="15"/>
  <c r="J54" i="15" s="1"/>
  <c r="C54" i="14"/>
  <c r="J54" i="14" s="1"/>
  <c r="C54" i="13"/>
  <c r="J54" i="13" s="1"/>
  <c r="C54" i="12"/>
  <c r="J54" i="12" s="1"/>
  <c r="C54" i="11"/>
  <c r="J54" i="11" s="1"/>
  <c r="C62" i="18"/>
  <c r="J62" i="18" s="1"/>
  <c r="C62" i="17"/>
  <c r="J62" i="17" s="1"/>
  <c r="C62" i="16"/>
  <c r="J62" i="16" s="1"/>
  <c r="C62" i="15"/>
  <c r="J62" i="15" s="1"/>
  <c r="C62" i="14"/>
  <c r="J62" i="14" s="1"/>
  <c r="C62" i="13"/>
  <c r="J62" i="13" s="1"/>
  <c r="C62" i="12"/>
  <c r="J62" i="12" s="1"/>
  <c r="C62" i="11"/>
  <c r="J62" i="11" s="1"/>
  <c r="C30" i="16"/>
  <c r="J30" i="16" s="1"/>
  <c r="C30" i="15"/>
  <c r="J30" i="15" s="1"/>
  <c r="C30" i="14"/>
  <c r="J30" i="14" s="1"/>
  <c r="C30" i="13"/>
  <c r="J30" i="13" s="1"/>
  <c r="C30" i="12"/>
  <c r="J30" i="12" s="1"/>
  <c r="C30" i="11"/>
  <c r="J30" i="11" s="1"/>
  <c r="C45" i="16"/>
  <c r="J45" i="16" s="1"/>
  <c r="C45" i="15"/>
  <c r="J45" i="15" s="1"/>
  <c r="C45" i="14"/>
  <c r="J45" i="14" s="1"/>
  <c r="C45" i="13"/>
  <c r="J45" i="13" s="1"/>
  <c r="C45" i="12"/>
  <c r="J45" i="12" s="1"/>
  <c r="C45" i="11"/>
  <c r="J45" i="11" s="1"/>
  <c r="C8" i="14"/>
  <c r="J8" i="14" s="1"/>
  <c r="C8" i="13"/>
  <c r="J8" i="13" s="1"/>
  <c r="C8" i="12"/>
  <c r="J8" i="12" s="1"/>
  <c r="C8" i="11"/>
  <c r="J8" i="11" s="1"/>
  <c r="C16" i="16"/>
  <c r="J16" i="16" s="1"/>
  <c r="C16" i="15"/>
  <c r="J16" i="15" s="1"/>
  <c r="C16" i="14"/>
  <c r="J16" i="14" s="1"/>
  <c r="C16" i="13"/>
  <c r="J16" i="13" s="1"/>
  <c r="C16" i="12"/>
  <c r="J16" i="12" s="1"/>
  <c r="C16" i="11"/>
  <c r="J16" i="11" s="1"/>
  <c r="C20" i="12"/>
  <c r="J20" i="12" s="1"/>
  <c r="C20" i="11"/>
  <c r="J20" i="11" s="1"/>
  <c r="C24" i="17"/>
  <c r="J24" i="17" s="1"/>
  <c r="C24" i="16"/>
  <c r="J24" i="16" s="1"/>
  <c r="C24" i="15"/>
  <c r="J24" i="15" s="1"/>
  <c r="C24" i="14"/>
  <c r="J24" i="14" s="1"/>
  <c r="C24" i="13"/>
  <c r="J24" i="13" s="1"/>
  <c r="C24" i="12"/>
  <c r="J24" i="12" s="1"/>
  <c r="C24" i="11"/>
  <c r="J24" i="11" s="1"/>
  <c r="C28" i="25"/>
  <c r="J28" i="25" s="1"/>
  <c r="C28" i="24"/>
  <c r="J28" i="24" s="1"/>
  <c r="C28" i="23"/>
  <c r="J28" i="23" s="1"/>
  <c r="C28" i="22"/>
  <c r="J28" i="22" s="1"/>
  <c r="C28" i="21"/>
  <c r="J28" i="21" s="1"/>
  <c r="C28" i="20"/>
  <c r="J28" i="20" s="1"/>
  <c r="C28" i="19"/>
  <c r="J28" i="19" s="1"/>
  <c r="C28" i="18"/>
  <c r="J28" i="18" s="1"/>
  <c r="C28" i="17"/>
  <c r="J28" i="17" s="1"/>
  <c r="C28" i="16"/>
  <c r="J28" i="16" s="1"/>
  <c r="C28" i="15"/>
  <c r="J28" i="15" s="1"/>
  <c r="C28" i="14"/>
  <c r="J28" i="14" s="1"/>
  <c r="C28" i="13"/>
  <c r="J28" i="13" s="1"/>
  <c r="C28" i="12"/>
  <c r="J28" i="12" s="1"/>
  <c r="C28" i="11"/>
  <c r="J28" i="11" s="1"/>
  <c r="C39" i="15"/>
  <c r="J39" i="15" s="1"/>
  <c r="C39" i="14"/>
  <c r="J39" i="14" s="1"/>
  <c r="C39" i="13"/>
  <c r="J39" i="13" s="1"/>
  <c r="C39" i="12"/>
  <c r="J39" i="12" s="1"/>
  <c r="C39" i="11"/>
  <c r="J39" i="11" s="1"/>
  <c r="C55" i="14"/>
  <c r="J55" i="14" s="1"/>
  <c r="C55" i="13"/>
  <c r="J55" i="13" s="1"/>
  <c r="C55" i="12"/>
  <c r="J55" i="12" s="1"/>
  <c r="C55" i="11"/>
  <c r="J55" i="11" s="1"/>
  <c r="C59" i="18"/>
  <c r="J59" i="18" s="1"/>
  <c r="C59" i="17"/>
  <c r="J59" i="17" s="1"/>
  <c r="C59" i="16"/>
  <c r="J59" i="16" s="1"/>
  <c r="C59" i="15"/>
  <c r="J59" i="15" s="1"/>
  <c r="C59" i="14"/>
  <c r="J59" i="14" s="1"/>
  <c r="C59" i="13"/>
  <c r="J59" i="13" s="1"/>
  <c r="C59" i="12"/>
  <c r="J59" i="12" s="1"/>
  <c r="C59" i="11"/>
  <c r="J59" i="11" s="1"/>
  <c r="C63" i="18"/>
  <c r="J63" i="18" s="1"/>
  <c r="C63" i="17"/>
  <c r="J63" i="17" s="1"/>
  <c r="C63" i="16"/>
  <c r="J63" i="16" s="1"/>
  <c r="C63" i="15"/>
  <c r="J63" i="15" s="1"/>
  <c r="C63" i="14"/>
  <c r="J63" i="14" s="1"/>
  <c r="C63" i="13"/>
  <c r="J63" i="13" s="1"/>
  <c r="C63" i="12"/>
  <c r="J63" i="12" s="1"/>
  <c r="C63" i="11"/>
  <c r="J63" i="11" s="1"/>
  <c r="C14" i="16"/>
  <c r="J14" i="16" s="1"/>
  <c r="C14" i="15"/>
  <c r="J14" i="15" s="1"/>
  <c r="C14" i="14"/>
  <c r="J14" i="14" s="1"/>
  <c r="C14" i="13"/>
  <c r="J14" i="13" s="1"/>
  <c r="C14" i="12"/>
  <c r="J14" i="12" s="1"/>
  <c r="C14" i="11"/>
  <c r="J14" i="11" s="1"/>
  <c r="C9" i="15"/>
  <c r="J9" i="15" s="1"/>
  <c r="C9" i="14"/>
  <c r="J9" i="14" s="1"/>
  <c r="C9" i="13"/>
  <c r="J9" i="13" s="1"/>
  <c r="C9" i="12"/>
  <c r="J9" i="12" s="1"/>
  <c r="C9" i="11"/>
  <c r="J9" i="11" s="1"/>
  <c r="C13" i="16"/>
  <c r="J13" i="16" s="1"/>
  <c r="C13" i="15"/>
  <c r="J13" i="15" s="1"/>
  <c r="C13" i="14"/>
  <c r="J13" i="14" s="1"/>
  <c r="C13" i="13"/>
  <c r="J13" i="13" s="1"/>
  <c r="C13" i="12"/>
  <c r="J13" i="12" s="1"/>
  <c r="C13" i="11"/>
  <c r="J13" i="11" s="1"/>
  <c r="C25" i="17"/>
  <c r="J25" i="17" s="1"/>
  <c r="C25" i="16"/>
  <c r="J25" i="16" s="1"/>
  <c r="C25" i="15"/>
  <c r="J25" i="15" s="1"/>
  <c r="C25" i="14"/>
  <c r="J25" i="14" s="1"/>
  <c r="C25" i="13"/>
  <c r="J25" i="13" s="1"/>
  <c r="C25" i="12"/>
  <c r="J25" i="12" s="1"/>
  <c r="C25" i="11"/>
  <c r="J25" i="11" s="1"/>
  <c r="C29" i="16"/>
  <c r="J29" i="16" s="1"/>
  <c r="C29" i="15"/>
  <c r="J29" i="15" s="1"/>
  <c r="C29" i="14"/>
  <c r="J29" i="14" s="1"/>
  <c r="C29" i="13"/>
  <c r="J29" i="13" s="1"/>
  <c r="C29" i="12"/>
  <c r="J29" i="12" s="1"/>
  <c r="C29" i="11"/>
  <c r="J29" i="11" s="1"/>
  <c r="C33" i="25"/>
  <c r="J33" i="25" s="1"/>
  <c r="C33" i="24"/>
  <c r="J33" i="24" s="1"/>
  <c r="C33" i="23"/>
  <c r="J33" i="23" s="1"/>
  <c r="C33" i="22"/>
  <c r="J33" i="22" s="1"/>
  <c r="C33" i="21"/>
  <c r="J33" i="21" s="1"/>
  <c r="C33" i="20"/>
  <c r="J33" i="20" s="1"/>
  <c r="C33" i="19"/>
  <c r="J33" i="19" s="1"/>
  <c r="C33" i="18"/>
  <c r="J33" i="18" s="1"/>
  <c r="C33" i="17"/>
  <c r="J33" i="17" s="1"/>
  <c r="C33" i="16"/>
  <c r="J33" i="16" s="1"/>
  <c r="C33" i="15"/>
  <c r="J33" i="15" s="1"/>
  <c r="C33" i="14"/>
  <c r="J33" i="14" s="1"/>
  <c r="C33" i="13"/>
  <c r="J33" i="13" s="1"/>
  <c r="C33" i="12"/>
  <c r="J33" i="12" s="1"/>
  <c r="C33" i="11"/>
  <c r="J33" i="11" s="1"/>
  <c r="C36" i="12"/>
  <c r="J36" i="12" s="1"/>
  <c r="C36" i="11"/>
  <c r="J36" i="11" s="1"/>
  <c r="C48" i="25"/>
  <c r="J48" i="25" s="1"/>
  <c r="C48" i="24"/>
  <c r="J48" i="24" s="1"/>
  <c r="C48" i="23"/>
  <c r="J48" i="23" s="1"/>
  <c r="C48" i="22"/>
  <c r="J48" i="22" s="1"/>
  <c r="C48" i="21"/>
  <c r="J48" i="21" s="1"/>
  <c r="C48" i="20"/>
  <c r="J48" i="20" s="1"/>
  <c r="C48" i="19"/>
  <c r="J48" i="19" s="1"/>
  <c r="C48" i="18"/>
  <c r="J48" i="18" s="1"/>
  <c r="C48" i="17"/>
  <c r="J48" i="17" s="1"/>
  <c r="C48" i="16"/>
  <c r="J48" i="16" s="1"/>
  <c r="C48" i="15"/>
  <c r="J48" i="15" s="1"/>
  <c r="C48" i="14"/>
  <c r="J48" i="14" s="1"/>
  <c r="C48" i="13"/>
  <c r="J48" i="13" s="1"/>
  <c r="C48" i="12"/>
  <c r="J48" i="12" s="1"/>
  <c r="C48" i="11"/>
  <c r="J48" i="11" s="1"/>
  <c r="C56" i="19"/>
  <c r="J56" i="19" s="1"/>
  <c r="C56" i="18"/>
  <c r="J56" i="18" s="1"/>
  <c r="C56" i="17"/>
  <c r="J56" i="17" s="1"/>
  <c r="C56" i="16"/>
  <c r="J56" i="16" s="1"/>
  <c r="C56" i="15"/>
  <c r="J56" i="15" s="1"/>
  <c r="C56" i="14"/>
  <c r="J56" i="14" s="1"/>
  <c r="C56" i="13"/>
  <c r="J56" i="13" s="1"/>
  <c r="C56" i="12"/>
  <c r="J56" i="12" s="1"/>
  <c r="C56" i="11"/>
  <c r="J56" i="11" s="1"/>
  <c r="C60" i="16"/>
  <c r="J60" i="16" s="1"/>
  <c r="C60" i="15"/>
  <c r="J60" i="15" s="1"/>
  <c r="C60" i="14"/>
  <c r="J60" i="14" s="1"/>
  <c r="C60" i="13"/>
  <c r="J60" i="13" s="1"/>
  <c r="C60" i="12"/>
  <c r="J60" i="12" s="1"/>
  <c r="C60" i="11"/>
  <c r="J60" i="11" s="1"/>
  <c r="C15" i="12"/>
  <c r="J15" i="12" s="1"/>
  <c r="C15" i="11"/>
  <c r="J15" i="11" s="1"/>
  <c r="C47" i="14"/>
  <c r="J47" i="14" s="1"/>
  <c r="C47" i="13"/>
  <c r="J47" i="13" s="1"/>
  <c r="C47" i="12"/>
  <c r="J47" i="12" s="1"/>
  <c r="C47" i="11"/>
  <c r="J47" i="11" s="1"/>
  <c r="C44" i="15"/>
  <c r="J44" i="15" s="1"/>
  <c r="C44" i="14"/>
  <c r="J44" i="14" s="1"/>
  <c r="C44" i="13"/>
  <c r="J44" i="13" s="1"/>
  <c r="C44" i="12"/>
  <c r="J44" i="12" s="1"/>
  <c r="C44" i="11"/>
  <c r="J44" i="11" s="1"/>
  <c r="C64" i="12"/>
  <c r="J64" i="12" s="1"/>
  <c r="C64" i="11"/>
  <c r="J64" i="11" s="1"/>
  <c r="J66" i="1"/>
  <c r="J65" i="1"/>
  <c r="J64" i="1" l="1"/>
  <c r="J63" i="1"/>
  <c r="J62" i="1" l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 l="1"/>
  <c r="J3" i="5"/>
</calcChain>
</file>

<file path=xl/sharedStrings.xml><?xml version="1.0" encoding="utf-8"?>
<sst xmlns="http://schemas.openxmlformats.org/spreadsheetml/2006/main" count="4346" uniqueCount="149">
  <si>
    <t>TAHTA SAYIMI</t>
  </si>
  <si>
    <t>S.NO</t>
  </si>
  <si>
    <t>CİNSİ</t>
  </si>
  <si>
    <t>KALAN</t>
  </si>
  <si>
    <t>SANDALYE TAHTASI</t>
  </si>
  <si>
    <t>EKO KLAS MÜDÜR TAHTASI</t>
  </si>
  <si>
    <t>RECENT MİSAFİR</t>
  </si>
  <si>
    <t>PUFFY MİSAFİR</t>
  </si>
  <si>
    <t>PUFFY MÜDÜR</t>
  </si>
  <si>
    <t>RECENT MÜDÜR</t>
  </si>
  <si>
    <t xml:space="preserve">CEZAR MÜDÜR </t>
  </si>
  <si>
    <t>CEZAR MİSAFİR</t>
  </si>
  <si>
    <t xml:space="preserve">LENUX MİSAFİR </t>
  </si>
  <si>
    <t>LENUX MÜDÜR</t>
  </si>
  <si>
    <t>WARLCOK MÜDÜR</t>
  </si>
  <si>
    <t>WARLCOK MİSAFİR</t>
  </si>
  <si>
    <t xml:space="preserve">VİSİON MÜDÜR </t>
  </si>
  <si>
    <t xml:space="preserve">VİSİON MİSAFİR </t>
  </si>
  <si>
    <t xml:space="preserve">PENTA MÜDÜR </t>
  </si>
  <si>
    <t xml:space="preserve">PENTA MİSAFİR </t>
  </si>
  <si>
    <t xml:space="preserve">ACTİON MÜDÜR </t>
  </si>
  <si>
    <t>GRAFTER MÜDÜR</t>
  </si>
  <si>
    <t xml:space="preserve">GRAFTER MİSAFİR </t>
  </si>
  <si>
    <t xml:space="preserve">LEGENT MÜDÜR UZUN </t>
  </si>
  <si>
    <t>ANFİ TAHTASI</t>
  </si>
  <si>
    <t xml:space="preserve">POLİ DABAN </t>
  </si>
  <si>
    <t>SANDALYE SIRT</t>
  </si>
  <si>
    <t xml:space="preserve">SANDALYE DABAN </t>
  </si>
  <si>
    <t>MİSAFİR SIRT</t>
  </si>
  <si>
    <t xml:space="preserve">MİSAFİR OTURAK </t>
  </si>
  <si>
    <t xml:space="preserve">VİVA DABAN </t>
  </si>
  <si>
    <t>ZEUGMA</t>
  </si>
  <si>
    <t>SOVRANO MİSAFİR</t>
  </si>
  <si>
    <t xml:space="preserve">SOVRANO MÜDÜR </t>
  </si>
  <si>
    <t xml:space="preserve">POLO MİSAFİR </t>
  </si>
  <si>
    <t xml:space="preserve">POLO MÜDÜR </t>
  </si>
  <si>
    <t xml:space="preserve">GRANADA MİSAFİR </t>
  </si>
  <si>
    <t xml:space="preserve">NOWEL MİSAFİR </t>
  </si>
  <si>
    <t xml:space="preserve">NOWEL MÜDÜR </t>
  </si>
  <si>
    <t xml:space="preserve">GRANADA MÜDÜR </t>
  </si>
  <si>
    <t xml:space="preserve">EXPERİA OTURAK </t>
  </si>
  <si>
    <t xml:space="preserve">EXPERİA MÜDÜR </t>
  </si>
  <si>
    <t xml:space="preserve">KİMENE MÜDÜR </t>
  </si>
  <si>
    <t xml:space="preserve">EXPERİA MİSAFİR </t>
  </si>
  <si>
    <t>ELNORA MİSAFİR</t>
  </si>
  <si>
    <t>VİENTO  MİSAFİR</t>
  </si>
  <si>
    <t>MAKER BERBER KOLT.</t>
  </si>
  <si>
    <t>BAYAN BERBER</t>
  </si>
  <si>
    <t>VEGA SIRT</t>
  </si>
  <si>
    <t>VEGA TABAN</t>
  </si>
  <si>
    <t>MUTFAK SAND. OTURAK</t>
  </si>
  <si>
    <t>DEVİR</t>
  </si>
  <si>
    <t>GELEN</t>
  </si>
  <si>
    <t>ELNORA -LEGENT MÜDÜR</t>
  </si>
  <si>
    <t xml:space="preserve">YENİ MODEL  OTURAK </t>
  </si>
  <si>
    <t>PİRAMİT MÜDÜR KONT.</t>
  </si>
  <si>
    <t>PLAT MÜDÜR KONTRASI</t>
  </si>
  <si>
    <t>TRAP MÜDÜR KONTRASI</t>
  </si>
  <si>
    <t>TRAP MİSAFİR KONTRASI</t>
  </si>
  <si>
    <t>CARENS MÜDÜR KONT</t>
  </si>
  <si>
    <t>STELL MİSAFİR</t>
  </si>
  <si>
    <t>VENESSA MİS.KONTRASI</t>
  </si>
  <si>
    <t>NEVOL MÜDÜR KONT.</t>
  </si>
  <si>
    <t>CARRERA MÜDÜR</t>
  </si>
  <si>
    <t>CARRERA MİSAFİR</t>
  </si>
  <si>
    <t xml:space="preserve">SENS MÜDÜR SIRT </t>
  </si>
  <si>
    <t>KESİLMEMİŞ MÜDÜR KON</t>
  </si>
  <si>
    <t xml:space="preserve">PERA OTURAK </t>
  </si>
  <si>
    <t>YENİ MODEL MÜD.SIRT</t>
  </si>
  <si>
    <t>KESİLMEMİŞTAHTA</t>
  </si>
  <si>
    <t xml:space="preserve">ACTİON MİSAFİR </t>
  </si>
  <si>
    <t>BROSWAY MÜDÜR KONT.</t>
  </si>
  <si>
    <t>BROSWAY MİSAFİR KONT.</t>
  </si>
  <si>
    <t>CABRİO MÜDÜR KONT</t>
  </si>
  <si>
    <t>RUBY MÜDÜR KONTRASI</t>
  </si>
  <si>
    <t>RUBY MİSAFİR KONTRASI</t>
  </si>
  <si>
    <t>LUTZ MÜDÜR KONTRASI</t>
  </si>
  <si>
    <t>LUTZ MİSAFİR KONTRASI</t>
  </si>
  <si>
    <t>CLAYTON MÜDÜR KONTRAS</t>
  </si>
  <si>
    <t>CLAYTON MİSAFİR KONTRAS</t>
  </si>
  <si>
    <t>CABRIO MÜDÜR KONTRASI</t>
  </si>
  <si>
    <t>CABRIO MİSAFİR KONTRASI</t>
  </si>
  <si>
    <t>SAFİR MÜDÜR KONTRASI</t>
  </si>
  <si>
    <t>BARTRA MÜDÜR KONTRASI</t>
  </si>
  <si>
    <t>TELLY OTURAK TAHTASI</t>
  </si>
  <si>
    <t xml:space="preserve">FLAT/RENGO/TRAP MÜD.SIRT  </t>
  </si>
  <si>
    <t>BARTRA/FLAT/RENGO OTURAK</t>
  </si>
  <si>
    <t>BARTRA/FLAT/RENGO SIRT</t>
  </si>
  <si>
    <t>BERBER KOTRASI.</t>
  </si>
  <si>
    <t>MİNİMUN</t>
  </si>
  <si>
    <t>MAXSİMUN</t>
  </si>
  <si>
    <t xml:space="preserve">KİMERA  MÜDÜR </t>
  </si>
  <si>
    <t xml:space="preserve"> </t>
  </si>
  <si>
    <t xml:space="preserve">KİMERA MÜDÜR </t>
  </si>
  <si>
    <t>ARALIK 1 HAFTA</t>
  </si>
  <si>
    <t>TELLY(VOX)OTURAK TAHTASI</t>
  </si>
  <si>
    <t>BARTRA/FLAT/RENGO MİS.SIRT</t>
  </si>
  <si>
    <t>ARALIK 2 HAFTA</t>
  </si>
  <si>
    <t xml:space="preserve">VİSİON MÜDÜR/RETRO </t>
  </si>
  <si>
    <t>ARALIK 3. HAFTA</t>
  </si>
  <si>
    <t>ARALIK.4 HAFTA</t>
  </si>
  <si>
    <t>OCAK 1.HAFTA</t>
  </si>
  <si>
    <t>STELL MÜDÜR</t>
  </si>
  <si>
    <t>PENTA MÜDÜR / RETRO</t>
  </si>
  <si>
    <t>BARTRA/FLAT/RENGO/TRAP MİS.SIRT</t>
  </si>
  <si>
    <t>OCAK 2.HAFTA</t>
  </si>
  <si>
    <t>POLİ MÜDÜR</t>
  </si>
  <si>
    <t>OCAK 3.HAFTA</t>
  </si>
  <si>
    <t>NEGRO MÜDÜR</t>
  </si>
  <si>
    <t>BART.FLAT/TRAP/ MÜD. KONTRASI</t>
  </si>
  <si>
    <t>CARENS MİSAFİR KONTRASI</t>
  </si>
  <si>
    <t>OCAK5 / ŞUBAT 1.HAFTA</t>
  </si>
  <si>
    <t>MART 3 HAFTA</t>
  </si>
  <si>
    <t>STELL MÜDÜR/LUTZ</t>
  </si>
  <si>
    <t>PYRAMİT MÜDÜR KONT.</t>
  </si>
  <si>
    <t>REGNO MÜDÜR</t>
  </si>
  <si>
    <t>PRAMİT MİS.</t>
  </si>
  <si>
    <t>TONET SIRT</t>
  </si>
  <si>
    <t>CUATRO TK.</t>
  </si>
  <si>
    <t>CAPRIS MİSAFİR</t>
  </si>
  <si>
    <t>CAPRIS MÜDÜR ÖZEL</t>
  </si>
  <si>
    <t>NİSAN</t>
  </si>
  <si>
    <t>BROSWAY MÜDÜR</t>
  </si>
  <si>
    <t>BROSWAY MİSAFİR</t>
  </si>
  <si>
    <t>KİMERA MİSAFİR</t>
  </si>
  <si>
    <t>NERON MÜDÜR</t>
  </si>
  <si>
    <t>ANFİ TAHTASI SIRT</t>
  </si>
  <si>
    <t>ANFİ OTURAK TAHTASI</t>
  </si>
  <si>
    <t>VİSİON MÜDÜR</t>
  </si>
  <si>
    <t>BEHA SIRT</t>
  </si>
  <si>
    <t xml:space="preserve">BEHA DABAN </t>
  </si>
  <si>
    <t>KESİLMEMİŞ MİSAFİR KON</t>
  </si>
  <si>
    <t>ROYAL SANDALYE</t>
  </si>
  <si>
    <t>ROYAL MÜDÜR</t>
  </si>
  <si>
    <t>MAYIS</t>
  </si>
  <si>
    <t>HAZİRAN</t>
  </si>
  <si>
    <t>TEMMUZ</t>
  </si>
  <si>
    <t>AĞUSTOS</t>
  </si>
  <si>
    <t>EYLÜL</t>
  </si>
  <si>
    <t>CORELLİ SIRT</t>
  </si>
  <si>
    <t>EKİM</t>
  </si>
  <si>
    <t>KASIM</t>
  </si>
  <si>
    <t>ARALIK</t>
  </si>
  <si>
    <t>ZARA BERJER SIRT</t>
  </si>
  <si>
    <t>SUMBA SIRT</t>
  </si>
  <si>
    <t>OCAK</t>
  </si>
  <si>
    <t>ŞUBAT</t>
  </si>
  <si>
    <t>MUSE TAKIM</t>
  </si>
  <si>
    <t>MODE SIRT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</si>
</sst>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0" fillId="0" borderId="1" xfId="0" applyFill="1" applyBorder="1" applyAlignment="1">
      <alignment horizontal="center"/>
    </xf>
    <xf numFmtId="0" fontId="0" fillId="2" borderId="1" xfId="0" applyFont="1" applyFill="1" applyBorder="1"/>
    <xf numFmtId="0" fontId="0" fillId="3" borderId="1" xfId="0" applyFill="1" applyBorder="1"/>
    <xf numFmtId="17" fontId="0" fillId="0" borderId="0" xfId="0" applyNumberFormat="1"/>
    <xf numFmtId="0" fontId="0" fillId="4" borderId="1" xfId="0" applyFill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opLeftCell="A37" zoomScaleNormal="100" workbookViewId="0">
      <selection activeCell="D25" sqref="D25"/>
    </sheetView>
  </sheetViews>
  <sheetFormatPr defaultRowHeight="15" x14ac:dyDescent="0.25"/>
  <cols>
    <col min="1" max="1" width="6.5703125" customWidth="1"/>
    <col min="2" max="2" width="24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</cols>
  <sheetData>
    <row r="1" spans="1:10" x14ac:dyDescent="0.25">
      <c r="A1" s="2" t="s">
        <v>0</v>
      </c>
      <c r="B1" s="2"/>
      <c r="J1" s="1">
        <v>44809</v>
      </c>
    </row>
    <row r="2" spans="1:10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44830</v>
      </c>
      <c r="F2" s="4">
        <v>44831</v>
      </c>
      <c r="G2" s="4">
        <v>44832</v>
      </c>
      <c r="H2" s="4">
        <v>44833</v>
      </c>
      <c r="I2" s="4">
        <v>44834</v>
      </c>
      <c r="J2" s="5" t="s">
        <v>3</v>
      </c>
    </row>
    <row r="3" spans="1:10" x14ac:dyDescent="0.25">
      <c r="A3" s="6">
        <v>1</v>
      </c>
      <c r="B3" s="7" t="s">
        <v>4</v>
      </c>
      <c r="C3" s="6">
        <v>37</v>
      </c>
      <c r="D3" s="6">
        <v>0</v>
      </c>
      <c r="E3" s="6">
        <v>0</v>
      </c>
      <c r="F3" s="6"/>
      <c r="G3" s="6"/>
      <c r="H3" s="6"/>
      <c r="I3" s="6"/>
      <c r="J3" s="6">
        <f>+C3-E3-F3-G3-H3-I3+D3</f>
        <v>37</v>
      </c>
    </row>
    <row r="4" spans="1:10" x14ac:dyDescent="0.25">
      <c r="A4" s="6">
        <v>2</v>
      </c>
      <c r="B4" s="7" t="s">
        <v>5</v>
      </c>
      <c r="C4" s="6">
        <v>3</v>
      </c>
      <c r="D4" s="6"/>
      <c r="E4" s="6"/>
      <c r="F4" s="6"/>
      <c r="G4" s="6"/>
      <c r="H4" s="6"/>
      <c r="I4" s="6"/>
      <c r="J4" s="6">
        <f t="shared" ref="J4:J66" si="0">+C4-E4-F4-G4-H4-I4+D4</f>
        <v>3</v>
      </c>
    </row>
    <row r="5" spans="1:10" x14ac:dyDescent="0.25">
      <c r="A5" s="6">
        <v>3</v>
      </c>
      <c r="B5" s="7" t="s">
        <v>69</v>
      </c>
      <c r="C5" s="6">
        <v>107</v>
      </c>
      <c r="D5" s="6"/>
      <c r="E5" s="6"/>
      <c r="F5" s="6"/>
      <c r="G5" s="6"/>
      <c r="H5" s="6"/>
      <c r="I5" s="6"/>
      <c r="J5" s="6">
        <f t="shared" si="0"/>
        <v>107</v>
      </c>
    </row>
    <row r="6" spans="1:10" x14ac:dyDescent="0.25">
      <c r="A6" s="6">
        <v>4</v>
      </c>
      <c r="B6" s="7" t="s">
        <v>6</v>
      </c>
      <c r="C6" s="6">
        <v>55</v>
      </c>
      <c r="D6" s="6"/>
      <c r="E6" s="6"/>
      <c r="F6" s="6"/>
      <c r="G6" s="6"/>
      <c r="H6" s="6"/>
      <c r="I6" s="6"/>
      <c r="J6" s="6">
        <f t="shared" si="0"/>
        <v>55</v>
      </c>
    </row>
    <row r="7" spans="1:10" x14ac:dyDescent="0.25">
      <c r="A7" s="6">
        <v>5</v>
      </c>
      <c r="B7" s="7" t="s">
        <v>9</v>
      </c>
      <c r="C7" s="6">
        <v>30</v>
      </c>
      <c r="D7" s="6"/>
      <c r="E7" s="6"/>
      <c r="F7" s="6">
        <v>3</v>
      </c>
      <c r="G7" s="6"/>
      <c r="H7" s="6"/>
      <c r="I7" s="6"/>
      <c r="J7" s="6">
        <f t="shared" si="0"/>
        <v>27</v>
      </c>
    </row>
    <row r="8" spans="1:10" x14ac:dyDescent="0.25">
      <c r="A8" s="6">
        <v>6</v>
      </c>
      <c r="B8" s="7" t="s">
        <v>7</v>
      </c>
      <c r="C8" s="6">
        <v>37</v>
      </c>
      <c r="D8" s="6"/>
      <c r="E8" s="6"/>
      <c r="F8" s="6">
        <v>12</v>
      </c>
      <c r="G8" s="6"/>
      <c r="H8" s="6"/>
      <c r="I8" s="6"/>
      <c r="J8" s="6">
        <f t="shared" si="0"/>
        <v>25</v>
      </c>
    </row>
    <row r="9" spans="1:10" x14ac:dyDescent="0.25">
      <c r="A9" s="6">
        <v>6</v>
      </c>
      <c r="B9" s="7" t="s">
        <v>8</v>
      </c>
      <c r="C9" s="6">
        <v>18</v>
      </c>
      <c r="D9" s="6"/>
      <c r="E9" s="6"/>
      <c r="F9" s="6"/>
      <c r="G9" s="6"/>
      <c r="H9" s="6"/>
      <c r="I9" s="6"/>
      <c r="J9" s="6">
        <f t="shared" si="0"/>
        <v>18</v>
      </c>
    </row>
    <row r="10" spans="1:10" x14ac:dyDescent="0.25">
      <c r="A10" s="6">
        <v>7</v>
      </c>
      <c r="B10" s="7" t="s">
        <v>66</v>
      </c>
      <c r="C10" s="6">
        <v>44</v>
      </c>
      <c r="D10" s="6">
        <v>41</v>
      </c>
      <c r="E10" s="6"/>
      <c r="F10" s="6"/>
      <c r="G10" s="6"/>
      <c r="H10" s="6"/>
      <c r="I10" s="6"/>
      <c r="J10" s="6">
        <f t="shared" si="0"/>
        <v>85</v>
      </c>
    </row>
    <row r="11" spans="1:10" x14ac:dyDescent="0.25">
      <c r="A11" s="6">
        <v>8</v>
      </c>
      <c r="B11" s="7" t="s">
        <v>10</v>
      </c>
      <c r="C11" s="6">
        <v>242</v>
      </c>
      <c r="D11" s="6">
        <v>177</v>
      </c>
      <c r="E11" s="6"/>
      <c r="F11" s="6"/>
      <c r="G11" s="6"/>
      <c r="H11" s="6"/>
      <c r="I11" s="6"/>
      <c r="J11" s="6">
        <f t="shared" si="0"/>
        <v>419</v>
      </c>
    </row>
    <row r="12" spans="1:10" x14ac:dyDescent="0.25">
      <c r="A12" s="6">
        <v>9</v>
      </c>
      <c r="B12" s="7" t="s">
        <v>11</v>
      </c>
      <c r="C12" s="6">
        <v>322</v>
      </c>
      <c r="D12" s="6">
        <v>60</v>
      </c>
      <c r="E12" s="6">
        <v>4</v>
      </c>
      <c r="F12" s="6"/>
      <c r="G12" s="6"/>
      <c r="H12" s="6"/>
      <c r="I12" s="6"/>
      <c r="J12" s="6">
        <f t="shared" si="0"/>
        <v>378</v>
      </c>
    </row>
    <row r="13" spans="1:10" x14ac:dyDescent="0.25">
      <c r="A13" s="6">
        <v>10</v>
      </c>
      <c r="B13" s="7" t="s">
        <v>12</v>
      </c>
      <c r="C13" s="6">
        <v>78</v>
      </c>
      <c r="D13" s="6"/>
      <c r="E13" s="6"/>
      <c r="F13" s="6"/>
      <c r="G13" s="6"/>
      <c r="H13" s="6"/>
      <c r="I13" s="6"/>
      <c r="J13" s="6">
        <f t="shared" si="0"/>
        <v>78</v>
      </c>
    </row>
    <row r="14" spans="1:10" x14ac:dyDescent="0.25">
      <c r="A14" s="6">
        <v>11</v>
      </c>
      <c r="B14" s="7" t="s">
        <v>13</v>
      </c>
      <c r="C14" s="6">
        <v>45</v>
      </c>
      <c r="D14" s="6"/>
      <c r="E14" s="6"/>
      <c r="F14" s="6"/>
      <c r="G14" s="6"/>
      <c r="H14" s="6"/>
      <c r="I14" s="6"/>
      <c r="J14" s="6">
        <f t="shared" si="0"/>
        <v>45</v>
      </c>
    </row>
    <row r="15" spans="1:10" x14ac:dyDescent="0.25">
      <c r="A15" s="6">
        <v>12</v>
      </c>
      <c r="B15" s="7" t="s">
        <v>14</v>
      </c>
      <c r="C15" s="6">
        <v>141</v>
      </c>
      <c r="D15" s="6"/>
      <c r="E15" s="6">
        <v>1</v>
      </c>
      <c r="F15" s="6"/>
      <c r="G15" s="6"/>
      <c r="H15" s="6"/>
      <c r="I15" s="6"/>
      <c r="J15" s="6">
        <f t="shared" si="0"/>
        <v>140</v>
      </c>
    </row>
    <row r="16" spans="1:10" x14ac:dyDescent="0.25">
      <c r="A16" s="6">
        <v>13</v>
      </c>
      <c r="B16" s="7" t="s">
        <v>15</v>
      </c>
      <c r="C16" s="6">
        <v>50</v>
      </c>
      <c r="D16" s="6"/>
      <c r="E16" s="6">
        <v>2</v>
      </c>
      <c r="F16" s="6"/>
      <c r="G16" s="6"/>
      <c r="H16" s="6"/>
      <c r="I16" s="6"/>
      <c r="J16" s="6">
        <f t="shared" si="0"/>
        <v>48</v>
      </c>
    </row>
    <row r="17" spans="1:10" x14ac:dyDescent="0.25">
      <c r="A17" s="6">
        <v>14</v>
      </c>
      <c r="B17" s="7" t="s">
        <v>16</v>
      </c>
      <c r="C17" s="6">
        <v>234</v>
      </c>
      <c r="D17" s="6">
        <v>57</v>
      </c>
      <c r="E17" s="6">
        <v>4</v>
      </c>
      <c r="F17" s="6"/>
      <c r="G17" s="6">
        <v>3</v>
      </c>
      <c r="H17" s="6"/>
      <c r="I17" s="6"/>
      <c r="J17" s="6">
        <f t="shared" si="0"/>
        <v>284</v>
      </c>
    </row>
    <row r="18" spans="1:10" x14ac:dyDescent="0.25">
      <c r="A18" s="6">
        <v>15</v>
      </c>
      <c r="B18" s="7" t="s">
        <v>17</v>
      </c>
      <c r="C18" s="6">
        <v>205</v>
      </c>
      <c r="D18" s="6"/>
      <c r="E18" s="6">
        <v>3</v>
      </c>
      <c r="F18" s="6"/>
      <c r="G18" s="6">
        <v>4</v>
      </c>
      <c r="H18" s="6"/>
      <c r="I18" s="6"/>
      <c r="J18" s="6">
        <f t="shared" si="0"/>
        <v>198</v>
      </c>
    </row>
    <row r="19" spans="1:10" x14ac:dyDescent="0.25">
      <c r="A19" s="6">
        <v>16</v>
      </c>
      <c r="B19" s="7" t="s">
        <v>18</v>
      </c>
      <c r="C19" s="6">
        <v>111</v>
      </c>
      <c r="D19" s="6">
        <v>30</v>
      </c>
      <c r="E19" s="6"/>
      <c r="F19" s="6"/>
      <c r="G19" s="6"/>
      <c r="H19" s="6"/>
      <c r="I19" s="6"/>
      <c r="J19" s="6">
        <f t="shared" si="0"/>
        <v>141</v>
      </c>
    </row>
    <row r="20" spans="1:10" x14ac:dyDescent="0.25">
      <c r="A20" s="6">
        <v>17</v>
      </c>
      <c r="B20" s="7" t="s">
        <v>19</v>
      </c>
      <c r="C20" s="6">
        <v>8</v>
      </c>
      <c r="D20" s="6"/>
      <c r="E20" s="6"/>
      <c r="F20" s="6"/>
      <c r="G20" s="6"/>
      <c r="H20" s="6"/>
      <c r="I20" s="6"/>
      <c r="J20" s="6">
        <f t="shared" si="0"/>
        <v>8</v>
      </c>
    </row>
    <row r="21" spans="1:10" x14ac:dyDescent="0.25">
      <c r="A21" s="6">
        <v>18</v>
      </c>
      <c r="B21" s="7" t="s">
        <v>20</v>
      </c>
      <c r="C21" s="6">
        <v>15</v>
      </c>
      <c r="D21" s="6"/>
      <c r="E21" s="6"/>
      <c r="F21" s="6"/>
      <c r="G21" s="6">
        <v>1</v>
      </c>
      <c r="H21" s="6"/>
      <c r="I21" s="6"/>
      <c r="J21" s="6">
        <f t="shared" si="0"/>
        <v>14</v>
      </c>
    </row>
    <row r="22" spans="1:10" x14ac:dyDescent="0.25">
      <c r="A22" s="6">
        <v>19</v>
      </c>
      <c r="B22" s="7" t="s">
        <v>54</v>
      </c>
      <c r="C22" s="6">
        <v>118</v>
      </c>
      <c r="D22" s="6"/>
      <c r="E22" s="6"/>
      <c r="F22" s="6"/>
      <c r="G22" s="6"/>
      <c r="H22" s="6"/>
      <c r="I22" s="6"/>
      <c r="J22" s="6">
        <f t="shared" si="0"/>
        <v>118</v>
      </c>
    </row>
    <row r="23" spans="1:10" x14ac:dyDescent="0.25">
      <c r="A23" s="6">
        <v>20</v>
      </c>
      <c r="B23" s="7" t="s">
        <v>59</v>
      </c>
      <c r="C23" s="6">
        <v>38</v>
      </c>
      <c r="D23" s="6"/>
      <c r="E23" s="6"/>
      <c r="F23" s="6"/>
      <c r="G23" s="6"/>
      <c r="H23" s="6"/>
      <c r="I23" s="6"/>
      <c r="J23" s="6">
        <f t="shared" si="0"/>
        <v>38</v>
      </c>
    </row>
    <row r="24" spans="1:10" x14ac:dyDescent="0.25">
      <c r="A24" s="6">
        <v>21</v>
      </c>
      <c r="B24" s="7" t="s">
        <v>21</v>
      </c>
      <c r="C24" s="6">
        <v>7</v>
      </c>
      <c r="D24" s="6"/>
      <c r="E24" s="6"/>
      <c r="F24" s="6"/>
      <c r="G24" s="6"/>
      <c r="H24" s="6"/>
      <c r="I24" s="6"/>
      <c r="J24" s="6">
        <f t="shared" si="0"/>
        <v>7</v>
      </c>
    </row>
    <row r="25" spans="1:10" x14ac:dyDescent="0.25">
      <c r="A25" s="6">
        <v>22</v>
      </c>
      <c r="B25" s="7" t="s">
        <v>22</v>
      </c>
      <c r="C25" s="6">
        <v>42</v>
      </c>
      <c r="D25" s="6"/>
      <c r="E25" s="6"/>
      <c r="F25" s="6"/>
      <c r="G25" s="6"/>
      <c r="H25" s="6"/>
      <c r="I25" s="6"/>
      <c r="J25" s="6">
        <f t="shared" si="0"/>
        <v>42</v>
      </c>
    </row>
    <row r="26" spans="1:10" x14ac:dyDescent="0.25">
      <c r="A26" s="6">
        <v>23</v>
      </c>
      <c r="B26" s="7" t="s">
        <v>53</v>
      </c>
      <c r="C26" s="6">
        <v>483</v>
      </c>
      <c r="D26" s="6"/>
      <c r="E26" s="6"/>
      <c r="F26" s="6"/>
      <c r="G26" s="6"/>
      <c r="H26" s="6"/>
      <c r="I26" s="6"/>
      <c r="J26" s="6">
        <f t="shared" si="0"/>
        <v>483</v>
      </c>
    </row>
    <row r="27" spans="1:10" x14ac:dyDescent="0.25">
      <c r="A27" s="6">
        <v>24</v>
      </c>
      <c r="B27" s="7" t="s">
        <v>23</v>
      </c>
      <c r="C27" s="6">
        <v>62</v>
      </c>
      <c r="D27" s="6"/>
      <c r="E27" s="6"/>
      <c r="F27" s="6"/>
      <c r="G27" s="6"/>
      <c r="H27" s="6"/>
      <c r="I27" s="6"/>
      <c r="J27" s="6">
        <f t="shared" si="0"/>
        <v>62</v>
      </c>
    </row>
    <row r="28" spans="1:10" x14ac:dyDescent="0.25">
      <c r="A28" s="6">
        <v>25</v>
      </c>
      <c r="B28" s="7" t="s">
        <v>24</v>
      </c>
      <c r="C28" s="6">
        <v>13</v>
      </c>
      <c r="D28" s="6"/>
      <c r="E28" s="6"/>
      <c r="F28" s="6"/>
      <c r="G28" s="6"/>
      <c r="H28" s="6"/>
      <c r="I28" s="6"/>
      <c r="J28" s="6">
        <f t="shared" si="0"/>
        <v>13</v>
      </c>
    </row>
    <row r="29" spans="1:10" x14ac:dyDescent="0.25">
      <c r="A29" s="6">
        <v>26</v>
      </c>
      <c r="B29" s="7" t="s">
        <v>48</v>
      </c>
      <c r="C29" s="6">
        <v>60</v>
      </c>
      <c r="D29" s="6"/>
      <c r="E29" s="6"/>
      <c r="F29" s="6"/>
      <c r="G29" s="6"/>
      <c r="H29" s="6"/>
      <c r="I29" s="6"/>
      <c r="J29" s="6">
        <f t="shared" si="0"/>
        <v>60</v>
      </c>
    </row>
    <row r="30" spans="1:10" x14ac:dyDescent="0.25">
      <c r="A30" s="6">
        <v>26</v>
      </c>
      <c r="B30" s="7" t="s">
        <v>49</v>
      </c>
      <c r="C30" s="6">
        <v>78</v>
      </c>
      <c r="D30" s="6"/>
      <c r="E30" s="6"/>
      <c r="F30" s="6"/>
      <c r="G30" s="6"/>
      <c r="H30" s="6"/>
      <c r="I30" s="6"/>
      <c r="J30" s="6">
        <f t="shared" si="0"/>
        <v>78</v>
      </c>
    </row>
    <row r="31" spans="1:10" x14ac:dyDescent="0.25">
      <c r="A31" s="6">
        <v>27</v>
      </c>
      <c r="B31" s="7" t="s">
        <v>61</v>
      </c>
      <c r="C31" s="6">
        <v>293</v>
      </c>
      <c r="D31" s="6"/>
      <c r="E31" s="6"/>
      <c r="F31" s="6"/>
      <c r="G31" s="6"/>
      <c r="H31" s="6"/>
      <c r="I31" s="6"/>
      <c r="J31" s="6">
        <f t="shared" si="0"/>
        <v>293</v>
      </c>
    </row>
    <row r="32" spans="1:10" x14ac:dyDescent="0.25">
      <c r="A32" s="6">
        <v>28</v>
      </c>
      <c r="B32" s="7" t="s">
        <v>25</v>
      </c>
      <c r="C32" s="6">
        <v>217</v>
      </c>
      <c r="D32" s="6">
        <v>87</v>
      </c>
      <c r="E32" s="6"/>
      <c r="F32" s="6"/>
      <c r="G32" s="6">
        <v>24</v>
      </c>
      <c r="H32" s="6"/>
      <c r="I32" s="6"/>
      <c r="J32" s="6">
        <f t="shared" si="0"/>
        <v>280</v>
      </c>
    </row>
    <row r="33" spans="1:10" x14ac:dyDescent="0.25">
      <c r="A33" s="6">
        <v>29</v>
      </c>
      <c r="B33" s="7" t="s">
        <v>26</v>
      </c>
      <c r="C33" s="6">
        <v>17</v>
      </c>
      <c r="D33" s="6"/>
      <c r="E33" s="6"/>
      <c r="F33" s="6"/>
      <c r="G33" s="6"/>
      <c r="H33" s="6"/>
      <c r="I33" s="6"/>
      <c r="J33" s="6">
        <f t="shared" si="0"/>
        <v>17</v>
      </c>
    </row>
    <row r="34" spans="1:10" x14ac:dyDescent="0.25">
      <c r="A34" s="6">
        <v>30</v>
      </c>
      <c r="B34" s="7" t="s">
        <v>27</v>
      </c>
      <c r="C34" s="6">
        <v>45</v>
      </c>
      <c r="D34" s="6"/>
      <c r="E34" s="6"/>
      <c r="F34" s="6"/>
      <c r="G34" s="6"/>
      <c r="H34" s="6"/>
      <c r="I34" s="6"/>
      <c r="J34" s="6">
        <f t="shared" si="0"/>
        <v>45</v>
      </c>
    </row>
    <row r="35" spans="1:10" x14ac:dyDescent="0.25">
      <c r="A35" s="6">
        <v>31</v>
      </c>
      <c r="B35" s="7" t="s">
        <v>28</v>
      </c>
      <c r="C35" s="6">
        <v>166</v>
      </c>
      <c r="D35" s="6"/>
      <c r="E35" s="6"/>
      <c r="F35" s="6"/>
      <c r="G35" s="6"/>
      <c r="H35" s="6"/>
      <c r="I35" s="6"/>
      <c r="J35" s="6">
        <f t="shared" si="0"/>
        <v>166</v>
      </c>
    </row>
    <row r="36" spans="1:10" x14ac:dyDescent="0.25">
      <c r="A36" s="6">
        <v>32</v>
      </c>
      <c r="B36" s="7" t="s">
        <v>29</v>
      </c>
      <c r="C36" s="6">
        <v>538</v>
      </c>
      <c r="D36" s="6"/>
      <c r="E36" s="6"/>
      <c r="F36" s="6"/>
      <c r="G36" s="6"/>
      <c r="H36" s="6"/>
      <c r="I36" s="6"/>
      <c r="J36" s="6">
        <f t="shared" si="0"/>
        <v>538</v>
      </c>
    </row>
    <row r="37" spans="1:10" x14ac:dyDescent="0.25">
      <c r="A37" s="6">
        <v>33</v>
      </c>
      <c r="B37" s="7" t="s">
        <v>30</v>
      </c>
      <c r="C37" s="6">
        <v>66</v>
      </c>
      <c r="D37" s="6"/>
      <c r="E37" s="6"/>
      <c r="F37" s="6"/>
      <c r="G37" s="6"/>
      <c r="H37" s="6"/>
      <c r="I37" s="6"/>
      <c r="J37" s="6">
        <f t="shared" si="0"/>
        <v>66</v>
      </c>
    </row>
    <row r="38" spans="1:10" x14ac:dyDescent="0.25">
      <c r="A38" s="6">
        <v>34</v>
      </c>
      <c r="B38" s="7" t="s">
        <v>65</v>
      </c>
      <c r="C38" s="6">
        <v>36</v>
      </c>
      <c r="D38" s="6"/>
      <c r="E38" s="6"/>
      <c r="F38" s="6"/>
      <c r="G38" s="6"/>
      <c r="H38" s="6"/>
      <c r="I38" s="6"/>
      <c r="J38" s="6">
        <f t="shared" si="0"/>
        <v>36</v>
      </c>
    </row>
    <row r="39" spans="1:10" x14ac:dyDescent="0.25">
      <c r="A39" s="6">
        <v>35</v>
      </c>
      <c r="B39" s="7" t="s">
        <v>31</v>
      </c>
      <c r="C39" s="6">
        <v>24</v>
      </c>
      <c r="D39" s="6"/>
      <c r="E39" s="6"/>
      <c r="F39" s="6"/>
      <c r="G39" s="6"/>
      <c r="H39" s="6"/>
      <c r="I39" s="6"/>
      <c r="J39" s="6">
        <f t="shared" si="0"/>
        <v>24</v>
      </c>
    </row>
    <row r="40" spans="1:10" x14ac:dyDescent="0.25">
      <c r="A40" s="6">
        <v>36</v>
      </c>
      <c r="B40" s="7" t="s">
        <v>32</v>
      </c>
      <c r="C40" s="6">
        <v>10</v>
      </c>
      <c r="D40" s="6"/>
      <c r="E40" s="6"/>
      <c r="F40" s="6"/>
      <c r="G40" s="6"/>
      <c r="H40" s="6"/>
      <c r="I40" s="6"/>
      <c r="J40" s="6">
        <f t="shared" si="0"/>
        <v>10</v>
      </c>
    </row>
    <row r="41" spans="1:10" x14ac:dyDescent="0.25">
      <c r="A41" s="6">
        <v>37</v>
      </c>
      <c r="B41" s="7" t="s">
        <v>33</v>
      </c>
      <c r="C41" s="6">
        <v>15</v>
      </c>
      <c r="D41" s="6"/>
      <c r="E41" s="6"/>
      <c r="F41" s="6">
        <v>1</v>
      </c>
      <c r="G41" s="6"/>
      <c r="H41" s="6"/>
      <c r="I41" s="6"/>
      <c r="J41" s="6">
        <f t="shared" si="0"/>
        <v>14</v>
      </c>
    </row>
    <row r="42" spans="1:10" x14ac:dyDescent="0.25">
      <c r="A42" s="6">
        <v>38</v>
      </c>
      <c r="B42" s="7" t="s">
        <v>34</v>
      </c>
      <c r="C42" s="6">
        <v>23</v>
      </c>
      <c r="D42" s="6"/>
      <c r="E42" s="6"/>
      <c r="F42" s="6"/>
      <c r="G42" s="6"/>
      <c r="H42" s="6"/>
      <c r="I42" s="6"/>
      <c r="J42" s="6">
        <f t="shared" si="0"/>
        <v>23</v>
      </c>
    </row>
    <row r="43" spans="1:10" x14ac:dyDescent="0.25">
      <c r="A43" s="6">
        <v>39</v>
      </c>
      <c r="B43" s="7" t="s">
        <v>35</v>
      </c>
      <c r="C43" s="6">
        <v>9</v>
      </c>
      <c r="D43" s="6">
        <v>50</v>
      </c>
      <c r="E43" s="6"/>
      <c r="F43" s="6"/>
      <c r="G43" s="6"/>
      <c r="H43" s="6"/>
      <c r="I43" s="6"/>
      <c r="J43" s="6">
        <f t="shared" si="0"/>
        <v>59</v>
      </c>
    </row>
    <row r="44" spans="1:10" x14ac:dyDescent="0.25">
      <c r="A44" s="6">
        <v>40</v>
      </c>
      <c r="B44" s="7" t="s">
        <v>44</v>
      </c>
      <c r="C44" s="6">
        <v>317</v>
      </c>
      <c r="D44" s="6"/>
      <c r="E44" s="6"/>
      <c r="F44" s="6"/>
      <c r="G44" s="6"/>
      <c r="H44" s="6"/>
      <c r="I44" s="6"/>
      <c r="J44" s="6">
        <f t="shared" si="0"/>
        <v>317</v>
      </c>
    </row>
    <row r="45" spans="1:10" x14ac:dyDescent="0.25">
      <c r="A45" s="6">
        <v>41</v>
      </c>
      <c r="B45" s="7" t="s">
        <v>60</v>
      </c>
      <c r="C45" s="6">
        <v>42</v>
      </c>
      <c r="D45" s="6"/>
      <c r="E45" s="6"/>
      <c r="F45" s="6"/>
      <c r="G45" s="6"/>
      <c r="H45" s="6"/>
      <c r="I45" s="6"/>
      <c r="J45" s="6">
        <f t="shared" si="0"/>
        <v>42</v>
      </c>
    </row>
    <row r="46" spans="1:10" x14ac:dyDescent="0.25">
      <c r="A46" s="6">
        <v>42</v>
      </c>
      <c r="B46" s="7" t="s">
        <v>36</v>
      </c>
      <c r="C46" s="6">
        <v>26</v>
      </c>
      <c r="D46" s="6"/>
      <c r="E46" s="6"/>
      <c r="F46" s="6"/>
      <c r="G46" s="6"/>
      <c r="H46" s="6"/>
      <c r="I46" s="6"/>
      <c r="J46" s="6">
        <f t="shared" si="0"/>
        <v>26</v>
      </c>
    </row>
    <row r="47" spans="1:10" x14ac:dyDescent="0.25">
      <c r="A47" s="6">
        <v>43</v>
      </c>
      <c r="B47" s="7" t="s">
        <v>37</v>
      </c>
      <c r="C47" s="6">
        <v>69</v>
      </c>
      <c r="D47" s="6"/>
      <c r="E47" s="6"/>
      <c r="F47" s="6"/>
      <c r="G47" s="6"/>
      <c r="H47" s="6"/>
      <c r="I47" s="6"/>
      <c r="J47" s="6">
        <f t="shared" si="0"/>
        <v>69</v>
      </c>
    </row>
    <row r="48" spans="1:10" x14ac:dyDescent="0.25">
      <c r="A48" s="6">
        <v>44</v>
      </c>
      <c r="B48" s="7" t="s">
        <v>38</v>
      </c>
      <c r="C48" s="6">
        <v>29</v>
      </c>
      <c r="D48" s="6"/>
      <c r="E48" s="6"/>
      <c r="F48" s="6"/>
      <c r="G48" s="6"/>
      <c r="H48" s="6"/>
      <c r="I48" s="6"/>
      <c r="J48" s="6">
        <f t="shared" si="0"/>
        <v>29</v>
      </c>
    </row>
    <row r="49" spans="1:10" x14ac:dyDescent="0.25">
      <c r="A49" s="6">
        <v>45</v>
      </c>
      <c r="B49" s="7" t="s">
        <v>62</v>
      </c>
      <c r="C49" s="6">
        <v>38</v>
      </c>
      <c r="D49" s="6"/>
      <c r="E49" s="6"/>
      <c r="F49" s="6"/>
      <c r="G49" s="6"/>
      <c r="H49" s="6"/>
      <c r="I49" s="6"/>
      <c r="J49" s="6">
        <f t="shared" si="0"/>
        <v>38</v>
      </c>
    </row>
    <row r="50" spans="1:10" x14ac:dyDescent="0.25">
      <c r="A50" s="6">
        <v>46</v>
      </c>
      <c r="B50" s="7" t="s">
        <v>39</v>
      </c>
      <c r="C50" s="6">
        <v>63</v>
      </c>
      <c r="D50" s="6"/>
      <c r="E50" s="6"/>
      <c r="F50" s="6"/>
      <c r="G50" s="6"/>
      <c r="H50" s="6"/>
      <c r="I50" s="6"/>
      <c r="J50" s="6">
        <f t="shared" si="0"/>
        <v>63</v>
      </c>
    </row>
    <row r="51" spans="1:10" x14ac:dyDescent="0.25">
      <c r="A51" s="6">
        <v>47</v>
      </c>
      <c r="B51" s="7" t="s">
        <v>40</v>
      </c>
      <c r="C51" s="6">
        <v>245</v>
      </c>
      <c r="D51" s="6"/>
      <c r="E51" s="6"/>
      <c r="F51" s="6"/>
      <c r="G51" s="6"/>
      <c r="H51" s="6"/>
      <c r="I51" s="6"/>
      <c r="J51" s="6">
        <f t="shared" si="0"/>
        <v>245</v>
      </c>
    </row>
    <row r="52" spans="1:10" x14ac:dyDescent="0.25">
      <c r="A52" s="6">
        <v>48</v>
      </c>
      <c r="B52" s="7" t="s">
        <v>41</v>
      </c>
      <c r="C52" s="6">
        <v>79</v>
      </c>
      <c r="D52" s="6"/>
      <c r="E52" s="6"/>
      <c r="F52" s="6"/>
      <c r="G52" s="6"/>
      <c r="H52" s="6"/>
      <c r="I52" s="6"/>
      <c r="J52" s="6">
        <f t="shared" si="0"/>
        <v>79</v>
      </c>
    </row>
    <row r="53" spans="1:10" x14ac:dyDescent="0.25">
      <c r="A53" s="6">
        <v>49</v>
      </c>
      <c r="B53" s="7" t="s">
        <v>43</v>
      </c>
      <c r="C53" s="6">
        <v>30</v>
      </c>
      <c r="D53" s="6"/>
      <c r="E53" s="6"/>
      <c r="F53" s="6"/>
      <c r="G53" s="6">
        <v>2</v>
      </c>
      <c r="H53" s="6"/>
      <c r="I53" s="6"/>
      <c r="J53" s="6">
        <f t="shared" si="0"/>
        <v>28</v>
      </c>
    </row>
    <row r="54" spans="1:10" x14ac:dyDescent="0.25">
      <c r="A54" s="6">
        <v>50</v>
      </c>
      <c r="B54" s="7" t="s">
        <v>42</v>
      </c>
      <c r="C54" s="6">
        <v>43</v>
      </c>
      <c r="D54" s="6"/>
      <c r="E54" s="6"/>
      <c r="F54" s="6"/>
      <c r="G54" s="6"/>
      <c r="H54" s="6"/>
      <c r="I54" s="6"/>
      <c r="J54" s="6">
        <f t="shared" si="0"/>
        <v>43</v>
      </c>
    </row>
    <row r="55" spans="1:10" x14ac:dyDescent="0.25">
      <c r="A55" s="6">
        <v>51</v>
      </c>
      <c r="B55" s="7" t="s">
        <v>45</v>
      </c>
      <c r="C55" s="6">
        <v>99</v>
      </c>
      <c r="D55" s="6"/>
      <c r="E55" s="6"/>
      <c r="F55" s="6"/>
      <c r="G55" s="6"/>
      <c r="H55" s="6"/>
      <c r="I55" s="6"/>
      <c r="J55" s="6">
        <f t="shared" si="0"/>
        <v>99</v>
      </c>
    </row>
    <row r="56" spans="1:10" x14ac:dyDescent="0.25">
      <c r="A56" s="6">
        <v>52</v>
      </c>
      <c r="B56" s="7" t="s">
        <v>46</v>
      </c>
      <c r="C56" s="6">
        <v>230</v>
      </c>
      <c r="D56" s="6"/>
      <c r="E56" s="6"/>
      <c r="F56" s="6"/>
      <c r="G56" s="6"/>
      <c r="H56" s="6"/>
      <c r="I56" s="6"/>
      <c r="J56" s="6">
        <f t="shared" si="0"/>
        <v>230</v>
      </c>
    </row>
    <row r="57" spans="1:10" x14ac:dyDescent="0.25">
      <c r="A57" s="6">
        <v>53</v>
      </c>
      <c r="B57" s="7" t="s">
        <v>47</v>
      </c>
      <c r="C57" s="6">
        <v>76</v>
      </c>
      <c r="D57" s="6"/>
      <c r="E57" s="6"/>
      <c r="F57" s="6"/>
      <c r="G57" s="6"/>
      <c r="H57" s="6"/>
      <c r="I57" s="6"/>
      <c r="J57" s="6">
        <f t="shared" si="0"/>
        <v>76</v>
      </c>
    </row>
    <row r="58" spans="1:10" x14ac:dyDescent="0.25">
      <c r="A58" s="6">
        <v>54</v>
      </c>
      <c r="B58" s="7" t="s">
        <v>50</v>
      </c>
      <c r="C58" s="6">
        <v>25</v>
      </c>
      <c r="D58" s="6"/>
      <c r="E58" s="6"/>
      <c r="F58" s="6"/>
      <c r="G58" s="6"/>
      <c r="H58" s="6"/>
      <c r="I58" s="6"/>
      <c r="J58" s="6">
        <f t="shared" si="0"/>
        <v>25</v>
      </c>
    </row>
    <row r="59" spans="1:10" x14ac:dyDescent="0.25">
      <c r="A59" s="6">
        <v>55</v>
      </c>
      <c r="B59" s="7" t="s">
        <v>55</v>
      </c>
      <c r="C59" s="6">
        <v>10</v>
      </c>
      <c r="D59" s="6"/>
      <c r="E59" s="6"/>
      <c r="F59" s="6"/>
      <c r="G59" s="6"/>
      <c r="H59" s="6"/>
      <c r="I59" s="6"/>
      <c r="J59" s="6">
        <f t="shared" si="0"/>
        <v>10</v>
      </c>
    </row>
    <row r="60" spans="1:10" x14ac:dyDescent="0.25">
      <c r="A60" s="6">
        <v>56</v>
      </c>
      <c r="B60" s="7" t="s">
        <v>56</v>
      </c>
      <c r="C60" s="6">
        <v>10</v>
      </c>
      <c r="D60" s="6"/>
      <c r="E60" s="6"/>
      <c r="F60" s="6"/>
      <c r="G60" s="6"/>
      <c r="H60" s="6"/>
      <c r="I60" s="6"/>
      <c r="J60" s="6">
        <f t="shared" si="0"/>
        <v>10</v>
      </c>
    </row>
    <row r="61" spans="1:10" x14ac:dyDescent="0.25">
      <c r="A61" s="6">
        <v>57</v>
      </c>
      <c r="B61" s="7" t="s">
        <v>57</v>
      </c>
      <c r="C61" s="6">
        <v>10</v>
      </c>
      <c r="D61" s="6"/>
      <c r="E61" s="6"/>
      <c r="F61" s="6"/>
      <c r="G61" s="6"/>
      <c r="H61" s="6"/>
      <c r="I61" s="6"/>
      <c r="J61" s="6">
        <f t="shared" si="0"/>
        <v>10</v>
      </c>
    </row>
    <row r="62" spans="1:10" x14ac:dyDescent="0.25">
      <c r="A62" s="6">
        <v>58</v>
      </c>
      <c r="B62" s="7" t="s">
        <v>58</v>
      </c>
      <c r="C62" s="6">
        <v>50</v>
      </c>
      <c r="D62" s="6"/>
      <c r="E62" s="6"/>
      <c r="F62" s="6"/>
      <c r="G62" s="6"/>
      <c r="H62" s="6"/>
      <c r="I62" s="6"/>
      <c r="J62" s="6">
        <f t="shared" si="0"/>
        <v>50</v>
      </c>
    </row>
    <row r="63" spans="1:10" x14ac:dyDescent="0.25">
      <c r="A63" s="6">
        <v>59</v>
      </c>
      <c r="B63" s="8" t="s">
        <v>63</v>
      </c>
      <c r="C63" s="6">
        <v>49</v>
      </c>
      <c r="D63" s="6"/>
      <c r="E63" s="6"/>
      <c r="F63" s="6"/>
      <c r="G63" s="6"/>
      <c r="H63" s="6"/>
      <c r="I63" s="6"/>
      <c r="J63" s="6">
        <f t="shared" si="0"/>
        <v>49</v>
      </c>
    </row>
    <row r="64" spans="1:10" x14ac:dyDescent="0.25">
      <c r="A64" s="6">
        <v>60</v>
      </c>
      <c r="B64" s="8" t="s">
        <v>64</v>
      </c>
      <c r="C64" s="6">
        <v>64</v>
      </c>
      <c r="D64" s="6"/>
      <c r="E64" s="6"/>
      <c r="F64" s="6"/>
      <c r="G64" s="6"/>
      <c r="H64" s="6"/>
      <c r="I64" s="6"/>
      <c r="J64" s="6">
        <f t="shared" si="0"/>
        <v>64</v>
      </c>
    </row>
    <row r="65" spans="1:10" x14ac:dyDescent="0.25">
      <c r="A65" s="6">
        <v>61</v>
      </c>
      <c r="B65" s="9" t="s">
        <v>67</v>
      </c>
      <c r="C65" s="6"/>
      <c r="D65" s="6">
        <v>200</v>
      </c>
      <c r="E65" s="6"/>
      <c r="F65" s="6"/>
      <c r="G65" s="6"/>
      <c r="H65" s="6"/>
      <c r="I65" s="6"/>
      <c r="J65" s="6">
        <f t="shared" si="0"/>
        <v>200</v>
      </c>
    </row>
    <row r="66" spans="1:10" x14ac:dyDescent="0.25">
      <c r="A66" s="6">
        <v>62</v>
      </c>
      <c r="B66" s="7" t="s">
        <v>68</v>
      </c>
      <c r="C66" s="6"/>
      <c r="D66" s="6">
        <v>20</v>
      </c>
      <c r="E66" s="6"/>
      <c r="F66" s="6"/>
      <c r="G66" s="6"/>
      <c r="H66" s="6"/>
      <c r="I66" s="6"/>
      <c r="J66" s="6">
        <f t="shared" si="0"/>
        <v>20</v>
      </c>
    </row>
  </sheetData>
  <pageMargins left="0.7" right="0.7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zoomScaleNormal="100" workbookViewId="0">
      <selection activeCell="J3" sqref="J3"/>
    </sheetView>
  </sheetViews>
  <sheetFormatPr defaultRowHeight="15" x14ac:dyDescent="0.25"/>
  <cols>
    <col min="1" max="1" width="6.5703125" customWidth="1"/>
    <col min="2" max="2" width="24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</cols>
  <sheetData>
    <row r="1" spans="1:10" x14ac:dyDescent="0.25">
      <c r="A1" s="2" t="s">
        <v>0</v>
      </c>
      <c r="B1" s="2"/>
      <c r="J1" s="1">
        <v>44837</v>
      </c>
    </row>
    <row r="2" spans="1:10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44837</v>
      </c>
      <c r="F2" s="4">
        <v>44838</v>
      </c>
      <c r="G2" s="4">
        <v>44839</v>
      </c>
      <c r="H2" s="4">
        <v>44840</v>
      </c>
      <c r="I2" s="4">
        <v>44841</v>
      </c>
      <c r="J2" s="5" t="s">
        <v>3</v>
      </c>
    </row>
    <row r="3" spans="1:10" x14ac:dyDescent="0.25">
      <c r="A3" s="6">
        <v>1</v>
      </c>
      <c r="B3" s="7" t="s">
        <v>4</v>
      </c>
      <c r="C3" s="6">
        <v>37</v>
      </c>
      <c r="D3" s="6"/>
      <c r="E3" s="6"/>
      <c r="F3" s="6"/>
      <c r="G3" s="6"/>
      <c r="H3" s="6"/>
      <c r="I3" s="6"/>
      <c r="J3" s="6">
        <f>+C3-E3-F3-G3-H3-I3+D3</f>
        <v>37</v>
      </c>
    </row>
    <row r="4" spans="1:10" x14ac:dyDescent="0.25">
      <c r="A4" s="6">
        <v>2</v>
      </c>
      <c r="B4" s="7" t="s">
        <v>5</v>
      </c>
      <c r="C4" s="6">
        <v>3</v>
      </c>
      <c r="D4" s="6"/>
      <c r="E4" s="6"/>
      <c r="F4" s="6"/>
      <c r="G4" s="6"/>
      <c r="H4" s="6"/>
      <c r="I4" s="6"/>
      <c r="J4" s="6">
        <f t="shared" ref="J4:J67" si="0">+C4-E4-F4-G4-H4-I4+D4</f>
        <v>3</v>
      </c>
    </row>
    <row r="5" spans="1:10" x14ac:dyDescent="0.25">
      <c r="A5" s="6">
        <v>3</v>
      </c>
      <c r="B5" s="7" t="s">
        <v>69</v>
      </c>
      <c r="C5" s="6">
        <v>107</v>
      </c>
      <c r="D5" s="6"/>
      <c r="E5" s="6">
        <v>5</v>
      </c>
      <c r="F5" s="6"/>
      <c r="G5" s="6"/>
      <c r="H5" s="6"/>
      <c r="I5" s="6"/>
      <c r="J5" s="6">
        <f t="shared" si="0"/>
        <v>102</v>
      </c>
    </row>
    <row r="6" spans="1:10" x14ac:dyDescent="0.25">
      <c r="A6" s="6">
        <v>4</v>
      </c>
      <c r="B6" s="7" t="s">
        <v>6</v>
      </c>
      <c r="C6" s="6">
        <v>55</v>
      </c>
      <c r="D6" s="6"/>
      <c r="E6" s="6"/>
      <c r="F6" s="6"/>
      <c r="G6" s="6"/>
      <c r="H6" s="6"/>
      <c r="I6" s="6"/>
      <c r="J6" s="6">
        <f t="shared" si="0"/>
        <v>55</v>
      </c>
    </row>
    <row r="7" spans="1:10" x14ac:dyDescent="0.25">
      <c r="A7" s="6">
        <v>5</v>
      </c>
      <c r="B7" s="7" t="s">
        <v>9</v>
      </c>
      <c r="C7" s="6">
        <v>27</v>
      </c>
      <c r="D7" s="6"/>
      <c r="E7" s="6"/>
      <c r="F7" s="6"/>
      <c r="G7" s="6"/>
      <c r="H7" s="6"/>
      <c r="I7" s="6"/>
      <c r="J7" s="6">
        <f t="shared" si="0"/>
        <v>27</v>
      </c>
    </row>
    <row r="8" spans="1:10" x14ac:dyDescent="0.25">
      <c r="A8" s="6">
        <v>6</v>
      </c>
      <c r="B8" s="7" t="s">
        <v>7</v>
      </c>
      <c r="C8" s="6">
        <v>25</v>
      </c>
      <c r="D8" s="6"/>
      <c r="E8" s="6"/>
      <c r="F8" s="6"/>
      <c r="G8" s="6"/>
      <c r="H8" s="6"/>
      <c r="I8" s="6"/>
      <c r="J8" s="6">
        <f t="shared" si="0"/>
        <v>25</v>
      </c>
    </row>
    <row r="9" spans="1:10" x14ac:dyDescent="0.25">
      <c r="A9" s="6">
        <v>6</v>
      </c>
      <c r="B9" s="7" t="s">
        <v>8</v>
      </c>
      <c r="C9" s="6">
        <v>18</v>
      </c>
      <c r="D9" s="6"/>
      <c r="E9" s="6"/>
      <c r="F9" s="6"/>
      <c r="G9" s="6"/>
      <c r="H9" s="6"/>
      <c r="I9" s="6"/>
      <c r="J9" s="6">
        <f t="shared" si="0"/>
        <v>18</v>
      </c>
    </row>
    <row r="10" spans="1:10" x14ac:dyDescent="0.25">
      <c r="A10" s="6">
        <v>7</v>
      </c>
      <c r="B10" s="7" t="s">
        <v>66</v>
      </c>
      <c r="C10" s="6">
        <v>85</v>
      </c>
      <c r="D10" s="6"/>
      <c r="E10" s="6"/>
      <c r="F10" s="6"/>
      <c r="G10" s="6">
        <v>2</v>
      </c>
      <c r="H10" s="6"/>
      <c r="I10" s="6"/>
      <c r="J10" s="6">
        <f t="shared" si="0"/>
        <v>83</v>
      </c>
    </row>
    <row r="11" spans="1:10" x14ac:dyDescent="0.25">
      <c r="A11" s="6">
        <v>8</v>
      </c>
      <c r="B11" s="7" t="s">
        <v>10</v>
      </c>
      <c r="C11" s="6">
        <v>419</v>
      </c>
      <c r="D11" s="6"/>
      <c r="E11" s="6">
        <v>50</v>
      </c>
      <c r="F11" s="6">
        <v>91</v>
      </c>
      <c r="G11" s="6"/>
      <c r="H11" s="6"/>
      <c r="I11" s="6"/>
      <c r="J11" s="6">
        <f t="shared" si="0"/>
        <v>278</v>
      </c>
    </row>
    <row r="12" spans="1:10" x14ac:dyDescent="0.25">
      <c r="A12" s="6">
        <v>9</v>
      </c>
      <c r="B12" s="7" t="s">
        <v>11</v>
      </c>
      <c r="C12" s="6">
        <v>378</v>
      </c>
      <c r="D12" s="6"/>
      <c r="E12" s="6">
        <v>90</v>
      </c>
      <c r="F12" s="6"/>
      <c r="G12" s="6"/>
      <c r="H12" s="6"/>
      <c r="I12" s="6"/>
      <c r="J12" s="6">
        <f t="shared" si="0"/>
        <v>288</v>
      </c>
    </row>
    <row r="13" spans="1:10" x14ac:dyDescent="0.25">
      <c r="A13" s="6">
        <v>10</v>
      </c>
      <c r="B13" s="7" t="s">
        <v>12</v>
      </c>
      <c r="C13" s="6">
        <v>78</v>
      </c>
      <c r="D13" s="6"/>
      <c r="E13" s="6"/>
      <c r="F13" s="6"/>
      <c r="G13" s="6"/>
      <c r="H13" s="6"/>
      <c r="I13" s="6"/>
      <c r="J13" s="6">
        <f t="shared" si="0"/>
        <v>78</v>
      </c>
    </row>
    <row r="14" spans="1:10" x14ac:dyDescent="0.25">
      <c r="A14" s="6">
        <v>11</v>
      </c>
      <c r="B14" s="7" t="s">
        <v>13</v>
      </c>
      <c r="C14" s="6">
        <v>45</v>
      </c>
      <c r="D14" s="6"/>
      <c r="E14" s="6"/>
      <c r="F14" s="6"/>
      <c r="G14" s="6"/>
      <c r="H14" s="6"/>
      <c r="I14" s="6"/>
      <c r="J14" s="6">
        <f t="shared" si="0"/>
        <v>45</v>
      </c>
    </row>
    <row r="15" spans="1:10" x14ac:dyDescent="0.25">
      <c r="A15" s="6">
        <v>12</v>
      </c>
      <c r="B15" s="7" t="s">
        <v>14</v>
      </c>
      <c r="C15" s="6">
        <v>140</v>
      </c>
      <c r="D15" s="6"/>
      <c r="E15" s="6"/>
      <c r="F15" s="6"/>
      <c r="G15" s="6"/>
      <c r="H15" s="6">
        <v>4</v>
      </c>
      <c r="I15" s="6"/>
      <c r="J15" s="6">
        <f t="shared" si="0"/>
        <v>136</v>
      </c>
    </row>
    <row r="16" spans="1:10" x14ac:dyDescent="0.25">
      <c r="A16" s="6">
        <v>13</v>
      </c>
      <c r="B16" s="7" t="s">
        <v>15</v>
      </c>
      <c r="C16" s="6">
        <v>48</v>
      </c>
      <c r="D16" s="6"/>
      <c r="E16" s="6"/>
      <c r="F16" s="6"/>
      <c r="G16" s="6"/>
      <c r="H16" s="6">
        <v>48</v>
      </c>
      <c r="I16" s="6"/>
      <c r="J16" s="6">
        <f t="shared" si="0"/>
        <v>0</v>
      </c>
    </row>
    <row r="17" spans="1:10" x14ac:dyDescent="0.25">
      <c r="A17" s="6">
        <v>14</v>
      </c>
      <c r="B17" s="7" t="s">
        <v>16</v>
      </c>
      <c r="C17" s="6">
        <v>284</v>
      </c>
      <c r="D17" s="6"/>
      <c r="E17" s="6"/>
      <c r="F17" s="6"/>
      <c r="G17" s="6">
        <v>4</v>
      </c>
      <c r="H17" s="6"/>
      <c r="I17" s="6"/>
      <c r="J17" s="6">
        <f t="shared" si="0"/>
        <v>280</v>
      </c>
    </row>
    <row r="18" spans="1:10" x14ac:dyDescent="0.25">
      <c r="A18" s="6">
        <v>15</v>
      </c>
      <c r="B18" s="7" t="s">
        <v>17</v>
      </c>
      <c r="C18" s="6">
        <v>198</v>
      </c>
      <c r="D18" s="6"/>
      <c r="E18" s="6"/>
      <c r="F18" s="6"/>
      <c r="G18" s="6">
        <v>6</v>
      </c>
      <c r="H18" s="6"/>
      <c r="I18" s="6"/>
      <c r="J18" s="6">
        <f t="shared" si="0"/>
        <v>192</v>
      </c>
    </row>
    <row r="19" spans="1:10" x14ac:dyDescent="0.25">
      <c r="A19" s="6">
        <v>16</v>
      </c>
      <c r="B19" s="7" t="s">
        <v>18</v>
      </c>
      <c r="C19" s="6">
        <v>141</v>
      </c>
      <c r="D19" s="6"/>
      <c r="E19" s="6">
        <v>11</v>
      </c>
      <c r="F19" s="6"/>
      <c r="G19" s="6"/>
      <c r="H19" s="6"/>
      <c r="I19" s="6"/>
      <c r="J19" s="6">
        <f t="shared" si="0"/>
        <v>130</v>
      </c>
    </row>
    <row r="20" spans="1:10" x14ac:dyDescent="0.25">
      <c r="A20" s="6">
        <v>17</v>
      </c>
      <c r="B20" s="7" t="s">
        <v>19</v>
      </c>
      <c r="C20" s="6">
        <v>8</v>
      </c>
      <c r="D20" s="6"/>
      <c r="E20" s="6"/>
      <c r="F20" s="6"/>
      <c r="G20" s="6"/>
      <c r="H20" s="6"/>
      <c r="I20" s="6"/>
      <c r="J20" s="6">
        <f t="shared" si="0"/>
        <v>8</v>
      </c>
    </row>
    <row r="21" spans="1:10" x14ac:dyDescent="0.25">
      <c r="A21" s="6">
        <v>18</v>
      </c>
      <c r="B21" s="7" t="s">
        <v>20</v>
      </c>
      <c r="C21" s="6">
        <v>14</v>
      </c>
      <c r="D21" s="6"/>
      <c r="E21" s="6"/>
      <c r="F21" s="6"/>
      <c r="G21" s="6"/>
      <c r="H21" s="6">
        <v>2</v>
      </c>
      <c r="I21" s="6"/>
      <c r="J21" s="6">
        <f t="shared" si="0"/>
        <v>12</v>
      </c>
    </row>
    <row r="22" spans="1:10" x14ac:dyDescent="0.25">
      <c r="A22" s="6">
        <v>19</v>
      </c>
      <c r="B22" s="7" t="s">
        <v>70</v>
      </c>
      <c r="C22" s="6">
        <v>17</v>
      </c>
      <c r="D22" s="6"/>
      <c r="E22" s="6"/>
      <c r="F22" s="6"/>
      <c r="G22" s="6"/>
      <c r="H22" s="6">
        <v>2</v>
      </c>
      <c r="I22" s="6"/>
      <c r="J22" s="6">
        <f t="shared" si="0"/>
        <v>15</v>
      </c>
    </row>
    <row r="23" spans="1:10" x14ac:dyDescent="0.25">
      <c r="A23" s="6">
        <v>20</v>
      </c>
      <c r="B23" s="7" t="s">
        <v>54</v>
      </c>
      <c r="C23" s="6">
        <v>118</v>
      </c>
      <c r="D23" s="6"/>
      <c r="E23" s="6"/>
      <c r="F23" s="6"/>
      <c r="G23" s="6"/>
      <c r="H23" s="6"/>
      <c r="I23" s="6"/>
      <c r="J23" s="6">
        <f t="shared" si="0"/>
        <v>118</v>
      </c>
    </row>
    <row r="24" spans="1:10" x14ac:dyDescent="0.25">
      <c r="A24" s="6">
        <v>21</v>
      </c>
      <c r="B24" s="7" t="s">
        <v>59</v>
      </c>
      <c r="C24" s="6">
        <v>38</v>
      </c>
      <c r="D24" s="6"/>
      <c r="E24" s="6"/>
      <c r="F24" s="6"/>
      <c r="G24" s="6"/>
      <c r="H24" s="6"/>
      <c r="I24" s="6"/>
      <c r="J24" s="6">
        <f t="shared" si="0"/>
        <v>38</v>
      </c>
    </row>
    <row r="25" spans="1:10" x14ac:dyDescent="0.25">
      <c r="A25" s="6">
        <v>22</v>
      </c>
      <c r="B25" s="7" t="s">
        <v>21</v>
      </c>
      <c r="C25" s="6">
        <v>7</v>
      </c>
      <c r="D25" s="6"/>
      <c r="E25" s="6"/>
      <c r="F25" s="6"/>
      <c r="G25" s="6"/>
      <c r="H25" s="6"/>
      <c r="I25" s="6"/>
      <c r="J25" s="6">
        <f t="shared" si="0"/>
        <v>7</v>
      </c>
    </row>
    <row r="26" spans="1:10" x14ac:dyDescent="0.25">
      <c r="A26" s="6">
        <v>23</v>
      </c>
      <c r="B26" s="7" t="s">
        <v>22</v>
      </c>
      <c r="C26" s="6">
        <v>42</v>
      </c>
      <c r="D26" s="6"/>
      <c r="E26" s="6"/>
      <c r="F26" s="6"/>
      <c r="G26" s="6"/>
      <c r="H26" s="6"/>
      <c r="I26" s="6"/>
      <c r="J26" s="6">
        <f t="shared" si="0"/>
        <v>42</v>
      </c>
    </row>
    <row r="27" spans="1:10" x14ac:dyDescent="0.25">
      <c r="A27" s="6">
        <v>24</v>
      </c>
      <c r="B27" s="7" t="s">
        <v>53</v>
      </c>
      <c r="C27" s="6">
        <v>483</v>
      </c>
      <c r="D27" s="6"/>
      <c r="E27" s="6"/>
      <c r="F27" s="6"/>
      <c r="G27" s="6"/>
      <c r="H27" s="6"/>
      <c r="I27" s="6"/>
      <c r="J27" s="6">
        <f t="shared" si="0"/>
        <v>483</v>
      </c>
    </row>
    <row r="28" spans="1:10" x14ac:dyDescent="0.25">
      <c r="A28" s="6">
        <v>25</v>
      </c>
      <c r="B28" s="7" t="s">
        <v>23</v>
      </c>
      <c r="C28" s="6">
        <v>62</v>
      </c>
      <c r="D28" s="6"/>
      <c r="E28" s="6"/>
      <c r="F28" s="6"/>
      <c r="G28" s="6"/>
      <c r="H28" s="6"/>
      <c r="I28" s="6"/>
      <c r="J28" s="6">
        <f t="shared" si="0"/>
        <v>62</v>
      </c>
    </row>
    <row r="29" spans="1:10" x14ac:dyDescent="0.25">
      <c r="A29" s="6">
        <v>26</v>
      </c>
      <c r="B29" s="7" t="s">
        <v>24</v>
      </c>
      <c r="C29" s="6">
        <v>13</v>
      </c>
      <c r="D29" s="6"/>
      <c r="E29" s="6"/>
      <c r="F29" s="6"/>
      <c r="G29" s="6"/>
      <c r="H29" s="6"/>
      <c r="I29" s="6"/>
      <c r="J29" s="6">
        <f t="shared" si="0"/>
        <v>13</v>
      </c>
    </row>
    <row r="30" spans="1:10" x14ac:dyDescent="0.25">
      <c r="A30" s="6">
        <v>27</v>
      </c>
      <c r="B30" s="7" t="s">
        <v>48</v>
      </c>
      <c r="C30" s="6">
        <v>60</v>
      </c>
      <c r="D30" s="6"/>
      <c r="E30" s="6"/>
      <c r="F30" s="6"/>
      <c r="G30" s="6"/>
      <c r="H30" s="6"/>
      <c r="I30" s="6"/>
      <c r="J30" s="6">
        <f t="shared" si="0"/>
        <v>60</v>
      </c>
    </row>
    <row r="31" spans="1:10" x14ac:dyDescent="0.25">
      <c r="A31" s="6">
        <v>28</v>
      </c>
      <c r="B31" s="7" t="s">
        <v>49</v>
      </c>
      <c r="C31" s="6">
        <v>78</v>
      </c>
      <c r="D31" s="6"/>
      <c r="E31" s="6"/>
      <c r="F31" s="6"/>
      <c r="G31" s="6"/>
      <c r="H31" s="6"/>
      <c r="I31" s="6"/>
      <c r="J31" s="6">
        <f t="shared" si="0"/>
        <v>78</v>
      </c>
    </row>
    <row r="32" spans="1:10" x14ac:dyDescent="0.25">
      <c r="A32" s="6">
        <v>29</v>
      </c>
      <c r="B32" s="7" t="s">
        <v>61</v>
      </c>
      <c r="C32" s="6">
        <v>293</v>
      </c>
      <c r="D32" s="6"/>
      <c r="E32" s="6"/>
      <c r="F32" s="6"/>
      <c r="G32" s="6"/>
      <c r="H32" s="6"/>
      <c r="I32" s="6"/>
      <c r="J32" s="6">
        <f t="shared" si="0"/>
        <v>293</v>
      </c>
    </row>
    <row r="33" spans="1:10" x14ac:dyDescent="0.25">
      <c r="A33" s="6">
        <v>30</v>
      </c>
      <c r="B33" s="7" t="s">
        <v>25</v>
      </c>
      <c r="C33" s="6">
        <v>280</v>
      </c>
      <c r="D33" s="6"/>
      <c r="E33" s="6"/>
      <c r="F33" s="6"/>
      <c r="G33" s="6">
        <v>40</v>
      </c>
      <c r="H33" s="6"/>
      <c r="I33" s="6"/>
      <c r="J33" s="6">
        <f t="shared" si="0"/>
        <v>240</v>
      </c>
    </row>
    <row r="34" spans="1:10" x14ac:dyDescent="0.25">
      <c r="A34" s="6">
        <v>31</v>
      </c>
      <c r="B34" s="7" t="s">
        <v>26</v>
      </c>
      <c r="C34" s="6">
        <v>17</v>
      </c>
      <c r="D34" s="6"/>
      <c r="E34" s="6"/>
      <c r="F34" s="6"/>
      <c r="G34" s="6"/>
      <c r="H34" s="6"/>
      <c r="I34" s="6"/>
      <c r="J34" s="6">
        <f t="shared" si="0"/>
        <v>17</v>
      </c>
    </row>
    <row r="35" spans="1:10" x14ac:dyDescent="0.25">
      <c r="A35" s="6">
        <v>32</v>
      </c>
      <c r="B35" s="7" t="s">
        <v>27</v>
      </c>
      <c r="C35" s="6">
        <v>45</v>
      </c>
      <c r="D35" s="6"/>
      <c r="E35" s="6"/>
      <c r="F35" s="6"/>
      <c r="G35" s="6"/>
      <c r="H35" s="6"/>
      <c r="I35" s="6"/>
      <c r="J35" s="6">
        <f t="shared" si="0"/>
        <v>45</v>
      </c>
    </row>
    <row r="36" spans="1:10" x14ac:dyDescent="0.25">
      <c r="A36" s="6">
        <v>33</v>
      </c>
      <c r="B36" s="7" t="s">
        <v>28</v>
      </c>
      <c r="C36" s="6">
        <v>166</v>
      </c>
      <c r="D36" s="6"/>
      <c r="E36" s="6"/>
      <c r="F36" s="6"/>
      <c r="G36" s="6"/>
      <c r="H36" s="6"/>
      <c r="I36" s="6"/>
      <c r="J36" s="6">
        <f t="shared" si="0"/>
        <v>166</v>
      </c>
    </row>
    <row r="37" spans="1:10" x14ac:dyDescent="0.25">
      <c r="A37" s="6">
        <v>34</v>
      </c>
      <c r="B37" s="7" t="s">
        <v>29</v>
      </c>
      <c r="C37" s="6">
        <v>538</v>
      </c>
      <c r="D37" s="6"/>
      <c r="E37" s="6"/>
      <c r="F37" s="6"/>
      <c r="G37" s="6"/>
      <c r="H37" s="6"/>
      <c r="I37" s="6"/>
      <c r="J37" s="6">
        <f t="shared" si="0"/>
        <v>538</v>
      </c>
    </row>
    <row r="38" spans="1:10" x14ac:dyDescent="0.25">
      <c r="A38" s="6">
        <v>35</v>
      </c>
      <c r="B38" s="7" t="s">
        <v>30</v>
      </c>
      <c r="C38" s="6">
        <v>66</v>
      </c>
      <c r="D38" s="6"/>
      <c r="E38" s="6"/>
      <c r="F38" s="6"/>
      <c r="G38" s="6"/>
      <c r="H38" s="6"/>
      <c r="I38" s="6"/>
      <c r="J38" s="6">
        <f t="shared" si="0"/>
        <v>66</v>
      </c>
    </row>
    <row r="39" spans="1:10" x14ac:dyDescent="0.25">
      <c r="A39" s="6">
        <v>36</v>
      </c>
      <c r="B39" s="7" t="s">
        <v>65</v>
      </c>
      <c r="C39" s="6">
        <v>36</v>
      </c>
      <c r="D39" s="6"/>
      <c r="E39" s="6"/>
      <c r="F39" s="6"/>
      <c r="G39" s="6"/>
      <c r="H39" s="6"/>
      <c r="I39" s="6"/>
      <c r="J39" s="6">
        <f t="shared" si="0"/>
        <v>36</v>
      </c>
    </row>
    <row r="40" spans="1:10" x14ac:dyDescent="0.25">
      <c r="A40" s="6">
        <v>37</v>
      </c>
      <c r="B40" s="7" t="s">
        <v>31</v>
      </c>
      <c r="C40" s="6">
        <v>24</v>
      </c>
      <c r="D40" s="6"/>
      <c r="E40" s="6"/>
      <c r="F40" s="6"/>
      <c r="G40" s="6"/>
      <c r="H40" s="6"/>
      <c r="I40" s="6"/>
      <c r="J40" s="6">
        <f t="shared" si="0"/>
        <v>24</v>
      </c>
    </row>
    <row r="41" spans="1:10" x14ac:dyDescent="0.25">
      <c r="A41" s="6">
        <v>38</v>
      </c>
      <c r="B41" s="7" t="s">
        <v>32</v>
      </c>
      <c r="C41" s="6">
        <v>10</v>
      </c>
      <c r="D41" s="6"/>
      <c r="E41" s="6"/>
      <c r="F41" s="6"/>
      <c r="G41" s="6"/>
      <c r="H41" s="6"/>
      <c r="I41" s="6"/>
      <c r="J41" s="6">
        <f t="shared" si="0"/>
        <v>10</v>
      </c>
    </row>
    <row r="42" spans="1:10" x14ac:dyDescent="0.25">
      <c r="A42" s="6">
        <v>39</v>
      </c>
      <c r="B42" s="7" t="s">
        <v>33</v>
      </c>
      <c r="C42" s="6">
        <v>14</v>
      </c>
      <c r="D42" s="6"/>
      <c r="E42" s="6"/>
      <c r="F42" s="6"/>
      <c r="G42" s="6"/>
      <c r="H42" s="6"/>
      <c r="I42" s="6"/>
      <c r="J42" s="6">
        <f t="shared" si="0"/>
        <v>14</v>
      </c>
    </row>
    <row r="43" spans="1:10" x14ac:dyDescent="0.25">
      <c r="A43" s="6">
        <v>40</v>
      </c>
      <c r="B43" s="7" t="s">
        <v>34</v>
      </c>
      <c r="C43" s="6">
        <v>21</v>
      </c>
      <c r="D43" s="6"/>
      <c r="E43" s="6">
        <v>21</v>
      </c>
      <c r="F43" s="6"/>
      <c r="G43" s="6">
        <v>0</v>
      </c>
      <c r="H43" s="6"/>
      <c r="I43" s="6"/>
      <c r="J43" s="6">
        <f t="shared" si="0"/>
        <v>0</v>
      </c>
    </row>
    <row r="44" spans="1:10" x14ac:dyDescent="0.25">
      <c r="A44" s="6">
        <v>41</v>
      </c>
      <c r="B44" s="7" t="s">
        <v>35</v>
      </c>
      <c r="C44" s="6">
        <v>59</v>
      </c>
      <c r="D44" s="6"/>
      <c r="E44" s="6"/>
      <c r="F44" s="6">
        <v>25</v>
      </c>
      <c r="G44" s="6">
        <v>1</v>
      </c>
      <c r="H44" s="6"/>
      <c r="I44" s="6">
        <v>1</v>
      </c>
      <c r="J44" s="6">
        <f t="shared" si="0"/>
        <v>32</v>
      </c>
    </row>
    <row r="45" spans="1:10" x14ac:dyDescent="0.25">
      <c r="A45" s="6">
        <v>42</v>
      </c>
      <c r="B45" s="7" t="s">
        <v>44</v>
      </c>
      <c r="C45" s="6">
        <v>317</v>
      </c>
      <c r="D45" s="6"/>
      <c r="E45" s="6"/>
      <c r="F45" s="6"/>
      <c r="G45" s="6"/>
      <c r="H45" s="6"/>
      <c r="I45" s="6"/>
      <c r="J45" s="6">
        <f t="shared" si="0"/>
        <v>317</v>
      </c>
    </row>
    <row r="46" spans="1:10" x14ac:dyDescent="0.25">
      <c r="A46" s="6">
        <v>43</v>
      </c>
      <c r="B46" s="7" t="s">
        <v>60</v>
      </c>
      <c r="C46" s="6">
        <v>42</v>
      </c>
      <c r="D46" s="6"/>
      <c r="E46" s="6"/>
      <c r="F46" s="6"/>
      <c r="G46" s="6"/>
      <c r="H46" s="6"/>
      <c r="I46" s="6"/>
      <c r="J46" s="6">
        <f t="shared" si="0"/>
        <v>42</v>
      </c>
    </row>
    <row r="47" spans="1:10" x14ac:dyDescent="0.25">
      <c r="A47" s="6">
        <v>44</v>
      </c>
      <c r="B47" s="7" t="s">
        <v>36</v>
      </c>
      <c r="C47" s="6">
        <v>26</v>
      </c>
      <c r="D47" s="6"/>
      <c r="E47" s="6"/>
      <c r="F47" s="6"/>
      <c r="G47" s="6"/>
      <c r="H47" s="6"/>
      <c r="I47" s="6"/>
      <c r="J47" s="6">
        <f t="shared" si="0"/>
        <v>26</v>
      </c>
    </row>
    <row r="48" spans="1:10" x14ac:dyDescent="0.25">
      <c r="A48" s="6">
        <v>45</v>
      </c>
      <c r="B48" s="7" t="s">
        <v>37</v>
      </c>
      <c r="C48" s="6">
        <v>69</v>
      </c>
      <c r="D48" s="6"/>
      <c r="E48" s="6"/>
      <c r="F48" s="6"/>
      <c r="G48" s="6"/>
      <c r="H48" s="6"/>
      <c r="I48" s="6"/>
      <c r="J48" s="6">
        <f t="shared" si="0"/>
        <v>69</v>
      </c>
    </row>
    <row r="49" spans="1:10" x14ac:dyDescent="0.25">
      <c r="A49" s="6">
        <v>46</v>
      </c>
      <c r="B49" s="7" t="s">
        <v>38</v>
      </c>
      <c r="C49" s="6">
        <v>29</v>
      </c>
      <c r="D49" s="6"/>
      <c r="E49" s="6"/>
      <c r="F49" s="6"/>
      <c r="G49" s="6"/>
      <c r="H49" s="6"/>
      <c r="I49" s="6"/>
      <c r="J49" s="6">
        <f t="shared" si="0"/>
        <v>29</v>
      </c>
    </row>
    <row r="50" spans="1:10" x14ac:dyDescent="0.25">
      <c r="A50" s="6">
        <v>47</v>
      </c>
      <c r="B50" s="7" t="s">
        <v>62</v>
      </c>
      <c r="C50" s="6">
        <v>38</v>
      </c>
      <c r="D50" s="6"/>
      <c r="E50" s="6"/>
      <c r="F50" s="6"/>
      <c r="G50" s="6"/>
      <c r="H50" s="6"/>
      <c r="I50" s="6"/>
      <c r="J50" s="6">
        <f t="shared" si="0"/>
        <v>38</v>
      </c>
    </row>
    <row r="51" spans="1:10" x14ac:dyDescent="0.25">
      <c r="A51" s="6">
        <v>48</v>
      </c>
      <c r="B51" s="7" t="s">
        <v>39</v>
      </c>
      <c r="C51" s="6">
        <v>63</v>
      </c>
      <c r="D51" s="6"/>
      <c r="E51" s="6"/>
      <c r="F51" s="6"/>
      <c r="G51" s="6"/>
      <c r="H51" s="6"/>
      <c r="I51" s="6"/>
      <c r="J51" s="6">
        <f t="shared" si="0"/>
        <v>63</v>
      </c>
    </row>
    <row r="52" spans="1:10" x14ac:dyDescent="0.25">
      <c r="A52" s="6">
        <v>49</v>
      </c>
      <c r="B52" s="7" t="s">
        <v>40</v>
      </c>
      <c r="C52" s="6">
        <v>245</v>
      </c>
      <c r="D52" s="6"/>
      <c r="E52" s="6"/>
      <c r="F52" s="6"/>
      <c r="G52" s="6"/>
      <c r="H52" s="6">
        <v>3</v>
      </c>
      <c r="I52" s="6"/>
      <c r="J52" s="6">
        <f t="shared" si="0"/>
        <v>242</v>
      </c>
    </row>
    <row r="53" spans="1:10" x14ac:dyDescent="0.25">
      <c r="A53" s="6">
        <v>50</v>
      </c>
      <c r="B53" s="7" t="s">
        <v>41</v>
      </c>
      <c r="C53" s="6">
        <v>79</v>
      </c>
      <c r="D53" s="6"/>
      <c r="E53" s="6"/>
      <c r="F53" s="6"/>
      <c r="G53" s="6"/>
      <c r="H53" s="6"/>
      <c r="I53" s="6"/>
      <c r="J53" s="6">
        <f t="shared" si="0"/>
        <v>79</v>
      </c>
    </row>
    <row r="54" spans="1:10" x14ac:dyDescent="0.25">
      <c r="A54" s="6">
        <v>51</v>
      </c>
      <c r="B54" s="7" t="s">
        <v>43</v>
      </c>
      <c r="C54" s="6">
        <v>28</v>
      </c>
      <c r="D54" s="6"/>
      <c r="E54" s="6"/>
      <c r="F54" s="6"/>
      <c r="G54" s="6"/>
      <c r="H54" s="6"/>
      <c r="I54" s="6"/>
      <c r="J54" s="6">
        <f t="shared" si="0"/>
        <v>28</v>
      </c>
    </row>
    <row r="55" spans="1:10" x14ac:dyDescent="0.25">
      <c r="A55" s="6">
        <v>52</v>
      </c>
      <c r="B55" s="7" t="s">
        <v>42</v>
      </c>
      <c r="C55" s="6">
        <v>43</v>
      </c>
      <c r="D55" s="6"/>
      <c r="E55" s="6"/>
      <c r="F55" s="6"/>
      <c r="G55" s="6"/>
      <c r="H55" s="6"/>
      <c r="I55" s="6"/>
      <c r="J55" s="6">
        <f t="shared" si="0"/>
        <v>43</v>
      </c>
    </row>
    <row r="56" spans="1:10" x14ac:dyDescent="0.25">
      <c r="A56" s="6">
        <v>53</v>
      </c>
      <c r="B56" s="7" t="s">
        <v>45</v>
      </c>
      <c r="C56" s="6">
        <v>99</v>
      </c>
      <c r="D56" s="6"/>
      <c r="E56" s="6"/>
      <c r="F56" s="6"/>
      <c r="G56" s="6"/>
      <c r="H56" s="6"/>
      <c r="I56" s="6"/>
      <c r="J56" s="6">
        <f t="shared" si="0"/>
        <v>99</v>
      </c>
    </row>
    <row r="57" spans="1:10" x14ac:dyDescent="0.25">
      <c r="A57" s="6">
        <v>54</v>
      </c>
      <c r="B57" s="7" t="s">
        <v>46</v>
      </c>
      <c r="C57" s="6">
        <v>230</v>
      </c>
      <c r="D57" s="6"/>
      <c r="E57" s="6"/>
      <c r="F57" s="6"/>
      <c r="G57" s="6"/>
      <c r="H57" s="6"/>
      <c r="I57" s="6"/>
      <c r="J57" s="6">
        <f t="shared" si="0"/>
        <v>230</v>
      </c>
    </row>
    <row r="58" spans="1:10" x14ac:dyDescent="0.25">
      <c r="A58" s="6">
        <v>55</v>
      </c>
      <c r="B58" s="7" t="s">
        <v>47</v>
      </c>
      <c r="C58" s="6">
        <v>76</v>
      </c>
      <c r="D58" s="6"/>
      <c r="E58" s="6"/>
      <c r="F58" s="6"/>
      <c r="G58" s="6"/>
      <c r="H58" s="6"/>
      <c r="I58" s="6"/>
      <c r="J58" s="6">
        <f t="shared" si="0"/>
        <v>76</v>
      </c>
    </row>
    <row r="59" spans="1:10" x14ac:dyDescent="0.25">
      <c r="A59" s="6">
        <v>56</v>
      </c>
      <c r="B59" s="7" t="s">
        <v>50</v>
      </c>
      <c r="C59" s="6">
        <v>25</v>
      </c>
      <c r="D59" s="6"/>
      <c r="E59" s="6"/>
      <c r="F59" s="6"/>
      <c r="G59" s="6"/>
      <c r="H59" s="6"/>
      <c r="I59" s="6"/>
      <c r="J59" s="6">
        <f t="shared" si="0"/>
        <v>25</v>
      </c>
    </row>
    <row r="60" spans="1:10" x14ac:dyDescent="0.25">
      <c r="A60" s="6">
        <v>57</v>
      </c>
      <c r="B60" s="7" t="s">
        <v>55</v>
      </c>
      <c r="C60" s="6">
        <v>10</v>
      </c>
      <c r="D60" s="6"/>
      <c r="E60" s="6"/>
      <c r="F60" s="6"/>
      <c r="G60" s="6"/>
      <c r="H60" s="6"/>
      <c r="I60" s="6"/>
      <c r="J60" s="6">
        <f t="shared" si="0"/>
        <v>10</v>
      </c>
    </row>
    <row r="61" spans="1:10" x14ac:dyDescent="0.25">
      <c r="A61" s="6">
        <v>58</v>
      </c>
      <c r="B61" s="7" t="s">
        <v>56</v>
      </c>
      <c r="C61" s="6">
        <v>10</v>
      </c>
      <c r="D61" s="6"/>
      <c r="E61" s="6"/>
      <c r="F61" s="6"/>
      <c r="G61" s="6"/>
      <c r="H61" s="6"/>
      <c r="I61" s="6"/>
      <c r="J61" s="6">
        <f t="shared" si="0"/>
        <v>10</v>
      </c>
    </row>
    <row r="62" spans="1:10" x14ac:dyDescent="0.25">
      <c r="A62" s="6">
        <v>59</v>
      </c>
      <c r="B62" s="7" t="s">
        <v>57</v>
      </c>
      <c r="C62" s="6">
        <v>10</v>
      </c>
      <c r="D62" s="6"/>
      <c r="E62" s="6"/>
      <c r="F62" s="6"/>
      <c r="G62" s="6"/>
      <c r="H62" s="6"/>
      <c r="I62" s="6"/>
      <c r="J62" s="6">
        <f t="shared" si="0"/>
        <v>10</v>
      </c>
    </row>
    <row r="63" spans="1:10" x14ac:dyDescent="0.25">
      <c r="A63" s="6">
        <v>60</v>
      </c>
      <c r="B63" s="7" t="s">
        <v>58</v>
      </c>
      <c r="C63" s="6">
        <v>50</v>
      </c>
      <c r="D63" s="6"/>
      <c r="E63" s="6"/>
      <c r="F63" s="6"/>
      <c r="G63" s="6"/>
      <c r="H63" s="6"/>
      <c r="I63" s="6"/>
      <c r="J63" s="6">
        <f t="shared" si="0"/>
        <v>50</v>
      </c>
    </row>
    <row r="64" spans="1:10" x14ac:dyDescent="0.25">
      <c r="A64" s="6">
        <v>61</v>
      </c>
      <c r="B64" s="8" t="s">
        <v>63</v>
      </c>
      <c r="C64" s="6">
        <v>49</v>
      </c>
      <c r="D64" s="6"/>
      <c r="E64" s="6"/>
      <c r="F64" s="6"/>
      <c r="G64" s="6"/>
      <c r="H64" s="6"/>
      <c r="I64" s="6"/>
      <c r="J64" s="6">
        <f t="shared" si="0"/>
        <v>49</v>
      </c>
    </row>
    <row r="65" spans="1:10" x14ac:dyDescent="0.25">
      <c r="A65" s="6">
        <v>62</v>
      </c>
      <c r="B65" s="8" t="s">
        <v>64</v>
      </c>
      <c r="C65" s="6">
        <v>64</v>
      </c>
      <c r="D65" s="6"/>
      <c r="E65" s="6"/>
      <c r="F65" s="6"/>
      <c r="G65" s="6"/>
      <c r="H65" s="6"/>
      <c r="I65" s="6"/>
      <c r="J65" s="6">
        <f t="shared" si="0"/>
        <v>64</v>
      </c>
    </row>
    <row r="66" spans="1:10" x14ac:dyDescent="0.25">
      <c r="A66" s="6">
        <v>63</v>
      </c>
      <c r="B66" s="9" t="s">
        <v>67</v>
      </c>
      <c r="C66" s="6">
        <v>200</v>
      </c>
      <c r="D66" s="6"/>
      <c r="E66" s="6"/>
      <c r="F66" s="6"/>
      <c r="G66" s="6"/>
      <c r="H66" s="6"/>
      <c r="I66" s="6"/>
      <c r="J66" s="6">
        <f t="shared" si="0"/>
        <v>200</v>
      </c>
    </row>
    <row r="67" spans="1:10" x14ac:dyDescent="0.25">
      <c r="A67" s="6">
        <v>64</v>
      </c>
      <c r="B67" s="7" t="s">
        <v>68</v>
      </c>
      <c r="C67" s="6">
        <v>20</v>
      </c>
      <c r="D67" s="6"/>
      <c r="E67" s="6"/>
      <c r="F67" s="6"/>
      <c r="G67" s="6"/>
      <c r="H67" s="6"/>
      <c r="I67" s="6"/>
      <c r="J67" s="6">
        <f t="shared" si="0"/>
        <v>20</v>
      </c>
    </row>
  </sheetData>
  <pageMargins left="0.7" right="0.7" top="0.75" bottom="0.75" header="0.3" footer="0.3"/>
  <pageSetup paperSize="9"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9"/>
  <sheetViews>
    <sheetView topLeftCell="A50" zoomScaleNormal="100" workbookViewId="0">
      <selection activeCell="J38" sqref="J38:J69"/>
    </sheetView>
  </sheetViews>
  <sheetFormatPr defaultRowHeight="15" x14ac:dyDescent="0.25"/>
  <cols>
    <col min="1" max="1" width="6.5703125" customWidth="1"/>
    <col min="2" max="2" width="24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</cols>
  <sheetData>
    <row r="1" spans="1:10" x14ac:dyDescent="0.25">
      <c r="A1" s="2" t="s">
        <v>0</v>
      </c>
      <c r="B1" s="2"/>
      <c r="J1" s="1">
        <v>44837</v>
      </c>
    </row>
    <row r="2" spans="1:10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44844</v>
      </c>
      <c r="F2" s="4">
        <v>44845</v>
      </c>
      <c r="G2" s="4">
        <v>44846</v>
      </c>
      <c r="H2" s="4">
        <v>44847</v>
      </c>
      <c r="I2" s="4">
        <v>44848</v>
      </c>
      <c r="J2" s="5" t="s">
        <v>3</v>
      </c>
    </row>
    <row r="3" spans="1:10" x14ac:dyDescent="0.25">
      <c r="A3" s="6">
        <v>1</v>
      </c>
      <c r="B3" s="7" t="s">
        <v>4</v>
      </c>
      <c r="C3" s="6">
        <f>'ekim 1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</row>
    <row r="4" spans="1:10" x14ac:dyDescent="0.25">
      <c r="A4" s="6">
        <v>2</v>
      </c>
      <c r="B4" s="7" t="s">
        <v>5</v>
      </c>
      <c r="C4" s="6">
        <f>'ekim 1 hafta '!J4</f>
        <v>3</v>
      </c>
      <c r="D4" s="6"/>
      <c r="E4" s="6"/>
      <c r="F4" s="6"/>
      <c r="G4" s="6"/>
      <c r="H4" s="6"/>
      <c r="I4" s="6"/>
      <c r="J4" s="6">
        <f t="shared" ref="J4:J67" si="0">+C4-E4-F4-G4-H4-I4+D4</f>
        <v>3</v>
      </c>
    </row>
    <row r="5" spans="1:10" x14ac:dyDescent="0.25">
      <c r="A5" s="6">
        <v>3</v>
      </c>
      <c r="B5" s="7" t="s">
        <v>69</v>
      </c>
      <c r="C5" s="6">
        <f>'ekim 1 hafta '!J5</f>
        <v>102</v>
      </c>
      <c r="D5" s="6"/>
      <c r="E5" s="6"/>
      <c r="F5" s="6">
        <v>5</v>
      </c>
      <c r="G5" s="6"/>
      <c r="H5" s="6"/>
      <c r="I5" s="6"/>
      <c r="J5" s="6">
        <f t="shared" si="0"/>
        <v>97</v>
      </c>
    </row>
    <row r="6" spans="1:10" x14ac:dyDescent="0.25">
      <c r="A6" s="6">
        <v>4</v>
      </c>
      <c r="B6" s="7" t="s">
        <v>6</v>
      </c>
      <c r="C6" s="6">
        <f>'ekim 1 hafta '!J6</f>
        <v>55</v>
      </c>
      <c r="D6" s="6"/>
      <c r="E6" s="6"/>
      <c r="F6" s="6"/>
      <c r="G6" s="6"/>
      <c r="H6" s="6"/>
      <c r="I6" s="6"/>
      <c r="J6" s="6">
        <f t="shared" si="0"/>
        <v>55</v>
      </c>
    </row>
    <row r="7" spans="1:10" x14ac:dyDescent="0.25">
      <c r="A7" s="6">
        <v>5</v>
      </c>
      <c r="B7" s="7" t="s">
        <v>9</v>
      </c>
      <c r="C7" s="6">
        <f>'ekim 1 hafta '!J7</f>
        <v>27</v>
      </c>
      <c r="D7" s="6"/>
      <c r="E7" s="6"/>
      <c r="F7" s="6"/>
      <c r="G7" s="6">
        <v>1</v>
      </c>
      <c r="H7" s="6"/>
      <c r="I7" s="6"/>
      <c r="J7" s="6">
        <f t="shared" si="0"/>
        <v>26</v>
      </c>
    </row>
    <row r="8" spans="1:10" x14ac:dyDescent="0.25">
      <c r="A8" s="6">
        <v>6</v>
      </c>
      <c r="B8" s="7" t="s">
        <v>7</v>
      </c>
      <c r="C8" s="6">
        <f>'ekim 1 hafta '!J8</f>
        <v>25</v>
      </c>
      <c r="D8" s="6"/>
      <c r="E8" s="6"/>
      <c r="F8" s="6"/>
      <c r="G8" s="6"/>
      <c r="H8" s="6"/>
      <c r="I8" s="6"/>
      <c r="J8" s="6">
        <f t="shared" si="0"/>
        <v>25</v>
      </c>
    </row>
    <row r="9" spans="1:10" x14ac:dyDescent="0.25">
      <c r="A9" s="6">
        <v>6</v>
      </c>
      <c r="B9" s="7" t="s">
        <v>8</v>
      </c>
      <c r="C9" s="6">
        <f>'ekim 1 hafta '!J9</f>
        <v>18</v>
      </c>
      <c r="D9" s="6"/>
      <c r="E9" s="6"/>
      <c r="F9" s="6"/>
      <c r="G9" s="6"/>
      <c r="H9" s="6"/>
      <c r="I9" s="6"/>
      <c r="J9" s="6">
        <f t="shared" si="0"/>
        <v>18</v>
      </c>
    </row>
    <row r="10" spans="1:10" x14ac:dyDescent="0.25">
      <c r="A10" s="6">
        <v>7</v>
      </c>
      <c r="B10" s="7" t="s">
        <v>66</v>
      </c>
      <c r="C10" s="6">
        <f>'ekim 1 hafta '!J10</f>
        <v>83</v>
      </c>
      <c r="D10" s="6"/>
      <c r="E10" s="6"/>
      <c r="F10" s="6"/>
      <c r="G10" s="6"/>
      <c r="H10" s="6"/>
      <c r="I10" s="6"/>
      <c r="J10" s="6">
        <f t="shared" si="0"/>
        <v>83</v>
      </c>
    </row>
    <row r="11" spans="1:10" x14ac:dyDescent="0.25">
      <c r="A11" s="6">
        <v>8</v>
      </c>
      <c r="B11" s="7" t="s">
        <v>10</v>
      </c>
      <c r="C11" s="6">
        <f>'ekim 1 hafta '!J11</f>
        <v>278</v>
      </c>
      <c r="D11" s="6">
        <v>34</v>
      </c>
      <c r="E11" s="6"/>
      <c r="F11" s="6">
        <v>30</v>
      </c>
      <c r="G11" s="6"/>
      <c r="H11" s="6"/>
      <c r="I11" s="6"/>
      <c r="J11" s="6">
        <f t="shared" si="0"/>
        <v>282</v>
      </c>
    </row>
    <row r="12" spans="1:10" x14ac:dyDescent="0.25">
      <c r="A12" s="6">
        <v>9</v>
      </c>
      <c r="B12" s="7" t="s">
        <v>11</v>
      </c>
      <c r="C12" s="6">
        <f>'ekim 1 hafta '!J12</f>
        <v>288</v>
      </c>
      <c r="D12" s="6">
        <v>428</v>
      </c>
      <c r="E12" s="6"/>
      <c r="F12" s="6"/>
      <c r="G12" s="6"/>
      <c r="H12" s="6"/>
      <c r="I12" s="6"/>
      <c r="J12" s="6">
        <f t="shared" si="0"/>
        <v>716</v>
      </c>
    </row>
    <row r="13" spans="1:10" x14ac:dyDescent="0.25">
      <c r="A13" s="6">
        <v>10</v>
      </c>
      <c r="B13" s="7" t="s">
        <v>12</v>
      </c>
      <c r="C13" s="6">
        <f>'ekim 1 hafta '!J13</f>
        <v>78</v>
      </c>
      <c r="D13" s="6"/>
      <c r="E13" s="6"/>
      <c r="F13" s="6"/>
      <c r="G13" s="6"/>
      <c r="H13" s="6"/>
      <c r="I13" s="6"/>
      <c r="J13" s="6">
        <f t="shared" si="0"/>
        <v>78</v>
      </c>
    </row>
    <row r="14" spans="1:10" x14ac:dyDescent="0.25">
      <c r="A14" s="6">
        <v>11</v>
      </c>
      <c r="B14" s="7" t="s">
        <v>13</v>
      </c>
      <c r="C14" s="6">
        <f>'ekim 1 hafta '!J14</f>
        <v>45</v>
      </c>
      <c r="D14" s="6"/>
      <c r="E14" s="6"/>
      <c r="F14" s="6"/>
      <c r="G14" s="6"/>
      <c r="H14" s="6"/>
      <c r="I14" s="6"/>
      <c r="J14" s="6">
        <f t="shared" si="0"/>
        <v>45</v>
      </c>
    </row>
    <row r="15" spans="1:10" x14ac:dyDescent="0.25">
      <c r="A15" s="6">
        <v>12</v>
      </c>
      <c r="B15" s="7" t="s">
        <v>14</v>
      </c>
      <c r="C15" s="6">
        <f>'ekim 1 hafta '!J15</f>
        <v>136</v>
      </c>
      <c r="D15" s="6"/>
      <c r="E15" s="6"/>
      <c r="F15" s="6">
        <v>12</v>
      </c>
      <c r="G15" s="6"/>
      <c r="H15" s="6"/>
      <c r="I15" s="6"/>
      <c r="J15" s="6">
        <f t="shared" si="0"/>
        <v>124</v>
      </c>
    </row>
    <row r="16" spans="1:10" x14ac:dyDescent="0.25">
      <c r="A16" s="6">
        <v>13</v>
      </c>
      <c r="B16" s="7" t="s">
        <v>15</v>
      </c>
      <c r="C16" s="6">
        <f>'ekim 1 hafta '!J16</f>
        <v>0</v>
      </c>
      <c r="D16" s="6"/>
      <c r="E16" s="6"/>
      <c r="F16" s="6"/>
      <c r="G16" s="6"/>
      <c r="H16" s="6"/>
      <c r="I16" s="6"/>
      <c r="J16" s="6">
        <f t="shared" si="0"/>
        <v>0</v>
      </c>
    </row>
    <row r="17" spans="1:10" x14ac:dyDescent="0.25">
      <c r="A17" s="6">
        <v>14</v>
      </c>
      <c r="B17" s="7" t="s">
        <v>16</v>
      </c>
      <c r="C17" s="6">
        <f>'ekim 1 hafta '!J17</f>
        <v>280</v>
      </c>
      <c r="D17" s="6">
        <v>27</v>
      </c>
      <c r="E17" s="6">
        <v>18</v>
      </c>
      <c r="F17" s="6">
        <v>15</v>
      </c>
      <c r="G17" s="6">
        <v>1</v>
      </c>
      <c r="H17" s="6">
        <v>2</v>
      </c>
      <c r="I17" s="6">
        <v>10</v>
      </c>
      <c r="J17" s="6">
        <f t="shared" si="0"/>
        <v>261</v>
      </c>
    </row>
    <row r="18" spans="1:10" x14ac:dyDescent="0.25">
      <c r="A18" s="6">
        <v>15</v>
      </c>
      <c r="B18" s="7" t="s">
        <v>17</v>
      </c>
      <c r="C18" s="6">
        <f>'ekim 1 hafta '!J18</f>
        <v>192</v>
      </c>
      <c r="D18" s="6"/>
      <c r="E18" s="6">
        <v>14</v>
      </c>
      <c r="F18" s="6"/>
      <c r="G18" s="6"/>
      <c r="H18" s="6">
        <v>10</v>
      </c>
      <c r="I18" s="6"/>
      <c r="J18" s="6">
        <f t="shared" si="0"/>
        <v>168</v>
      </c>
    </row>
    <row r="19" spans="1:10" x14ac:dyDescent="0.25">
      <c r="A19" s="6">
        <v>16</v>
      </c>
      <c r="B19" s="7" t="s">
        <v>18</v>
      </c>
      <c r="C19" s="6">
        <f>'ekim 1 hafta '!J19</f>
        <v>130</v>
      </c>
      <c r="D19" s="6"/>
      <c r="E19" s="6"/>
      <c r="F19" s="6"/>
      <c r="G19" s="6"/>
      <c r="H19" s="6"/>
      <c r="I19" s="6"/>
      <c r="J19" s="6">
        <f t="shared" si="0"/>
        <v>130</v>
      </c>
    </row>
    <row r="20" spans="1:10" x14ac:dyDescent="0.25">
      <c r="A20" s="6">
        <v>17</v>
      </c>
      <c r="B20" s="7" t="s">
        <v>19</v>
      </c>
      <c r="C20" s="6">
        <f>'ekim 1 hafta '!J20</f>
        <v>8</v>
      </c>
      <c r="D20" s="6">
        <v>30</v>
      </c>
      <c r="E20" s="6"/>
      <c r="F20" s="6"/>
      <c r="G20" s="6"/>
      <c r="H20" s="6"/>
      <c r="I20" s="6"/>
      <c r="J20" s="6">
        <f t="shared" si="0"/>
        <v>38</v>
      </c>
    </row>
    <row r="21" spans="1:10" x14ac:dyDescent="0.25">
      <c r="A21" s="6">
        <v>18</v>
      </c>
      <c r="B21" s="7" t="s">
        <v>20</v>
      </c>
      <c r="C21" s="6">
        <f>'ekim 1 hafta '!J21</f>
        <v>12</v>
      </c>
      <c r="D21" s="6"/>
      <c r="E21" s="6"/>
      <c r="F21" s="6"/>
      <c r="G21" s="6">
        <v>1</v>
      </c>
      <c r="H21" s="6"/>
      <c r="I21" s="6"/>
      <c r="J21" s="6">
        <f t="shared" si="0"/>
        <v>11</v>
      </c>
    </row>
    <row r="22" spans="1:10" x14ac:dyDescent="0.25">
      <c r="A22" s="6">
        <v>19</v>
      </c>
      <c r="B22" s="7" t="s">
        <v>54</v>
      </c>
      <c r="C22" s="6">
        <f>'ekim 1 hafta '!J22</f>
        <v>15</v>
      </c>
      <c r="D22" s="6"/>
      <c r="E22" s="6"/>
      <c r="F22" s="6">
        <v>3</v>
      </c>
      <c r="G22" s="6"/>
      <c r="H22" s="6"/>
      <c r="I22" s="6"/>
      <c r="J22" s="6">
        <f t="shared" si="0"/>
        <v>12</v>
      </c>
    </row>
    <row r="23" spans="1:10" x14ac:dyDescent="0.25">
      <c r="A23" s="6">
        <v>20</v>
      </c>
      <c r="B23" s="7" t="s">
        <v>59</v>
      </c>
      <c r="C23" s="6">
        <f>'ekim 1 hafta '!J23</f>
        <v>118</v>
      </c>
      <c r="D23" s="6">
        <v>14</v>
      </c>
      <c r="E23" s="6"/>
      <c r="F23" s="6"/>
      <c r="G23" s="6"/>
      <c r="H23" s="6"/>
      <c r="I23" s="6"/>
      <c r="J23" s="6">
        <f t="shared" si="0"/>
        <v>132</v>
      </c>
    </row>
    <row r="24" spans="1:10" x14ac:dyDescent="0.25">
      <c r="A24" s="6">
        <v>21</v>
      </c>
      <c r="B24" s="7" t="s">
        <v>21</v>
      </c>
      <c r="C24" s="6">
        <f>'ekim 1 hafta '!J24</f>
        <v>38</v>
      </c>
      <c r="D24" s="6"/>
      <c r="E24" s="6"/>
      <c r="F24" s="6"/>
      <c r="G24" s="6"/>
      <c r="H24" s="6"/>
      <c r="I24" s="6"/>
      <c r="J24" s="6">
        <f t="shared" si="0"/>
        <v>38</v>
      </c>
    </row>
    <row r="25" spans="1:10" x14ac:dyDescent="0.25">
      <c r="A25" s="6">
        <v>22</v>
      </c>
      <c r="B25" s="7" t="s">
        <v>22</v>
      </c>
      <c r="C25" s="6">
        <f>'ekim 1 hafta '!J25</f>
        <v>7</v>
      </c>
      <c r="D25" s="6"/>
      <c r="E25" s="6"/>
      <c r="F25" s="6"/>
      <c r="G25" s="6"/>
      <c r="H25" s="6"/>
      <c r="I25" s="6"/>
      <c r="J25" s="6">
        <f t="shared" si="0"/>
        <v>7</v>
      </c>
    </row>
    <row r="26" spans="1:10" x14ac:dyDescent="0.25">
      <c r="A26" s="6">
        <v>23</v>
      </c>
      <c r="B26" s="7" t="s">
        <v>53</v>
      </c>
      <c r="C26" s="6">
        <f>'ekim 1 hafta '!J26</f>
        <v>42</v>
      </c>
      <c r="D26" s="6">
        <v>199</v>
      </c>
      <c r="E26" s="6"/>
      <c r="F26" s="6">
        <v>6</v>
      </c>
      <c r="G26" s="6"/>
      <c r="H26" s="6"/>
      <c r="I26" s="6"/>
      <c r="J26" s="6">
        <f t="shared" si="0"/>
        <v>235</v>
      </c>
    </row>
    <row r="27" spans="1:10" x14ac:dyDescent="0.25">
      <c r="A27" s="6">
        <v>24</v>
      </c>
      <c r="B27" s="7" t="s">
        <v>23</v>
      </c>
      <c r="C27" s="6">
        <f>'ekim 1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</row>
    <row r="28" spans="1:10" x14ac:dyDescent="0.25">
      <c r="A28" s="6">
        <v>25</v>
      </c>
      <c r="B28" s="7" t="s">
        <v>24</v>
      </c>
      <c r="C28" s="6">
        <f>'ekim 1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</row>
    <row r="29" spans="1:10" x14ac:dyDescent="0.25">
      <c r="A29" s="6">
        <v>26</v>
      </c>
      <c r="B29" s="7" t="s">
        <v>48</v>
      </c>
      <c r="C29" s="6">
        <f>'ekim 1 hafta '!J29</f>
        <v>13</v>
      </c>
      <c r="D29" s="6"/>
      <c r="E29" s="6"/>
      <c r="F29" s="6"/>
      <c r="G29" s="6"/>
      <c r="H29" s="6"/>
      <c r="I29" s="6"/>
      <c r="J29" s="6">
        <f t="shared" si="0"/>
        <v>13</v>
      </c>
    </row>
    <row r="30" spans="1:10" x14ac:dyDescent="0.25">
      <c r="A30" s="6">
        <v>26</v>
      </c>
      <c r="B30" s="7" t="s">
        <v>49</v>
      </c>
      <c r="C30" s="6">
        <f>'ekim 1 hafta '!J30</f>
        <v>60</v>
      </c>
      <c r="D30" s="6"/>
      <c r="E30" s="6"/>
      <c r="F30" s="6"/>
      <c r="G30" s="6"/>
      <c r="H30" s="6"/>
      <c r="I30" s="6"/>
      <c r="J30" s="6">
        <f t="shared" si="0"/>
        <v>60</v>
      </c>
    </row>
    <row r="31" spans="1:10" x14ac:dyDescent="0.25">
      <c r="A31" s="6">
        <v>27</v>
      </c>
      <c r="B31" s="7" t="s">
        <v>61</v>
      </c>
      <c r="C31" s="6">
        <f>'ekim 1 hafta '!J31</f>
        <v>78</v>
      </c>
      <c r="D31" s="6"/>
      <c r="E31" s="6"/>
      <c r="F31" s="6"/>
      <c r="G31" s="6"/>
      <c r="H31" s="6"/>
      <c r="I31" s="6"/>
      <c r="J31" s="6">
        <f t="shared" si="0"/>
        <v>78</v>
      </c>
    </row>
    <row r="32" spans="1:10" x14ac:dyDescent="0.25">
      <c r="A32" s="6">
        <v>28</v>
      </c>
      <c r="B32" s="7" t="s">
        <v>25</v>
      </c>
      <c r="C32" s="6">
        <f>'ekim 1 hafta '!J32</f>
        <v>293</v>
      </c>
      <c r="D32" s="6"/>
      <c r="E32" s="6"/>
      <c r="F32" s="6"/>
      <c r="G32" s="6">
        <v>100</v>
      </c>
      <c r="H32" s="6"/>
      <c r="I32" s="6"/>
      <c r="J32" s="6">
        <f t="shared" si="0"/>
        <v>193</v>
      </c>
    </row>
    <row r="33" spans="1:10" x14ac:dyDescent="0.25">
      <c r="A33" s="6">
        <v>29</v>
      </c>
      <c r="B33" s="7" t="s">
        <v>26</v>
      </c>
      <c r="C33" s="6">
        <f>'ekim 1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</row>
    <row r="34" spans="1:10" x14ac:dyDescent="0.25">
      <c r="A34" s="6">
        <v>30</v>
      </c>
      <c r="B34" s="7" t="s">
        <v>27</v>
      </c>
      <c r="C34" s="6">
        <f>'ekim 1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</row>
    <row r="35" spans="1:10" x14ac:dyDescent="0.25">
      <c r="A35" s="6">
        <v>31</v>
      </c>
      <c r="B35" s="7" t="s">
        <v>28</v>
      </c>
      <c r="C35" s="6">
        <f>'ekim 1 hafta '!J35</f>
        <v>45</v>
      </c>
      <c r="D35" s="6"/>
      <c r="E35" s="6"/>
      <c r="F35" s="6"/>
      <c r="G35" s="6"/>
      <c r="H35" s="6"/>
      <c r="I35" s="6"/>
      <c r="J35" s="6">
        <f t="shared" si="0"/>
        <v>45</v>
      </c>
    </row>
    <row r="36" spans="1:10" x14ac:dyDescent="0.25">
      <c r="A36" s="6">
        <v>32</v>
      </c>
      <c r="B36" s="7" t="s">
        <v>29</v>
      </c>
      <c r="C36" s="6">
        <f>'ekim 1 hafta '!J36</f>
        <v>166</v>
      </c>
      <c r="D36" s="6"/>
      <c r="E36" s="6"/>
      <c r="F36" s="6"/>
      <c r="G36" s="6"/>
      <c r="H36" s="6"/>
      <c r="I36" s="6"/>
      <c r="J36" s="6">
        <f t="shared" si="0"/>
        <v>166</v>
      </c>
    </row>
    <row r="37" spans="1:10" x14ac:dyDescent="0.25">
      <c r="A37" s="6">
        <v>33</v>
      </c>
      <c r="B37" s="7" t="s">
        <v>30</v>
      </c>
      <c r="C37" s="6">
        <f>'ekim 1 hafta '!J37</f>
        <v>538</v>
      </c>
      <c r="D37" s="6"/>
      <c r="E37" s="6"/>
      <c r="F37" s="6"/>
      <c r="G37" s="6">
        <v>1</v>
      </c>
      <c r="H37" s="6"/>
      <c r="I37" s="6"/>
      <c r="J37" s="6">
        <f t="shared" si="0"/>
        <v>537</v>
      </c>
    </row>
    <row r="38" spans="1:10" x14ac:dyDescent="0.25">
      <c r="A38" s="6">
        <v>34</v>
      </c>
      <c r="B38" s="7" t="s">
        <v>65</v>
      </c>
      <c r="C38" s="6">
        <f>'ekim 1 hafta '!J38</f>
        <v>66</v>
      </c>
      <c r="D38" s="6"/>
      <c r="E38" s="6"/>
      <c r="F38" s="6"/>
      <c r="G38" s="6"/>
      <c r="H38" s="6"/>
      <c r="I38" s="6"/>
      <c r="J38" s="6">
        <f t="shared" si="0"/>
        <v>66</v>
      </c>
    </row>
    <row r="39" spans="1:10" x14ac:dyDescent="0.25">
      <c r="A39" s="6">
        <v>35</v>
      </c>
      <c r="B39" s="7" t="s">
        <v>31</v>
      </c>
      <c r="C39" s="6">
        <f>'ekim 1 hafta '!J39</f>
        <v>36</v>
      </c>
      <c r="D39" s="6"/>
      <c r="E39" s="6"/>
      <c r="F39" s="6"/>
      <c r="G39" s="6"/>
      <c r="H39" s="6"/>
      <c r="I39" s="6"/>
      <c r="J39" s="6">
        <f t="shared" si="0"/>
        <v>36</v>
      </c>
    </row>
    <row r="40" spans="1:10" x14ac:dyDescent="0.25">
      <c r="A40" s="6">
        <v>36</v>
      </c>
      <c r="B40" s="7" t="s">
        <v>32</v>
      </c>
      <c r="C40" s="6">
        <f>'ekim 1 hafta '!J40</f>
        <v>24</v>
      </c>
      <c r="D40" s="6"/>
      <c r="E40" s="6"/>
      <c r="F40" s="6"/>
      <c r="G40" s="6"/>
      <c r="H40" s="6"/>
      <c r="I40" s="6"/>
      <c r="J40" s="6">
        <f t="shared" si="0"/>
        <v>24</v>
      </c>
    </row>
    <row r="41" spans="1:10" x14ac:dyDescent="0.25">
      <c r="A41" s="6">
        <v>37</v>
      </c>
      <c r="B41" s="7" t="s">
        <v>33</v>
      </c>
      <c r="C41" s="6">
        <f>'ekim 1 hafta '!J41</f>
        <v>10</v>
      </c>
      <c r="D41" s="6"/>
      <c r="E41" s="6"/>
      <c r="F41" s="6"/>
      <c r="G41" s="6"/>
      <c r="H41" s="6"/>
      <c r="I41" s="6"/>
      <c r="J41" s="6">
        <f t="shared" si="0"/>
        <v>10</v>
      </c>
    </row>
    <row r="42" spans="1:10" x14ac:dyDescent="0.25">
      <c r="A42" s="6">
        <v>38</v>
      </c>
      <c r="B42" s="7" t="s">
        <v>34</v>
      </c>
      <c r="C42" s="6">
        <f>'ekim 1 hafta '!J42</f>
        <v>14</v>
      </c>
      <c r="D42" s="6">
        <v>24</v>
      </c>
      <c r="E42" s="6"/>
      <c r="F42" s="6"/>
      <c r="G42" s="6"/>
      <c r="H42" s="6"/>
      <c r="I42" s="6"/>
      <c r="J42" s="6">
        <f t="shared" si="0"/>
        <v>38</v>
      </c>
    </row>
    <row r="43" spans="1:10" x14ac:dyDescent="0.25">
      <c r="A43" s="6">
        <v>39</v>
      </c>
      <c r="B43" s="7" t="s">
        <v>35</v>
      </c>
      <c r="C43" s="6">
        <v>35</v>
      </c>
      <c r="D43" s="6"/>
      <c r="E43" s="6"/>
      <c r="F43" s="6"/>
      <c r="G43" s="6"/>
      <c r="H43" s="6"/>
      <c r="I43" s="6">
        <v>3</v>
      </c>
      <c r="J43" s="6">
        <f t="shared" si="0"/>
        <v>32</v>
      </c>
    </row>
    <row r="44" spans="1:10" x14ac:dyDescent="0.25">
      <c r="A44" s="6">
        <v>40</v>
      </c>
      <c r="B44" s="7" t="s">
        <v>44</v>
      </c>
      <c r="C44" s="6">
        <v>112</v>
      </c>
      <c r="D44" s="6"/>
      <c r="E44" s="6"/>
      <c r="F44" s="6"/>
      <c r="G44" s="6"/>
      <c r="H44" s="6"/>
      <c r="I44" s="6">
        <v>42</v>
      </c>
      <c r="J44" s="6">
        <f t="shared" si="0"/>
        <v>70</v>
      </c>
    </row>
    <row r="45" spans="1:10" x14ac:dyDescent="0.25">
      <c r="A45" s="6">
        <v>41</v>
      </c>
      <c r="B45" s="7" t="s">
        <v>60</v>
      </c>
      <c r="C45" s="6">
        <f>'ekim 1 hafta '!J45</f>
        <v>317</v>
      </c>
      <c r="D45" s="6"/>
      <c r="E45" s="6"/>
      <c r="F45" s="6"/>
      <c r="G45" s="6">
        <v>1</v>
      </c>
      <c r="H45" s="6"/>
      <c r="I45" s="6"/>
      <c r="J45" s="6">
        <f t="shared" si="0"/>
        <v>316</v>
      </c>
    </row>
    <row r="46" spans="1:10" x14ac:dyDescent="0.25">
      <c r="A46" s="6">
        <v>42</v>
      </c>
      <c r="B46" s="7" t="s">
        <v>36</v>
      </c>
      <c r="C46" s="6">
        <f>'ekim 1 hafta '!J46</f>
        <v>42</v>
      </c>
      <c r="D46" s="6"/>
      <c r="E46" s="6"/>
      <c r="F46" s="6"/>
      <c r="G46" s="6"/>
      <c r="H46" s="6"/>
      <c r="I46" s="6"/>
      <c r="J46" s="6">
        <f t="shared" si="0"/>
        <v>42</v>
      </c>
    </row>
    <row r="47" spans="1:10" x14ac:dyDescent="0.25">
      <c r="A47" s="6">
        <v>43</v>
      </c>
      <c r="B47" s="7" t="s">
        <v>37</v>
      </c>
      <c r="C47" s="6">
        <f>'ekim 1 hafta '!J47</f>
        <v>26</v>
      </c>
      <c r="D47" s="6"/>
      <c r="E47" s="6"/>
      <c r="F47" s="6"/>
      <c r="G47" s="6"/>
      <c r="H47" s="6"/>
      <c r="I47" s="6"/>
      <c r="J47" s="6">
        <f t="shared" si="0"/>
        <v>26</v>
      </c>
    </row>
    <row r="48" spans="1:10" x14ac:dyDescent="0.25">
      <c r="A48" s="6">
        <v>44</v>
      </c>
      <c r="B48" s="7" t="s">
        <v>38</v>
      </c>
      <c r="C48" s="6">
        <f>'ekim 1 hafta '!J48</f>
        <v>69</v>
      </c>
      <c r="D48" s="6"/>
      <c r="E48" s="6"/>
      <c r="F48" s="6"/>
      <c r="G48" s="6"/>
      <c r="H48" s="6"/>
      <c r="I48" s="6"/>
      <c r="J48" s="6">
        <f t="shared" si="0"/>
        <v>69</v>
      </c>
    </row>
    <row r="49" spans="1:10" x14ac:dyDescent="0.25">
      <c r="A49" s="6">
        <v>45</v>
      </c>
      <c r="B49" s="7" t="s">
        <v>62</v>
      </c>
      <c r="C49" s="6">
        <f>'ekim 1 hafta '!J49</f>
        <v>29</v>
      </c>
      <c r="D49" s="6"/>
      <c r="E49" s="6"/>
      <c r="F49" s="6"/>
      <c r="G49" s="6"/>
      <c r="H49" s="6"/>
      <c r="I49" s="6"/>
      <c r="J49" s="6">
        <f t="shared" si="0"/>
        <v>29</v>
      </c>
    </row>
    <row r="50" spans="1:10" x14ac:dyDescent="0.25">
      <c r="A50" s="6">
        <v>46</v>
      </c>
      <c r="B50" s="7" t="s">
        <v>39</v>
      </c>
      <c r="C50" s="6">
        <f>'ekim 1 hafta '!J50</f>
        <v>38</v>
      </c>
      <c r="D50" s="6"/>
      <c r="E50" s="6"/>
      <c r="F50" s="6"/>
      <c r="G50" s="6"/>
      <c r="H50" s="6"/>
      <c r="I50" s="6"/>
      <c r="J50" s="6">
        <f t="shared" si="0"/>
        <v>38</v>
      </c>
    </row>
    <row r="51" spans="1:10" x14ac:dyDescent="0.25">
      <c r="A51" s="6">
        <v>47</v>
      </c>
      <c r="B51" s="7" t="s">
        <v>40</v>
      </c>
      <c r="C51" s="6">
        <f>'ekim 1 hafta '!J51</f>
        <v>63</v>
      </c>
      <c r="D51" s="6"/>
      <c r="E51" s="6">
        <v>3</v>
      </c>
      <c r="F51" s="6"/>
      <c r="G51" s="6"/>
      <c r="H51" s="6">
        <v>1</v>
      </c>
      <c r="I51" s="6"/>
      <c r="J51" s="6">
        <f t="shared" si="0"/>
        <v>59</v>
      </c>
    </row>
    <row r="52" spans="1:10" x14ac:dyDescent="0.25">
      <c r="A52" s="6">
        <v>48</v>
      </c>
      <c r="B52" s="7" t="s">
        <v>41</v>
      </c>
      <c r="C52" s="6">
        <f>'ekim 1 hafta '!J52</f>
        <v>242</v>
      </c>
      <c r="D52" s="6"/>
      <c r="E52" s="6">
        <v>0</v>
      </c>
      <c r="F52" s="6"/>
      <c r="G52" s="6">
        <v>1</v>
      </c>
      <c r="H52" s="6"/>
      <c r="I52" s="6"/>
      <c r="J52" s="6">
        <f t="shared" si="0"/>
        <v>241</v>
      </c>
    </row>
    <row r="53" spans="1:10" x14ac:dyDescent="0.25">
      <c r="A53" s="6">
        <v>49</v>
      </c>
      <c r="B53" s="7" t="s">
        <v>43</v>
      </c>
      <c r="C53" s="6">
        <f>'ekim 1 hafta '!J53</f>
        <v>79</v>
      </c>
      <c r="D53" s="6"/>
      <c r="E53" s="6">
        <v>3</v>
      </c>
      <c r="F53" s="6"/>
      <c r="G53" s="6"/>
      <c r="H53" s="6"/>
      <c r="I53" s="6"/>
      <c r="J53" s="6">
        <f t="shared" si="0"/>
        <v>76</v>
      </c>
    </row>
    <row r="54" spans="1:10" x14ac:dyDescent="0.25">
      <c r="A54" s="6">
        <v>50</v>
      </c>
      <c r="B54" s="7" t="s">
        <v>42</v>
      </c>
      <c r="C54" s="6">
        <f>'ekim 1 hafta '!J54</f>
        <v>28</v>
      </c>
      <c r="D54" s="6"/>
      <c r="E54" s="6"/>
      <c r="F54" s="6"/>
      <c r="G54" s="6"/>
      <c r="H54" s="6"/>
      <c r="I54" s="6"/>
      <c r="J54" s="6">
        <f t="shared" si="0"/>
        <v>28</v>
      </c>
    </row>
    <row r="55" spans="1:10" x14ac:dyDescent="0.25">
      <c r="A55" s="6">
        <v>51</v>
      </c>
      <c r="B55" s="7" t="s">
        <v>45</v>
      </c>
      <c r="C55" s="6">
        <f>'ekim 1 hafta '!J55</f>
        <v>43</v>
      </c>
      <c r="D55" s="6"/>
      <c r="E55" s="6"/>
      <c r="F55" s="6"/>
      <c r="G55" s="6"/>
      <c r="H55" s="6"/>
      <c r="I55" s="6"/>
      <c r="J55" s="6">
        <f t="shared" si="0"/>
        <v>43</v>
      </c>
    </row>
    <row r="56" spans="1:10" x14ac:dyDescent="0.25">
      <c r="A56" s="6">
        <v>52</v>
      </c>
      <c r="B56" s="7" t="s">
        <v>46</v>
      </c>
      <c r="C56" s="6">
        <f>'ekim 1 hafta '!J56</f>
        <v>99</v>
      </c>
      <c r="D56" s="6"/>
      <c r="E56" s="6"/>
      <c r="F56" s="6"/>
      <c r="G56" s="6"/>
      <c r="H56" s="6"/>
      <c r="I56" s="6"/>
      <c r="J56" s="6">
        <f t="shared" si="0"/>
        <v>99</v>
      </c>
    </row>
    <row r="57" spans="1:10" x14ac:dyDescent="0.25">
      <c r="A57" s="6">
        <v>53</v>
      </c>
      <c r="B57" s="7" t="s">
        <v>47</v>
      </c>
      <c r="C57" s="6">
        <f>'ekim 1 hafta '!J57</f>
        <v>230</v>
      </c>
      <c r="D57" s="6"/>
      <c r="E57" s="6"/>
      <c r="F57" s="6"/>
      <c r="G57" s="6"/>
      <c r="H57" s="6"/>
      <c r="I57" s="6"/>
      <c r="J57" s="6">
        <f t="shared" si="0"/>
        <v>230</v>
      </c>
    </row>
    <row r="58" spans="1:10" x14ac:dyDescent="0.25">
      <c r="A58" s="6">
        <v>54</v>
      </c>
      <c r="B58" s="7" t="s">
        <v>50</v>
      </c>
      <c r="C58" s="6">
        <f>'ekim 1 hafta '!J58</f>
        <v>76</v>
      </c>
      <c r="D58" s="6"/>
      <c r="E58" s="6"/>
      <c r="F58" s="6"/>
      <c r="G58" s="6"/>
      <c r="H58" s="6"/>
      <c r="I58" s="6"/>
      <c r="J58" s="6">
        <f t="shared" si="0"/>
        <v>76</v>
      </c>
    </row>
    <row r="59" spans="1:10" x14ac:dyDescent="0.25">
      <c r="A59" s="6">
        <v>55</v>
      </c>
      <c r="B59" s="7" t="s">
        <v>55</v>
      </c>
      <c r="C59" s="6">
        <f>'ekim 1 hafta '!J59</f>
        <v>25</v>
      </c>
      <c r="D59" s="6"/>
      <c r="E59" s="6"/>
      <c r="F59" s="6"/>
      <c r="G59" s="6"/>
      <c r="H59" s="6"/>
      <c r="I59" s="6"/>
      <c r="J59" s="6">
        <f t="shared" si="0"/>
        <v>25</v>
      </c>
    </row>
    <row r="60" spans="1:10" x14ac:dyDescent="0.25">
      <c r="A60" s="6">
        <v>56</v>
      </c>
      <c r="B60" s="7" t="s">
        <v>56</v>
      </c>
      <c r="C60" s="6">
        <f>'ekim 1 hafta '!J60</f>
        <v>10</v>
      </c>
      <c r="D60" s="6"/>
      <c r="E60" s="6"/>
      <c r="F60" s="6"/>
      <c r="G60" s="6"/>
      <c r="H60" s="6">
        <v>2</v>
      </c>
      <c r="I60" s="6"/>
      <c r="J60" s="6">
        <f t="shared" si="0"/>
        <v>8</v>
      </c>
    </row>
    <row r="61" spans="1:10" x14ac:dyDescent="0.25">
      <c r="A61" s="6">
        <v>57</v>
      </c>
      <c r="B61" s="7" t="s">
        <v>57</v>
      </c>
      <c r="C61" s="6">
        <f>'ekim 1 hafta '!J61</f>
        <v>10</v>
      </c>
      <c r="D61" s="6"/>
      <c r="E61" s="6"/>
      <c r="F61" s="6"/>
      <c r="G61" s="6"/>
      <c r="H61" s="6">
        <v>2</v>
      </c>
      <c r="I61" s="6"/>
      <c r="J61" s="6">
        <f t="shared" si="0"/>
        <v>8</v>
      </c>
    </row>
    <row r="62" spans="1:10" x14ac:dyDescent="0.25">
      <c r="A62" s="6">
        <v>58</v>
      </c>
      <c r="B62" s="7" t="s">
        <v>58</v>
      </c>
      <c r="C62" s="6">
        <f>'ekim 1 hafta '!J62</f>
        <v>10</v>
      </c>
      <c r="D62" s="6"/>
      <c r="E62" s="6"/>
      <c r="F62" s="6"/>
      <c r="G62" s="6"/>
      <c r="H62" s="6">
        <v>2</v>
      </c>
      <c r="I62" s="6"/>
      <c r="J62" s="6">
        <f t="shared" si="0"/>
        <v>8</v>
      </c>
    </row>
    <row r="63" spans="1:10" x14ac:dyDescent="0.25">
      <c r="A63" s="6">
        <v>59</v>
      </c>
      <c r="B63" s="8" t="s">
        <v>63</v>
      </c>
      <c r="C63" s="6">
        <f>'ekim 1 hafta '!J63</f>
        <v>50</v>
      </c>
      <c r="D63" s="6"/>
      <c r="E63" s="6"/>
      <c r="F63" s="6"/>
      <c r="G63" s="6"/>
      <c r="H63" s="6"/>
      <c r="I63" s="6"/>
      <c r="J63" s="6">
        <f t="shared" si="0"/>
        <v>50</v>
      </c>
    </row>
    <row r="64" spans="1:10" x14ac:dyDescent="0.25">
      <c r="A64" s="6">
        <v>60</v>
      </c>
      <c r="B64" s="8" t="s">
        <v>64</v>
      </c>
      <c r="C64" s="6">
        <f>'ekim 1 hafta '!J64</f>
        <v>49</v>
      </c>
      <c r="D64" s="6"/>
      <c r="E64" s="6"/>
      <c r="F64" s="6"/>
      <c r="G64" s="6"/>
      <c r="H64" s="6"/>
      <c r="I64" s="6"/>
      <c r="J64" s="6">
        <f t="shared" si="0"/>
        <v>49</v>
      </c>
    </row>
    <row r="65" spans="1:10" x14ac:dyDescent="0.25">
      <c r="A65" s="6">
        <v>61</v>
      </c>
      <c r="B65" s="9" t="s">
        <v>67</v>
      </c>
      <c r="C65" s="6">
        <f>'ekim 1 hafta '!J65</f>
        <v>64</v>
      </c>
      <c r="D65" s="6"/>
      <c r="E65" s="6"/>
      <c r="F65" s="6"/>
      <c r="G65" s="6"/>
      <c r="H65" s="6"/>
      <c r="I65" s="6"/>
      <c r="J65" s="6">
        <f t="shared" si="0"/>
        <v>64</v>
      </c>
    </row>
    <row r="66" spans="1:10" x14ac:dyDescent="0.25">
      <c r="A66" s="6">
        <v>62</v>
      </c>
      <c r="B66" s="7" t="s">
        <v>68</v>
      </c>
      <c r="C66" s="6">
        <f>'ekim 1 hafta '!J66</f>
        <v>200</v>
      </c>
      <c r="D66" s="6"/>
      <c r="E66" s="6"/>
      <c r="F66" s="6">
        <v>3</v>
      </c>
      <c r="G66" s="6">
        <v>6</v>
      </c>
      <c r="H66" s="6">
        <v>3</v>
      </c>
      <c r="I66" s="6"/>
      <c r="J66" s="6">
        <f t="shared" si="0"/>
        <v>188</v>
      </c>
    </row>
    <row r="67" spans="1:10" x14ac:dyDescent="0.25">
      <c r="A67" s="6">
        <v>63</v>
      </c>
      <c r="B67" s="9" t="s">
        <v>71</v>
      </c>
      <c r="C67" s="7"/>
      <c r="D67" s="6">
        <v>26</v>
      </c>
      <c r="E67" s="7"/>
      <c r="F67" s="7"/>
      <c r="G67" s="7">
        <v>1</v>
      </c>
      <c r="H67" s="7"/>
      <c r="I67" s="7"/>
      <c r="J67" s="6">
        <f t="shared" si="0"/>
        <v>25</v>
      </c>
    </row>
    <row r="68" spans="1:10" x14ac:dyDescent="0.25">
      <c r="A68" s="6">
        <v>64</v>
      </c>
      <c r="B68" s="11" t="s">
        <v>72</v>
      </c>
      <c r="C68" s="7"/>
      <c r="D68" s="6"/>
      <c r="E68" s="7"/>
      <c r="F68" s="7"/>
      <c r="G68" s="7"/>
      <c r="H68" s="7"/>
      <c r="I68" s="7"/>
      <c r="J68" s="6">
        <f t="shared" ref="J68:J69" si="1">+C68-E68-F68-G68-H68-I68+D68</f>
        <v>0</v>
      </c>
    </row>
    <row r="69" spans="1:10" x14ac:dyDescent="0.25">
      <c r="A69" s="6">
        <v>65</v>
      </c>
      <c r="B69" s="10" t="s">
        <v>73</v>
      </c>
      <c r="C69" s="7"/>
      <c r="D69" s="6">
        <v>30</v>
      </c>
      <c r="E69" s="7"/>
      <c r="F69" s="7"/>
      <c r="G69" s="7"/>
      <c r="H69" s="7"/>
      <c r="I69" s="7">
        <v>4</v>
      </c>
      <c r="J69" s="6">
        <f t="shared" si="1"/>
        <v>26</v>
      </c>
    </row>
  </sheetData>
  <pageMargins left="0.7" right="0.7" top="0.75" bottom="0.75" header="0.3" footer="0.3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9"/>
  <sheetViews>
    <sheetView zoomScaleNormal="100" workbookViewId="0">
      <selection activeCell="I42" sqref="I42"/>
    </sheetView>
  </sheetViews>
  <sheetFormatPr defaultRowHeight="15" x14ac:dyDescent="0.25"/>
  <cols>
    <col min="1" max="1" width="6.5703125" customWidth="1"/>
    <col min="2" max="2" width="24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</cols>
  <sheetData>
    <row r="1" spans="1:10" x14ac:dyDescent="0.25">
      <c r="A1" s="2" t="s">
        <v>0</v>
      </c>
      <c r="B1" s="2"/>
      <c r="J1" s="1">
        <v>44837</v>
      </c>
    </row>
    <row r="2" spans="1:10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44851</v>
      </c>
      <c r="F2" s="4">
        <v>44852</v>
      </c>
      <c r="G2" s="4">
        <v>44853</v>
      </c>
      <c r="H2" s="4">
        <v>44854</v>
      </c>
      <c r="I2" s="4">
        <v>44855</v>
      </c>
      <c r="J2" s="5" t="s">
        <v>3</v>
      </c>
    </row>
    <row r="3" spans="1:10" x14ac:dyDescent="0.25">
      <c r="A3" s="6">
        <v>1</v>
      </c>
      <c r="B3" s="7" t="s">
        <v>4</v>
      </c>
      <c r="C3" s="6">
        <v>37</v>
      </c>
      <c r="D3" s="6"/>
      <c r="E3" s="6"/>
      <c r="F3" s="6"/>
      <c r="G3" s="6"/>
      <c r="H3" s="6"/>
      <c r="I3" s="6"/>
      <c r="J3" s="6">
        <f>+C3-E3-F3-G3-H3-I3+D3</f>
        <v>37</v>
      </c>
    </row>
    <row r="4" spans="1:10" x14ac:dyDescent="0.25">
      <c r="A4" s="6">
        <v>2</v>
      </c>
      <c r="B4" s="7" t="s">
        <v>5</v>
      </c>
      <c r="C4" s="6">
        <v>3</v>
      </c>
      <c r="D4" s="6"/>
      <c r="E4" s="6"/>
      <c r="F4" s="6"/>
      <c r="G4" s="6"/>
      <c r="H4" s="6"/>
      <c r="I4" s="6"/>
      <c r="J4" s="6">
        <f t="shared" ref="J4:J67" si="0">+C4-E4-F4-G4-H4-I4+D4</f>
        <v>3</v>
      </c>
    </row>
    <row r="5" spans="1:10" x14ac:dyDescent="0.25">
      <c r="A5" s="6">
        <v>3</v>
      </c>
      <c r="B5" s="7" t="s">
        <v>69</v>
      </c>
      <c r="C5" s="6">
        <v>107</v>
      </c>
      <c r="D5" s="6"/>
      <c r="E5" s="6"/>
      <c r="F5" s="6"/>
      <c r="G5" s="6"/>
      <c r="H5" s="6"/>
      <c r="I5" s="6"/>
      <c r="J5" s="6">
        <f t="shared" si="0"/>
        <v>107</v>
      </c>
    </row>
    <row r="6" spans="1:10" x14ac:dyDescent="0.25">
      <c r="A6" s="6">
        <v>4</v>
      </c>
      <c r="B6" s="7" t="s">
        <v>6</v>
      </c>
      <c r="C6" s="6">
        <v>55</v>
      </c>
      <c r="D6" s="6"/>
      <c r="E6" s="6"/>
      <c r="F6" s="6"/>
      <c r="G6" s="6"/>
      <c r="H6" s="6"/>
      <c r="I6" s="6"/>
      <c r="J6" s="6">
        <f t="shared" si="0"/>
        <v>55</v>
      </c>
    </row>
    <row r="7" spans="1:10" x14ac:dyDescent="0.25">
      <c r="A7" s="6">
        <v>5</v>
      </c>
      <c r="B7" s="7" t="s">
        <v>9</v>
      </c>
      <c r="C7" s="6">
        <v>27</v>
      </c>
      <c r="D7" s="6"/>
      <c r="E7" s="6"/>
      <c r="F7" s="6"/>
      <c r="G7" s="6"/>
      <c r="H7" s="6"/>
      <c r="I7" s="6"/>
      <c r="J7" s="6">
        <f t="shared" si="0"/>
        <v>27</v>
      </c>
    </row>
    <row r="8" spans="1:10" x14ac:dyDescent="0.25">
      <c r="A8" s="6">
        <v>6</v>
      </c>
      <c r="B8" s="7" t="s">
        <v>7</v>
      </c>
      <c r="C8" s="6">
        <v>25</v>
      </c>
      <c r="D8" s="6"/>
      <c r="E8" s="6"/>
      <c r="F8" s="6"/>
      <c r="G8" s="6"/>
      <c r="H8" s="6"/>
      <c r="I8" s="6"/>
      <c r="J8" s="6">
        <f t="shared" si="0"/>
        <v>25</v>
      </c>
    </row>
    <row r="9" spans="1:10" x14ac:dyDescent="0.25">
      <c r="A9" s="6">
        <v>6</v>
      </c>
      <c r="B9" s="7" t="s">
        <v>8</v>
      </c>
      <c r="C9" s="6">
        <v>18</v>
      </c>
      <c r="D9" s="6"/>
      <c r="E9" s="6"/>
      <c r="F9" s="6"/>
      <c r="G9" s="6"/>
      <c r="H9" s="6"/>
      <c r="I9" s="6"/>
      <c r="J9" s="6">
        <f t="shared" si="0"/>
        <v>18</v>
      </c>
    </row>
    <row r="10" spans="1:10" x14ac:dyDescent="0.25">
      <c r="A10" s="6">
        <v>7</v>
      </c>
      <c r="B10" s="7" t="s">
        <v>66</v>
      </c>
      <c r="C10" s="6">
        <v>83</v>
      </c>
      <c r="D10" s="6"/>
      <c r="E10" s="6"/>
      <c r="F10" s="6"/>
      <c r="G10" s="6"/>
      <c r="H10" s="6"/>
      <c r="I10" s="6"/>
      <c r="J10" s="6">
        <f t="shared" si="0"/>
        <v>83</v>
      </c>
    </row>
    <row r="11" spans="1:10" x14ac:dyDescent="0.25">
      <c r="A11" s="6">
        <v>8</v>
      </c>
      <c r="B11" s="7" t="s">
        <v>10</v>
      </c>
      <c r="C11" s="6">
        <v>282</v>
      </c>
      <c r="D11" s="6"/>
      <c r="E11" s="6"/>
      <c r="F11" s="6"/>
      <c r="G11" s="6"/>
      <c r="H11" s="6"/>
      <c r="I11" s="6">
        <v>50</v>
      </c>
      <c r="J11" s="6">
        <f t="shared" si="0"/>
        <v>232</v>
      </c>
    </row>
    <row r="12" spans="1:10" x14ac:dyDescent="0.25">
      <c r="A12" s="6">
        <v>9</v>
      </c>
      <c r="B12" s="7" t="s">
        <v>11</v>
      </c>
      <c r="C12" s="6">
        <v>716</v>
      </c>
      <c r="D12" s="6"/>
      <c r="E12" s="6">
        <v>23</v>
      </c>
      <c r="F12" s="6"/>
      <c r="G12" s="6"/>
      <c r="H12" s="6">
        <v>6</v>
      </c>
      <c r="I12" s="6">
        <v>54</v>
      </c>
      <c r="J12" s="6">
        <f t="shared" si="0"/>
        <v>633</v>
      </c>
    </row>
    <row r="13" spans="1:10" x14ac:dyDescent="0.25">
      <c r="A13" s="6">
        <v>10</v>
      </c>
      <c r="B13" s="7" t="s">
        <v>12</v>
      </c>
      <c r="C13" s="6">
        <v>78</v>
      </c>
      <c r="D13" s="6"/>
      <c r="E13" s="6"/>
      <c r="F13" s="6"/>
      <c r="G13" s="6"/>
      <c r="H13" s="6"/>
      <c r="I13" s="6"/>
      <c r="J13" s="6">
        <f t="shared" si="0"/>
        <v>78</v>
      </c>
    </row>
    <row r="14" spans="1:10" x14ac:dyDescent="0.25">
      <c r="A14" s="6">
        <v>11</v>
      </c>
      <c r="B14" s="7" t="s">
        <v>13</v>
      </c>
      <c r="C14" s="6">
        <v>45</v>
      </c>
      <c r="D14" s="6"/>
      <c r="E14" s="6"/>
      <c r="F14" s="6"/>
      <c r="G14" s="6"/>
      <c r="H14" s="6"/>
      <c r="I14" s="6"/>
      <c r="J14" s="6">
        <f t="shared" si="0"/>
        <v>45</v>
      </c>
    </row>
    <row r="15" spans="1:10" x14ac:dyDescent="0.25">
      <c r="A15" s="6">
        <v>12</v>
      </c>
      <c r="B15" s="7" t="s">
        <v>14</v>
      </c>
      <c r="C15" s="6">
        <v>124</v>
      </c>
      <c r="D15" s="6"/>
      <c r="E15" s="6"/>
      <c r="F15" s="6"/>
      <c r="G15" s="6"/>
      <c r="H15" s="6">
        <v>1</v>
      </c>
      <c r="I15" s="6"/>
      <c r="J15" s="6">
        <f t="shared" si="0"/>
        <v>123</v>
      </c>
    </row>
    <row r="16" spans="1:10" x14ac:dyDescent="0.25">
      <c r="A16" s="6">
        <v>13</v>
      </c>
      <c r="B16" s="7" t="s">
        <v>15</v>
      </c>
      <c r="C16" s="6">
        <v>0</v>
      </c>
      <c r="D16" s="6"/>
      <c r="E16" s="6"/>
      <c r="F16" s="6"/>
      <c r="G16" s="6"/>
      <c r="H16" s="6"/>
      <c r="I16" s="6"/>
      <c r="J16" s="6">
        <f t="shared" si="0"/>
        <v>0</v>
      </c>
    </row>
    <row r="17" spans="1:10" x14ac:dyDescent="0.25">
      <c r="A17" s="6">
        <v>14</v>
      </c>
      <c r="B17" s="7" t="s">
        <v>16</v>
      </c>
      <c r="C17" s="6">
        <v>261</v>
      </c>
      <c r="D17" s="6"/>
      <c r="E17" s="6">
        <v>7</v>
      </c>
      <c r="F17" s="6">
        <v>5</v>
      </c>
      <c r="G17" s="6"/>
      <c r="H17" s="6">
        <v>2</v>
      </c>
      <c r="I17" s="6">
        <v>1</v>
      </c>
      <c r="J17" s="6">
        <f t="shared" si="0"/>
        <v>246</v>
      </c>
    </row>
    <row r="18" spans="1:10" x14ac:dyDescent="0.25">
      <c r="A18" s="6">
        <v>15</v>
      </c>
      <c r="B18" s="7" t="s">
        <v>17</v>
      </c>
      <c r="C18" s="6">
        <v>168</v>
      </c>
      <c r="D18" s="6"/>
      <c r="E18" s="6"/>
      <c r="F18" s="6">
        <v>4</v>
      </c>
      <c r="G18" s="6"/>
      <c r="H18" s="6"/>
      <c r="I18" s="6"/>
      <c r="J18" s="6">
        <f t="shared" si="0"/>
        <v>164</v>
      </c>
    </row>
    <row r="19" spans="1:10" x14ac:dyDescent="0.25">
      <c r="A19" s="6">
        <v>16</v>
      </c>
      <c r="B19" s="7" t="s">
        <v>18</v>
      </c>
      <c r="C19" s="6">
        <v>130</v>
      </c>
      <c r="D19" s="6"/>
      <c r="E19" s="6"/>
      <c r="F19" s="6"/>
      <c r="G19" s="6"/>
      <c r="H19" s="6"/>
      <c r="I19" s="6"/>
      <c r="J19" s="6">
        <f t="shared" si="0"/>
        <v>130</v>
      </c>
    </row>
    <row r="20" spans="1:10" x14ac:dyDescent="0.25">
      <c r="A20" s="6">
        <v>17</v>
      </c>
      <c r="B20" s="7" t="s">
        <v>19</v>
      </c>
      <c r="C20" s="6">
        <v>38</v>
      </c>
      <c r="D20" s="6"/>
      <c r="E20" s="6"/>
      <c r="F20" s="6"/>
      <c r="G20" s="6"/>
      <c r="H20" s="6"/>
      <c r="I20" s="6"/>
      <c r="J20" s="6">
        <f t="shared" si="0"/>
        <v>38</v>
      </c>
    </row>
    <row r="21" spans="1:10" x14ac:dyDescent="0.25">
      <c r="A21" s="6">
        <v>18</v>
      </c>
      <c r="B21" s="7" t="s">
        <v>20</v>
      </c>
      <c r="C21" s="6">
        <v>11</v>
      </c>
      <c r="D21" s="6"/>
      <c r="E21" s="6"/>
      <c r="F21" s="6">
        <v>2</v>
      </c>
      <c r="G21" s="6"/>
      <c r="H21" s="6">
        <v>2</v>
      </c>
      <c r="I21" s="6">
        <v>1</v>
      </c>
      <c r="J21" s="6">
        <f t="shared" si="0"/>
        <v>6</v>
      </c>
    </row>
    <row r="22" spans="1:10" x14ac:dyDescent="0.25">
      <c r="A22" s="6">
        <v>19</v>
      </c>
      <c r="B22" s="7" t="s">
        <v>54</v>
      </c>
      <c r="C22" s="6">
        <v>12</v>
      </c>
      <c r="D22" s="6"/>
      <c r="E22" s="6"/>
      <c r="F22" s="6">
        <v>4</v>
      </c>
      <c r="G22" s="6"/>
      <c r="H22" s="6">
        <v>6</v>
      </c>
      <c r="I22" s="6"/>
      <c r="J22" s="6">
        <f t="shared" si="0"/>
        <v>2</v>
      </c>
    </row>
    <row r="23" spans="1:10" x14ac:dyDescent="0.25">
      <c r="A23" s="6">
        <v>20</v>
      </c>
      <c r="B23" s="7" t="s">
        <v>59</v>
      </c>
      <c r="C23" s="6">
        <v>132</v>
      </c>
      <c r="D23" s="6"/>
      <c r="E23" s="6"/>
      <c r="F23" s="6"/>
      <c r="G23" s="6"/>
      <c r="H23" s="6">
        <v>1</v>
      </c>
      <c r="I23" s="6">
        <v>1</v>
      </c>
      <c r="J23" s="6">
        <f t="shared" si="0"/>
        <v>130</v>
      </c>
    </row>
    <row r="24" spans="1:10" x14ac:dyDescent="0.25">
      <c r="A24" s="6">
        <v>21</v>
      </c>
      <c r="B24" s="7" t="s">
        <v>21</v>
      </c>
      <c r="C24" s="6">
        <v>38</v>
      </c>
      <c r="D24" s="6"/>
      <c r="E24" s="6"/>
      <c r="F24" s="6"/>
      <c r="G24" s="6"/>
      <c r="H24" s="6"/>
      <c r="I24" s="6"/>
      <c r="J24" s="6">
        <f t="shared" si="0"/>
        <v>38</v>
      </c>
    </row>
    <row r="25" spans="1:10" x14ac:dyDescent="0.25">
      <c r="A25" s="6">
        <v>22</v>
      </c>
      <c r="B25" s="7" t="s">
        <v>22</v>
      </c>
      <c r="C25" s="6">
        <v>7</v>
      </c>
      <c r="D25" s="6"/>
      <c r="E25" s="6"/>
      <c r="F25" s="6"/>
      <c r="G25" s="6"/>
      <c r="H25" s="6"/>
      <c r="I25" s="6"/>
      <c r="J25" s="6">
        <f t="shared" si="0"/>
        <v>7</v>
      </c>
    </row>
    <row r="26" spans="1:10" x14ac:dyDescent="0.25">
      <c r="A26" s="6">
        <v>23</v>
      </c>
      <c r="B26" s="7" t="s">
        <v>53</v>
      </c>
      <c r="C26" s="6">
        <v>235</v>
      </c>
      <c r="D26" s="6"/>
      <c r="E26" s="6"/>
      <c r="F26" s="6"/>
      <c r="G26" s="6"/>
      <c r="H26" s="6"/>
      <c r="I26" s="6"/>
      <c r="J26" s="6">
        <f t="shared" si="0"/>
        <v>235</v>
      </c>
    </row>
    <row r="27" spans="1:10" x14ac:dyDescent="0.25">
      <c r="A27" s="6">
        <v>24</v>
      </c>
      <c r="B27" s="7" t="s">
        <v>23</v>
      </c>
      <c r="C27" s="6">
        <v>483</v>
      </c>
      <c r="D27" s="6"/>
      <c r="E27" s="6"/>
      <c r="F27" s="6"/>
      <c r="G27" s="6"/>
      <c r="H27" s="6"/>
      <c r="I27" s="6"/>
      <c r="J27" s="6">
        <f t="shared" si="0"/>
        <v>483</v>
      </c>
    </row>
    <row r="28" spans="1:10" x14ac:dyDescent="0.25">
      <c r="A28" s="6">
        <v>25</v>
      </c>
      <c r="B28" s="7" t="s">
        <v>24</v>
      </c>
      <c r="C28" s="6">
        <v>62</v>
      </c>
      <c r="D28" s="6"/>
      <c r="E28" s="6"/>
      <c r="F28" s="6"/>
      <c r="G28" s="6"/>
      <c r="H28" s="6"/>
      <c r="I28" s="6"/>
      <c r="J28" s="6">
        <f t="shared" si="0"/>
        <v>62</v>
      </c>
    </row>
    <row r="29" spans="1:10" x14ac:dyDescent="0.25">
      <c r="A29" s="6">
        <v>26</v>
      </c>
      <c r="B29" s="7" t="s">
        <v>48</v>
      </c>
      <c r="C29" s="6">
        <v>13</v>
      </c>
      <c r="D29" s="6"/>
      <c r="E29" s="6"/>
      <c r="F29" s="6"/>
      <c r="G29" s="6"/>
      <c r="H29" s="6"/>
      <c r="I29" s="6"/>
      <c r="J29" s="6">
        <f t="shared" si="0"/>
        <v>13</v>
      </c>
    </row>
    <row r="30" spans="1:10" x14ac:dyDescent="0.25">
      <c r="A30" s="6">
        <v>26</v>
      </c>
      <c r="B30" s="7" t="s">
        <v>49</v>
      </c>
      <c r="C30" s="6">
        <v>60</v>
      </c>
      <c r="D30" s="6"/>
      <c r="E30" s="6"/>
      <c r="F30" s="6"/>
      <c r="G30" s="6"/>
      <c r="H30" s="6"/>
      <c r="I30" s="6"/>
      <c r="J30" s="6">
        <f t="shared" si="0"/>
        <v>60</v>
      </c>
    </row>
    <row r="31" spans="1:10" x14ac:dyDescent="0.25">
      <c r="A31" s="6">
        <v>27</v>
      </c>
      <c r="B31" s="7" t="s">
        <v>61</v>
      </c>
      <c r="C31" s="6">
        <v>78</v>
      </c>
      <c r="D31" s="6"/>
      <c r="E31" s="6"/>
      <c r="F31" s="6"/>
      <c r="G31" s="6"/>
      <c r="H31" s="6"/>
      <c r="I31" s="6"/>
      <c r="J31" s="6">
        <f t="shared" si="0"/>
        <v>78</v>
      </c>
    </row>
    <row r="32" spans="1:10" x14ac:dyDescent="0.25">
      <c r="A32" s="6">
        <v>28</v>
      </c>
      <c r="B32" s="7" t="s">
        <v>25</v>
      </c>
      <c r="C32" s="6">
        <v>193</v>
      </c>
      <c r="D32" s="6"/>
      <c r="E32" s="6"/>
      <c r="F32" s="6"/>
      <c r="G32" s="6"/>
      <c r="H32" s="6"/>
      <c r="I32" s="6"/>
      <c r="J32" s="6">
        <f t="shared" si="0"/>
        <v>193</v>
      </c>
    </row>
    <row r="33" spans="1:10" x14ac:dyDescent="0.25">
      <c r="A33" s="6">
        <v>29</v>
      </c>
      <c r="B33" s="7" t="s">
        <v>26</v>
      </c>
      <c r="C33" s="6">
        <v>240</v>
      </c>
      <c r="D33" s="6"/>
      <c r="E33" s="6"/>
      <c r="F33" s="6"/>
      <c r="G33" s="6"/>
      <c r="H33" s="6"/>
      <c r="I33" s="6"/>
      <c r="J33" s="6">
        <f t="shared" si="0"/>
        <v>240</v>
      </c>
    </row>
    <row r="34" spans="1:10" x14ac:dyDescent="0.25">
      <c r="A34" s="6">
        <v>30</v>
      </c>
      <c r="B34" s="7" t="s">
        <v>27</v>
      </c>
      <c r="C34" s="6">
        <v>17</v>
      </c>
      <c r="D34" s="6"/>
      <c r="E34" s="6"/>
      <c r="F34" s="6"/>
      <c r="G34" s="6"/>
      <c r="H34" s="6"/>
      <c r="I34" s="6"/>
      <c r="J34" s="6">
        <f t="shared" si="0"/>
        <v>17</v>
      </c>
    </row>
    <row r="35" spans="1:10" x14ac:dyDescent="0.25">
      <c r="A35" s="6">
        <v>31</v>
      </c>
      <c r="B35" s="7" t="s">
        <v>28</v>
      </c>
      <c r="C35" s="6">
        <v>45</v>
      </c>
      <c r="D35" s="6"/>
      <c r="E35" s="6"/>
      <c r="F35" s="6"/>
      <c r="G35" s="6"/>
      <c r="H35" s="6"/>
      <c r="I35" s="6"/>
      <c r="J35" s="6">
        <f t="shared" si="0"/>
        <v>45</v>
      </c>
    </row>
    <row r="36" spans="1:10" x14ac:dyDescent="0.25">
      <c r="A36" s="6">
        <v>32</v>
      </c>
      <c r="B36" s="7" t="s">
        <v>29</v>
      </c>
      <c r="C36" s="6">
        <v>166</v>
      </c>
      <c r="D36" s="6"/>
      <c r="E36" s="6"/>
      <c r="F36" s="6"/>
      <c r="G36" s="6"/>
      <c r="H36" s="6"/>
      <c r="I36" s="6"/>
      <c r="J36" s="6">
        <f t="shared" si="0"/>
        <v>166</v>
      </c>
    </row>
    <row r="37" spans="1:10" x14ac:dyDescent="0.25">
      <c r="A37" s="6">
        <v>33</v>
      </c>
      <c r="B37" s="7" t="s">
        <v>30</v>
      </c>
      <c r="C37" s="6">
        <v>537</v>
      </c>
      <c r="D37" s="6"/>
      <c r="E37" s="6"/>
      <c r="F37" s="6"/>
      <c r="G37" s="6"/>
      <c r="H37" s="6"/>
      <c r="I37" s="6"/>
      <c r="J37" s="6">
        <f t="shared" si="0"/>
        <v>537</v>
      </c>
    </row>
    <row r="38" spans="1:10" x14ac:dyDescent="0.25">
      <c r="A38" s="6">
        <v>34</v>
      </c>
      <c r="B38" s="7" t="s">
        <v>65</v>
      </c>
      <c r="C38" s="6">
        <v>66</v>
      </c>
      <c r="D38" s="6"/>
      <c r="E38" s="6"/>
      <c r="F38" s="6"/>
      <c r="G38" s="6"/>
      <c r="H38" s="6"/>
      <c r="I38" s="6"/>
      <c r="J38" s="6">
        <f t="shared" si="0"/>
        <v>66</v>
      </c>
    </row>
    <row r="39" spans="1:10" x14ac:dyDescent="0.25">
      <c r="A39" s="6">
        <v>35</v>
      </c>
      <c r="B39" s="7" t="s">
        <v>31</v>
      </c>
      <c r="C39" s="6">
        <v>36</v>
      </c>
      <c r="D39" s="6"/>
      <c r="E39" s="6"/>
      <c r="F39" s="6"/>
      <c r="G39" s="6"/>
      <c r="H39" s="6"/>
      <c r="I39" s="6"/>
      <c r="J39" s="6">
        <f t="shared" si="0"/>
        <v>36</v>
      </c>
    </row>
    <row r="40" spans="1:10" x14ac:dyDescent="0.25">
      <c r="A40" s="6">
        <v>36</v>
      </c>
      <c r="B40" s="7" t="s">
        <v>32</v>
      </c>
      <c r="C40" s="6">
        <v>24</v>
      </c>
      <c r="D40" s="6"/>
      <c r="E40" s="6"/>
      <c r="F40" s="6"/>
      <c r="G40" s="6"/>
      <c r="H40" s="6"/>
      <c r="I40" s="6"/>
      <c r="J40" s="6">
        <f t="shared" si="0"/>
        <v>24</v>
      </c>
    </row>
    <row r="41" spans="1:10" x14ac:dyDescent="0.25">
      <c r="A41" s="6">
        <v>37</v>
      </c>
      <c r="B41" s="7" t="s">
        <v>33</v>
      </c>
      <c r="C41" s="6">
        <v>10</v>
      </c>
      <c r="D41" s="6"/>
      <c r="E41" s="6"/>
      <c r="F41" s="6"/>
      <c r="G41" s="6"/>
      <c r="H41" s="6"/>
      <c r="I41" s="6">
        <v>1</v>
      </c>
      <c r="J41" s="6">
        <f t="shared" si="0"/>
        <v>9</v>
      </c>
    </row>
    <row r="42" spans="1:10" x14ac:dyDescent="0.25">
      <c r="A42" s="6">
        <v>38</v>
      </c>
      <c r="B42" s="7" t="s">
        <v>34</v>
      </c>
      <c r="C42" s="6">
        <v>38</v>
      </c>
      <c r="D42" s="6"/>
      <c r="E42" s="6">
        <v>2</v>
      </c>
      <c r="F42" s="6"/>
      <c r="G42" s="6"/>
      <c r="H42" s="6"/>
      <c r="I42" s="6"/>
      <c r="J42" s="6">
        <f t="shared" si="0"/>
        <v>36</v>
      </c>
    </row>
    <row r="43" spans="1:10" x14ac:dyDescent="0.25">
      <c r="A43" s="6">
        <v>39</v>
      </c>
      <c r="B43" s="7" t="s">
        <v>35</v>
      </c>
      <c r="C43" s="6">
        <v>32</v>
      </c>
      <c r="D43" s="6"/>
      <c r="E43" s="6">
        <v>2</v>
      </c>
      <c r="F43" s="6"/>
      <c r="G43" s="6"/>
      <c r="H43" s="6">
        <v>1</v>
      </c>
      <c r="I43" s="6">
        <v>1</v>
      </c>
      <c r="J43" s="6">
        <f t="shared" si="0"/>
        <v>28</v>
      </c>
    </row>
    <row r="44" spans="1:10" x14ac:dyDescent="0.25">
      <c r="A44" s="6">
        <v>40</v>
      </c>
      <c r="B44" s="7" t="s">
        <v>44</v>
      </c>
      <c r="C44" s="6">
        <v>70</v>
      </c>
      <c r="D44" s="6"/>
      <c r="E44" s="6"/>
      <c r="F44" s="6"/>
      <c r="G44" s="6"/>
      <c r="H44" s="6">
        <v>3</v>
      </c>
      <c r="I44" s="6"/>
      <c r="J44" s="6">
        <f t="shared" si="0"/>
        <v>67</v>
      </c>
    </row>
    <row r="45" spans="1:10" x14ac:dyDescent="0.25">
      <c r="A45" s="6">
        <v>41</v>
      </c>
      <c r="B45" s="7" t="s">
        <v>60</v>
      </c>
      <c r="C45" s="6">
        <v>316</v>
      </c>
      <c r="D45" s="6"/>
      <c r="E45" s="6"/>
      <c r="F45" s="6"/>
      <c r="G45" s="6"/>
      <c r="H45" s="6"/>
      <c r="I45" s="6"/>
      <c r="J45" s="6">
        <f t="shared" si="0"/>
        <v>316</v>
      </c>
    </row>
    <row r="46" spans="1:10" x14ac:dyDescent="0.25">
      <c r="A46" s="6">
        <v>42</v>
      </c>
      <c r="B46" s="7" t="s">
        <v>36</v>
      </c>
      <c r="C46" s="6">
        <v>42</v>
      </c>
      <c r="D46" s="6"/>
      <c r="E46" s="6"/>
      <c r="F46" s="6"/>
      <c r="G46" s="6"/>
      <c r="H46" s="6"/>
      <c r="I46" s="6"/>
      <c r="J46" s="6">
        <f t="shared" si="0"/>
        <v>42</v>
      </c>
    </row>
    <row r="47" spans="1:10" x14ac:dyDescent="0.25">
      <c r="A47" s="6">
        <v>43</v>
      </c>
      <c r="B47" s="7" t="s">
        <v>37</v>
      </c>
      <c r="C47" s="6">
        <v>26</v>
      </c>
      <c r="D47" s="6"/>
      <c r="E47" s="6"/>
      <c r="F47" s="6"/>
      <c r="G47" s="6"/>
      <c r="H47" s="6"/>
      <c r="I47" s="6"/>
      <c r="J47" s="6">
        <f t="shared" si="0"/>
        <v>26</v>
      </c>
    </row>
    <row r="48" spans="1:10" x14ac:dyDescent="0.25">
      <c r="A48" s="6">
        <v>44</v>
      </c>
      <c r="B48" s="7" t="s">
        <v>38</v>
      </c>
      <c r="C48" s="6">
        <v>69</v>
      </c>
      <c r="D48" s="6"/>
      <c r="E48" s="6">
        <v>1</v>
      </c>
      <c r="F48" s="6"/>
      <c r="G48" s="6"/>
      <c r="H48" s="6"/>
      <c r="I48" s="6">
        <v>1</v>
      </c>
      <c r="J48" s="6">
        <f t="shared" si="0"/>
        <v>67</v>
      </c>
    </row>
    <row r="49" spans="1:10" x14ac:dyDescent="0.25">
      <c r="A49" s="6">
        <v>45</v>
      </c>
      <c r="B49" s="7" t="s">
        <v>62</v>
      </c>
      <c r="C49" s="6">
        <v>29</v>
      </c>
      <c r="D49" s="6"/>
      <c r="E49" s="6"/>
      <c r="F49" s="6"/>
      <c r="G49" s="6"/>
      <c r="H49" s="6"/>
      <c r="I49" s="6"/>
      <c r="J49" s="6">
        <f t="shared" si="0"/>
        <v>29</v>
      </c>
    </row>
    <row r="50" spans="1:10" x14ac:dyDescent="0.25">
      <c r="A50" s="6">
        <v>46</v>
      </c>
      <c r="B50" s="7" t="s">
        <v>39</v>
      </c>
      <c r="C50" s="6">
        <v>38</v>
      </c>
      <c r="D50" s="6"/>
      <c r="E50" s="6"/>
      <c r="F50" s="6"/>
      <c r="G50" s="6"/>
      <c r="H50" s="6">
        <v>0</v>
      </c>
      <c r="I50" s="6"/>
      <c r="J50" s="6">
        <f t="shared" si="0"/>
        <v>38</v>
      </c>
    </row>
    <row r="51" spans="1:10" x14ac:dyDescent="0.25">
      <c r="A51" s="6">
        <v>47</v>
      </c>
      <c r="B51" s="7" t="s">
        <v>40</v>
      </c>
      <c r="C51" s="6">
        <v>59</v>
      </c>
      <c r="D51" s="6"/>
      <c r="E51" s="6"/>
      <c r="F51" s="6"/>
      <c r="G51" s="6"/>
      <c r="H51" s="6">
        <v>2</v>
      </c>
      <c r="I51" s="6"/>
      <c r="J51" s="6">
        <f t="shared" si="0"/>
        <v>57</v>
      </c>
    </row>
    <row r="52" spans="1:10" x14ac:dyDescent="0.25">
      <c r="A52" s="6">
        <v>48</v>
      </c>
      <c r="B52" s="7" t="s">
        <v>41</v>
      </c>
      <c r="C52" s="6">
        <v>241</v>
      </c>
      <c r="D52" s="6"/>
      <c r="E52" s="6"/>
      <c r="F52" s="6"/>
      <c r="G52" s="6"/>
      <c r="H52" s="6">
        <v>2</v>
      </c>
      <c r="I52" s="6"/>
      <c r="J52" s="6">
        <f t="shared" si="0"/>
        <v>239</v>
      </c>
    </row>
    <row r="53" spans="1:10" x14ac:dyDescent="0.25">
      <c r="A53" s="6">
        <v>49</v>
      </c>
      <c r="B53" s="7" t="s">
        <v>43</v>
      </c>
      <c r="C53" s="6">
        <v>76</v>
      </c>
      <c r="D53" s="6"/>
      <c r="E53" s="6"/>
      <c r="F53" s="6"/>
      <c r="G53" s="6"/>
      <c r="H53" s="6"/>
      <c r="I53" s="6"/>
      <c r="J53" s="6">
        <f t="shared" si="0"/>
        <v>76</v>
      </c>
    </row>
    <row r="54" spans="1:10" x14ac:dyDescent="0.25">
      <c r="A54" s="6">
        <v>50</v>
      </c>
      <c r="B54" s="7" t="s">
        <v>42</v>
      </c>
      <c r="C54" s="6">
        <v>28</v>
      </c>
      <c r="D54" s="6"/>
      <c r="E54" s="6">
        <v>1</v>
      </c>
      <c r="F54" s="6"/>
      <c r="G54" s="6"/>
      <c r="H54" s="6"/>
      <c r="I54" s="6"/>
      <c r="J54" s="6">
        <f t="shared" si="0"/>
        <v>27</v>
      </c>
    </row>
    <row r="55" spans="1:10" x14ac:dyDescent="0.25">
      <c r="A55" s="6">
        <v>51</v>
      </c>
      <c r="B55" s="7" t="s">
        <v>45</v>
      </c>
      <c r="C55" s="6">
        <v>43</v>
      </c>
      <c r="D55" s="6"/>
      <c r="E55" s="6"/>
      <c r="F55" s="6"/>
      <c r="G55" s="6"/>
      <c r="H55" s="6"/>
      <c r="I55" s="6"/>
      <c r="J55" s="6">
        <f t="shared" si="0"/>
        <v>43</v>
      </c>
    </row>
    <row r="56" spans="1:10" x14ac:dyDescent="0.25">
      <c r="A56" s="6">
        <v>52</v>
      </c>
      <c r="B56" s="7" t="s">
        <v>46</v>
      </c>
      <c r="C56" s="6">
        <v>99</v>
      </c>
      <c r="D56" s="6"/>
      <c r="E56" s="6"/>
      <c r="F56" s="6"/>
      <c r="G56" s="6"/>
      <c r="H56" s="6"/>
      <c r="I56" s="6"/>
      <c r="J56" s="6">
        <f t="shared" si="0"/>
        <v>99</v>
      </c>
    </row>
    <row r="57" spans="1:10" x14ac:dyDescent="0.25">
      <c r="A57" s="6">
        <v>53</v>
      </c>
      <c r="B57" s="7" t="s">
        <v>47</v>
      </c>
      <c r="C57" s="6">
        <v>230</v>
      </c>
      <c r="D57" s="6"/>
      <c r="E57" s="6"/>
      <c r="F57" s="6"/>
      <c r="G57" s="6"/>
      <c r="H57" s="6"/>
      <c r="I57" s="6"/>
      <c r="J57" s="6">
        <f t="shared" si="0"/>
        <v>230</v>
      </c>
    </row>
    <row r="58" spans="1:10" x14ac:dyDescent="0.25">
      <c r="A58" s="6">
        <v>54</v>
      </c>
      <c r="B58" s="7" t="s">
        <v>50</v>
      </c>
      <c r="C58" s="6">
        <v>76</v>
      </c>
      <c r="D58" s="6"/>
      <c r="E58" s="6"/>
      <c r="F58" s="6"/>
      <c r="G58" s="6"/>
      <c r="H58" s="6"/>
      <c r="I58" s="6"/>
      <c r="J58" s="6">
        <f t="shared" si="0"/>
        <v>76</v>
      </c>
    </row>
    <row r="59" spans="1:10" x14ac:dyDescent="0.25">
      <c r="A59" s="6">
        <v>55</v>
      </c>
      <c r="B59" s="7" t="s">
        <v>55</v>
      </c>
      <c r="C59" s="6">
        <v>25</v>
      </c>
      <c r="D59" s="6"/>
      <c r="E59" s="6"/>
      <c r="F59" s="6">
        <v>3</v>
      </c>
      <c r="G59" s="6"/>
      <c r="H59" s="6"/>
      <c r="I59" s="6"/>
      <c r="J59" s="6">
        <f t="shared" si="0"/>
        <v>22</v>
      </c>
    </row>
    <row r="60" spans="1:10" x14ac:dyDescent="0.25">
      <c r="A60" s="6">
        <v>56</v>
      </c>
      <c r="B60" s="7" t="s">
        <v>56</v>
      </c>
      <c r="C60" s="6">
        <v>8</v>
      </c>
      <c r="D60" s="6"/>
      <c r="E60" s="6"/>
      <c r="F60" s="6"/>
      <c r="G60" s="6"/>
      <c r="H60" s="6">
        <v>5</v>
      </c>
      <c r="I60" s="6"/>
      <c r="J60" s="6">
        <f t="shared" si="0"/>
        <v>3</v>
      </c>
    </row>
    <row r="61" spans="1:10" x14ac:dyDescent="0.25">
      <c r="A61" s="6">
        <v>57</v>
      </c>
      <c r="B61" s="7" t="s">
        <v>57</v>
      </c>
      <c r="C61" s="6">
        <v>8</v>
      </c>
      <c r="D61" s="6"/>
      <c r="E61" s="6"/>
      <c r="F61" s="6"/>
      <c r="G61" s="6"/>
      <c r="H61" s="6">
        <v>5</v>
      </c>
      <c r="I61" s="6"/>
      <c r="J61" s="6">
        <f t="shared" si="0"/>
        <v>3</v>
      </c>
    </row>
    <row r="62" spans="1:10" x14ac:dyDescent="0.25">
      <c r="A62" s="6">
        <v>58</v>
      </c>
      <c r="B62" s="7" t="s">
        <v>58</v>
      </c>
      <c r="C62" s="6">
        <v>8</v>
      </c>
      <c r="D62" s="6"/>
      <c r="E62" s="6"/>
      <c r="F62" s="6">
        <v>3</v>
      </c>
      <c r="G62" s="6"/>
      <c r="H62" s="6">
        <v>2</v>
      </c>
      <c r="I62" s="6"/>
      <c r="J62" s="6">
        <f t="shared" si="0"/>
        <v>3</v>
      </c>
    </row>
    <row r="63" spans="1:10" x14ac:dyDescent="0.25">
      <c r="A63" s="6">
        <v>59</v>
      </c>
      <c r="B63" s="8" t="s">
        <v>63</v>
      </c>
      <c r="C63" s="6">
        <v>50</v>
      </c>
      <c r="D63" s="6"/>
      <c r="E63" s="6"/>
      <c r="F63" s="6"/>
      <c r="G63" s="6"/>
      <c r="H63" s="6"/>
      <c r="I63" s="6"/>
      <c r="J63" s="6">
        <f t="shared" si="0"/>
        <v>50</v>
      </c>
    </row>
    <row r="64" spans="1:10" x14ac:dyDescent="0.25">
      <c r="A64" s="6">
        <v>60</v>
      </c>
      <c r="B64" s="8" t="s">
        <v>64</v>
      </c>
      <c r="C64" s="6">
        <v>49</v>
      </c>
      <c r="D64" s="6"/>
      <c r="E64" s="6"/>
      <c r="F64" s="6"/>
      <c r="G64" s="6"/>
      <c r="H64" s="6"/>
      <c r="I64" s="6"/>
      <c r="J64" s="6">
        <f t="shared" si="0"/>
        <v>49</v>
      </c>
    </row>
    <row r="65" spans="1:10" x14ac:dyDescent="0.25">
      <c r="A65" s="6">
        <v>61</v>
      </c>
      <c r="B65" s="9" t="s">
        <v>67</v>
      </c>
      <c r="C65" s="6">
        <v>64</v>
      </c>
      <c r="D65" s="6"/>
      <c r="E65" s="6"/>
      <c r="F65" s="6"/>
      <c r="G65" s="6"/>
      <c r="H65" s="6"/>
      <c r="I65" s="6">
        <v>2</v>
      </c>
      <c r="J65" s="6">
        <f t="shared" si="0"/>
        <v>62</v>
      </c>
    </row>
    <row r="66" spans="1:10" x14ac:dyDescent="0.25">
      <c r="A66" s="6">
        <v>62</v>
      </c>
      <c r="B66" s="7" t="s">
        <v>68</v>
      </c>
      <c r="C66" s="6">
        <v>188</v>
      </c>
      <c r="D66" s="6"/>
      <c r="E66" s="6"/>
      <c r="F66" s="6">
        <v>2</v>
      </c>
      <c r="G66" s="6"/>
      <c r="H66" s="6">
        <v>2</v>
      </c>
      <c r="I66" s="6"/>
      <c r="J66" s="6">
        <f t="shared" si="0"/>
        <v>184</v>
      </c>
    </row>
    <row r="67" spans="1:10" x14ac:dyDescent="0.25">
      <c r="A67" s="6">
        <v>63</v>
      </c>
      <c r="B67" s="9" t="s">
        <v>71</v>
      </c>
      <c r="C67" s="6">
        <v>25</v>
      </c>
      <c r="D67" s="6">
        <v>0</v>
      </c>
      <c r="E67" s="7"/>
      <c r="F67" s="7"/>
      <c r="G67" s="7">
        <v>0</v>
      </c>
      <c r="H67" s="7"/>
      <c r="I67" s="7"/>
      <c r="J67" s="6">
        <f t="shared" si="0"/>
        <v>25</v>
      </c>
    </row>
    <row r="68" spans="1:10" x14ac:dyDescent="0.25">
      <c r="A68" s="6">
        <v>64</v>
      </c>
      <c r="B68" s="11" t="s">
        <v>72</v>
      </c>
      <c r="C68" s="6">
        <v>0</v>
      </c>
      <c r="D68" s="6"/>
      <c r="E68" s="7"/>
      <c r="F68" s="7"/>
      <c r="G68" s="7"/>
      <c r="H68" s="7"/>
      <c r="I68" s="7"/>
      <c r="J68" s="6">
        <f t="shared" ref="J68:J69" si="1">+C68-E68-F68-G68-H68-I68+D68</f>
        <v>0</v>
      </c>
    </row>
    <row r="69" spans="1:10" x14ac:dyDescent="0.25">
      <c r="A69" s="6">
        <v>65</v>
      </c>
      <c r="B69" s="10" t="s">
        <v>73</v>
      </c>
      <c r="C69" s="6">
        <v>26</v>
      </c>
      <c r="D69" s="6">
        <v>0</v>
      </c>
      <c r="E69" s="7">
        <v>6</v>
      </c>
      <c r="F69" s="7"/>
      <c r="G69" s="7"/>
      <c r="H69" s="7"/>
      <c r="I69" s="7">
        <v>0</v>
      </c>
      <c r="J69" s="6">
        <f t="shared" si="1"/>
        <v>20</v>
      </c>
    </row>
  </sheetData>
  <pageMargins left="0.7" right="0.7" top="0.75" bottom="0.75" header="0.3" footer="0.3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4"/>
  <sheetViews>
    <sheetView topLeftCell="A56" zoomScaleNormal="100" workbookViewId="0">
      <selection activeCell="J69" sqref="J69"/>
    </sheetView>
  </sheetViews>
  <sheetFormatPr defaultRowHeight="15" x14ac:dyDescent="0.25"/>
  <cols>
    <col min="1" max="1" width="6.5703125" customWidth="1"/>
    <col min="2" max="2" width="25.855468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</cols>
  <sheetData>
    <row r="1" spans="1:10" x14ac:dyDescent="0.25">
      <c r="A1" s="2" t="s">
        <v>0</v>
      </c>
      <c r="B1" s="2"/>
      <c r="J1" s="1">
        <v>44837</v>
      </c>
    </row>
    <row r="2" spans="1:10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44858</v>
      </c>
      <c r="F2" s="4">
        <v>44859</v>
      </c>
      <c r="G2" s="4">
        <v>44860</v>
      </c>
      <c r="H2" s="4">
        <v>44861</v>
      </c>
      <c r="I2" s="4">
        <v>44862</v>
      </c>
      <c r="J2" s="5" t="s">
        <v>3</v>
      </c>
    </row>
    <row r="3" spans="1:10" x14ac:dyDescent="0.25">
      <c r="A3" s="6">
        <v>1</v>
      </c>
      <c r="B3" s="7" t="s">
        <v>4</v>
      </c>
      <c r="C3" s="6">
        <f>'ekim 3 hafta'!J3</f>
        <v>37</v>
      </c>
      <c r="D3" s="6"/>
      <c r="E3" s="6"/>
      <c r="F3" s="6"/>
      <c r="G3" s="6"/>
      <c r="H3" s="6"/>
      <c r="I3" s="6"/>
      <c r="J3" s="6">
        <f>+C3-E3-F3-G3-H3-I3+D3</f>
        <v>37</v>
      </c>
    </row>
    <row r="4" spans="1:10" x14ac:dyDescent="0.25">
      <c r="A4" s="6">
        <v>2</v>
      </c>
      <c r="B4" s="7" t="s">
        <v>5</v>
      </c>
      <c r="C4" s="6">
        <f>'ekim 3 hafta'!J4</f>
        <v>3</v>
      </c>
      <c r="D4" s="6"/>
      <c r="E4" s="6"/>
      <c r="F4" s="6"/>
      <c r="G4" s="6"/>
      <c r="H4" s="6"/>
      <c r="I4" s="6"/>
      <c r="J4" s="6">
        <f t="shared" ref="J4:J67" si="0">+C4-E4-F4-G4-H4-I4+D4</f>
        <v>3</v>
      </c>
    </row>
    <row r="5" spans="1:10" x14ac:dyDescent="0.25">
      <c r="A5" s="6">
        <v>3</v>
      </c>
      <c r="B5" s="7" t="s">
        <v>69</v>
      </c>
      <c r="C5" s="6">
        <f>'ekim 3 hafta'!J5</f>
        <v>107</v>
      </c>
      <c r="D5" s="6"/>
      <c r="E5" s="6"/>
      <c r="F5" s="6">
        <v>2</v>
      </c>
      <c r="G5" s="6"/>
      <c r="H5" s="6"/>
      <c r="I5" s="6"/>
      <c r="J5" s="6">
        <f t="shared" si="0"/>
        <v>105</v>
      </c>
    </row>
    <row r="6" spans="1:10" x14ac:dyDescent="0.25">
      <c r="A6" s="6">
        <v>4</v>
      </c>
      <c r="B6" s="7" t="s">
        <v>6</v>
      </c>
      <c r="C6" s="6">
        <f>'ekim 3 hafta'!J6</f>
        <v>55</v>
      </c>
      <c r="D6" s="6"/>
      <c r="E6" s="6"/>
      <c r="F6" s="6"/>
      <c r="G6" s="6"/>
      <c r="H6" s="6"/>
      <c r="I6" s="6"/>
      <c r="J6" s="6">
        <f t="shared" si="0"/>
        <v>55</v>
      </c>
    </row>
    <row r="7" spans="1:10" x14ac:dyDescent="0.25">
      <c r="A7" s="6">
        <v>5</v>
      </c>
      <c r="B7" s="7" t="s">
        <v>9</v>
      </c>
      <c r="C7" s="6">
        <f>'ekim 3 hafta'!J7</f>
        <v>27</v>
      </c>
      <c r="D7" s="6"/>
      <c r="E7" s="6"/>
      <c r="F7" s="6"/>
      <c r="G7" s="6"/>
      <c r="H7" s="6"/>
      <c r="I7" s="6"/>
      <c r="J7" s="6">
        <f t="shared" si="0"/>
        <v>27</v>
      </c>
    </row>
    <row r="8" spans="1:10" x14ac:dyDescent="0.25">
      <c r="A8" s="6">
        <v>6</v>
      </c>
      <c r="B8" s="7" t="s">
        <v>7</v>
      </c>
      <c r="C8" s="6">
        <f>'ekim 3 hafta'!J8</f>
        <v>25</v>
      </c>
      <c r="D8" s="6"/>
      <c r="E8" s="6"/>
      <c r="F8" s="6"/>
      <c r="G8" s="6"/>
      <c r="H8" s="6"/>
      <c r="I8" s="6">
        <v>4</v>
      </c>
      <c r="J8" s="6">
        <f t="shared" si="0"/>
        <v>21</v>
      </c>
    </row>
    <row r="9" spans="1:10" x14ac:dyDescent="0.25">
      <c r="A9" s="6">
        <v>6</v>
      </c>
      <c r="B9" s="7" t="s">
        <v>8</v>
      </c>
      <c r="C9" s="6">
        <f>'ekim 3 hafta'!J9</f>
        <v>18</v>
      </c>
      <c r="D9" s="6"/>
      <c r="E9" s="6"/>
      <c r="F9" s="6"/>
      <c r="G9" s="6"/>
      <c r="H9" s="6"/>
      <c r="I9" s="6">
        <v>2</v>
      </c>
      <c r="J9" s="6">
        <f t="shared" si="0"/>
        <v>16</v>
      </c>
    </row>
    <row r="10" spans="1:10" x14ac:dyDescent="0.25">
      <c r="A10" s="6">
        <v>7</v>
      </c>
      <c r="B10" s="7" t="s">
        <v>66</v>
      </c>
      <c r="C10" s="6">
        <f>'ekim 3 hafta'!J10</f>
        <v>83</v>
      </c>
      <c r="D10" s="6"/>
      <c r="E10" s="6"/>
      <c r="F10" s="6"/>
      <c r="G10" s="6"/>
      <c r="H10" s="6"/>
      <c r="I10" s="6"/>
      <c r="J10" s="6">
        <f t="shared" si="0"/>
        <v>83</v>
      </c>
    </row>
    <row r="11" spans="1:10" x14ac:dyDescent="0.25">
      <c r="A11" s="6">
        <v>8</v>
      </c>
      <c r="B11" s="7" t="s">
        <v>10</v>
      </c>
      <c r="C11" s="6">
        <v>122</v>
      </c>
      <c r="D11" s="6"/>
      <c r="E11" s="6">
        <v>48</v>
      </c>
      <c r="F11" s="6"/>
      <c r="G11" s="6"/>
      <c r="H11" s="6"/>
      <c r="I11" s="6"/>
      <c r="J11" s="6">
        <f t="shared" si="0"/>
        <v>74</v>
      </c>
    </row>
    <row r="12" spans="1:10" x14ac:dyDescent="0.25">
      <c r="A12" s="6">
        <v>9</v>
      </c>
      <c r="B12" s="7" t="s">
        <v>11</v>
      </c>
      <c r="C12" s="6">
        <f>'ekim 3 hafta'!J12</f>
        <v>633</v>
      </c>
      <c r="D12" s="6"/>
      <c r="E12" s="6"/>
      <c r="F12" s="6">
        <v>50</v>
      </c>
      <c r="G12" s="6"/>
      <c r="H12" s="6"/>
      <c r="I12" s="6"/>
      <c r="J12" s="6">
        <f t="shared" si="0"/>
        <v>583</v>
      </c>
    </row>
    <row r="13" spans="1:10" x14ac:dyDescent="0.25">
      <c r="A13" s="6">
        <v>10</v>
      </c>
      <c r="B13" s="7" t="s">
        <v>12</v>
      </c>
      <c r="C13" s="6">
        <f>'ekim 3 hafta'!J13</f>
        <v>78</v>
      </c>
      <c r="D13" s="6"/>
      <c r="E13" s="6"/>
      <c r="F13" s="6"/>
      <c r="G13" s="6"/>
      <c r="H13" s="6"/>
      <c r="I13" s="6"/>
      <c r="J13" s="6">
        <f t="shared" si="0"/>
        <v>78</v>
      </c>
    </row>
    <row r="14" spans="1:10" x14ac:dyDescent="0.25">
      <c r="A14" s="6">
        <v>11</v>
      </c>
      <c r="B14" s="7" t="s">
        <v>13</v>
      </c>
      <c r="C14" s="6">
        <f>'ekim 3 hafta'!J14</f>
        <v>45</v>
      </c>
      <c r="D14" s="6"/>
      <c r="E14" s="6"/>
      <c r="F14" s="6"/>
      <c r="G14" s="6"/>
      <c r="H14" s="6"/>
      <c r="I14" s="6"/>
      <c r="J14" s="6">
        <f t="shared" si="0"/>
        <v>45</v>
      </c>
    </row>
    <row r="15" spans="1:10" x14ac:dyDescent="0.25">
      <c r="A15" s="6">
        <v>12</v>
      </c>
      <c r="B15" s="7" t="s">
        <v>14</v>
      </c>
      <c r="C15" s="6">
        <v>85</v>
      </c>
      <c r="D15" s="6"/>
      <c r="E15" s="6"/>
      <c r="F15" s="6"/>
      <c r="G15" s="6"/>
      <c r="H15" s="6"/>
      <c r="I15" s="6"/>
      <c r="J15" s="6">
        <f t="shared" si="0"/>
        <v>85</v>
      </c>
    </row>
    <row r="16" spans="1:10" x14ac:dyDescent="0.25">
      <c r="A16" s="6">
        <v>13</v>
      </c>
      <c r="B16" s="7" t="s">
        <v>15</v>
      </c>
      <c r="C16" s="6">
        <f>'ekim 3 hafta'!J16</f>
        <v>0</v>
      </c>
      <c r="D16" s="6">
        <v>28</v>
      </c>
      <c r="E16" s="6"/>
      <c r="F16" s="6"/>
      <c r="G16" s="6"/>
      <c r="H16" s="6"/>
      <c r="I16" s="6"/>
      <c r="J16" s="6">
        <f t="shared" si="0"/>
        <v>28</v>
      </c>
    </row>
    <row r="17" spans="1:10" x14ac:dyDescent="0.25">
      <c r="A17" s="6">
        <v>14</v>
      </c>
      <c r="B17" s="7" t="s">
        <v>16</v>
      </c>
      <c r="C17" s="6">
        <f>'ekim 3 hafta'!J17</f>
        <v>246</v>
      </c>
      <c r="D17" s="6"/>
      <c r="E17" s="6">
        <v>5</v>
      </c>
      <c r="F17" s="6"/>
      <c r="G17" s="6"/>
      <c r="H17" s="6">
        <v>2</v>
      </c>
      <c r="I17" s="6">
        <v>1</v>
      </c>
      <c r="J17" s="6">
        <f t="shared" si="0"/>
        <v>238</v>
      </c>
    </row>
    <row r="18" spans="1:10" x14ac:dyDescent="0.25">
      <c r="A18" s="6">
        <v>15</v>
      </c>
      <c r="B18" s="7" t="s">
        <v>17</v>
      </c>
      <c r="C18" s="6">
        <v>124</v>
      </c>
      <c r="D18" s="6"/>
      <c r="E18" s="6"/>
      <c r="F18" s="6"/>
      <c r="G18" s="6"/>
      <c r="H18" s="6">
        <v>4</v>
      </c>
      <c r="I18" s="6"/>
      <c r="J18" s="6">
        <f t="shared" si="0"/>
        <v>120</v>
      </c>
    </row>
    <row r="19" spans="1:10" x14ac:dyDescent="0.25">
      <c r="A19" s="6">
        <v>16</v>
      </c>
      <c r="B19" s="7" t="s">
        <v>18</v>
      </c>
      <c r="C19" s="6">
        <v>120</v>
      </c>
      <c r="D19" s="6"/>
      <c r="E19" s="6">
        <v>2</v>
      </c>
      <c r="F19" s="6"/>
      <c r="G19" s="6"/>
      <c r="H19" s="6"/>
      <c r="I19" s="6"/>
      <c r="J19" s="6">
        <f t="shared" si="0"/>
        <v>118</v>
      </c>
    </row>
    <row r="20" spans="1:10" x14ac:dyDescent="0.25">
      <c r="A20" s="6">
        <v>17</v>
      </c>
      <c r="B20" s="7" t="s">
        <v>19</v>
      </c>
      <c r="C20" s="6">
        <f>'ekim 3 hafta'!J20</f>
        <v>38</v>
      </c>
      <c r="D20" s="6">
        <v>35</v>
      </c>
      <c r="E20" s="6"/>
      <c r="F20" s="6"/>
      <c r="G20" s="6"/>
      <c r="H20" s="6"/>
      <c r="I20" s="6"/>
      <c r="J20" s="6">
        <f t="shared" si="0"/>
        <v>73</v>
      </c>
    </row>
    <row r="21" spans="1:10" x14ac:dyDescent="0.25">
      <c r="A21" s="6">
        <v>18</v>
      </c>
      <c r="B21" s="7" t="s">
        <v>20</v>
      </c>
      <c r="C21" s="6">
        <f>'ekim 3 hafta'!J21</f>
        <v>6</v>
      </c>
      <c r="D21" s="6"/>
      <c r="E21" s="6"/>
      <c r="F21" s="6"/>
      <c r="G21" s="6">
        <v>2</v>
      </c>
      <c r="H21" s="6">
        <v>2</v>
      </c>
      <c r="I21" s="6">
        <v>2</v>
      </c>
      <c r="J21" s="6">
        <f t="shared" si="0"/>
        <v>0</v>
      </c>
    </row>
    <row r="22" spans="1:10" x14ac:dyDescent="0.25">
      <c r="A22" s="6">
        <v>19</v>
      </c>
      <c r="B22" s="7" t="s">
        <v>54</v>
      </c>
      <c r="C22" s="6">
        <f>'ekim 3 hafta'!J22</f>
        <v>2</v>
      </c>
      <c r="D22" s="6"/>
      <c r="E22" s="6"/>
      <c r="F22" s="6"/>
      <c r="G22" s="6"/>
      <c r="H22" s="6"/>
      <c r="I22" s="6">
        <v>1</v>
      </c>
      <c r="J22" s="6">
        <f t="shared" si="0"/>
        <v>1</v>
      </c>
    </row>
    <row r="23" spans="1:10" x14ac:dyDescent="0.25">
      <c r="A23" s="6">
        <v>20</v>
      </c>
      <c r="B23" s="7" t="s">
        <v>59</v>
      </c>
      <c r="C23" s="6">
        <f>'ekim 3 hafta'!J23</f>
        <v>130</v>
      </c>
      <c r="D23" s="6"/>
      <c r="E23" s="6"/>
      <c r="F23" s="6"/>
      <c r="G23" s="6"/>
      <c r="H23" s="6"/>
      <c r="I23" s="6"/>
      <c r="J23" s="6">
        <f t="shared" si="0"/>
        <v>130</v>
      </c>
    </row>
    <row r="24" spans="1:10" x14ac:dyDescent="0.25">
      <c r="A24" s="6">
        <v>21</v>
      </c>
      <c r="B24" s="7" t="s">
        <v>21</v>
      </c>
      <c r="C24" s="6">
        <f>'ekim 3 hafta'!J24</f>
        <v>38</v>
      </c>
      <c r="D24" s="6"/>
      <c r="E24" s="6"/>
      <c r="F24" s="6"/>
      <c r="G24" s="6"/>
      <c r="H24" s="6"/>
      <c r="I24" s="6"/>
      <c r="J24" s="6">
        <f t="shared" si="0"/>
        <v>38</v>
      </c>
    </row>
    <row r="25" spans="1:10" x14ac:dyDescent="0.25">
      <c r="A25" s="6">
        <v>22</v>
      </c>
      <c r="B25" s="7" t="s">
        <v>22</v>
      </c>
      <c r="C25" s="6">
        <f>'ekim 3 hafta'!J25</f>
        <v>7</v>
      </c>
      <c r="D25" s="6"/>
      <c r="E25" s="6"/>
      <c r="F25" s="6"/>
      <c r="G25" s="6"/>
      <c r="H25" s="6"/>
      <c r="I25" s="6"/>
      <c r="J25" s="6">
        <f t="shared" si="0"/>
        <v>7</v>
      </c>
    </row>
    <row r="26" spans="1:10" x14ac:dyDescent="0.25">
      <c r="A26" s="6">
        <v>23</v>
      </c>
      <c r="B26" s="7" t="s">
        <v>53</v>
      </c>
      <c r="C26" s="6">
        <f>'ekim 3 hafta'!J26</f>
        <v>235</v>
      </c>
      <c r="D26" s="6"/>
      <c r="E26" s="6">
        <v>12</v>
      </c>
      <c r="F26" s="6"/>
      <c r="G26" s="6"/>
      <c r="H26" s="6"/>
      <c r="I26" s="6"/>
      <c r="J26" s="6">
        <f t="shared" si="0"/>
        <v>223</v>
      </c>
    </row>
    <row r="27" spans="1:10" x14ac:dyDescent="0.25">
      <c r="A27" s="6">
        <v>24</v>
      </c>
      <c r="B27" s="7" t="s">
        <v>23</v>
      </c>
      <c r="C27" s="6">
        <f>'ekim 3 hafta'!J27</f>
        <v>483</v>
      </c>
      <c r="D27" s="6"/>
      <c r="E27" s="6"/>
      <c r="F27" s="6"/>
      <c r="G27" s="6"/>
      <c r="H27" s="6"/>
      <c r="I27" s="6"/>
      <c r="J27" s="6">
        <f t="shared" si="0"/>
        <v>483</v>
      </c>
    </row>
    <row r="28" spans="1:10" x14ac:dyDescent="0.25">
      <c r="A28" s="6">
        <v>25</v>
      </c>
      <c r="B28" s="7" t="s">
        <v>24</v>
      </c>
      <c r="C28" s="6">
        <f>'ekim 3 hafta'!J28</f>
        <v>62</v>
      </c>
      <c r="D28" s="6"/>
      <c r="E28" s="6"/>
      <c r="F28" s="6"/>
      <c r="G28" s="6"/>
      <c r="H28" s="6"/>
      <c r="I28" s="6"/>
      <c r="J28" s="6">
        <f t="shared" si="0"/>
        <v>62</v>
      </c>
    </row>
    <row r="29" spans="1:10" x14ac:dyDescent="0.25">
      <c r="A29" s="6">
        <v>26</v>
      </c>
      <c r="B29" s="7" t="s">
        <v>48</v>
      </c>
      <c r="C29" s="6">
        <f>'ekim 3 hafta'!J29</f>
        <v>13</v>
      </c>
      <c r="D29" s="6"/>
      <c r="E29" s="6"/>
      <c r="F29" s="6"/>
      <c r="G29" s="6"/>
      <c r="H29" s="6"/>
      <c r="I29" s="6"/>
      <c r="J29" s="6">
        <f t="shared" si="0"/>
        <v>13</v>
      </c>
    </row>
    <row r="30" spans="1:10" x14ac:dyDescent="0.25">
      <c r="A30" s="6">
        <v>26</v>
      </c>
      <c r="B30" s="7" t="s">
        <v>49</v>
      </c>
      <c r="C30" s="6">
        <f>'ekim 3 hafta'!J30</f>
        <v>60</v>
      </c>
      <c r="D30" s="6"/>
      <c r="E30" s="6"/>
      <c r="F30" s="6"/>
      <c r="G30" s="6"/>
      <c r="H30" s="6"/>
      <c r="I30" s="6"/>
      <c r="J30" s="6">
        <f t="shared" si="0"/>
        <v>60</v>
      </c>
    </row>
    <row r="31" spans="1:10" x14ac:dyDescent="0.25">
      <c r="A31" s="6">
        <v>27</v>
      </c>
      <c r="B31" s="7" t="s">
        <v>61</v>
      </c>
      <c r="C31" s="6">
        <f>'ekim 3 hafta'!J31</f>
        <v>78</v>
      </c>
      <c r="D31" s="6"/>
      <c r="E31" s="6"/>
      <c r="F31" s="6"/>
      <c r="G31" s="6"/>
      <c r="H31" s="6"/>
      <c r="I31" s="6"/>
      <c r="J31" s="6">
        <f t="shared" si="0"/>
        <v>78</v>
      </c>
    </row>
    <row r="32" spans="1:10" x14ac:dyDescent="0.25">
      <c r="A32" s="6">
        <v>28</v>
      </c>
      <c r="B32" s="7" t="s">
        <v>25</v>
      </c>
      <c r="C32" s="6">
        <f>'ekim 3 hafta'!J32</f>
        <v>193</v>
      </c>
      <c r="D32" s="6">
        <v>515</v>
      </c>
      <c r="E32" s="6">
        <v>70</v>
      </c>
      <c r="F32" s="6"/>
      <c r="G32" s="6"/>
      <c r="H32" s="6"/>
      <c r="I32" s="6"/>
      <c r="J32" s="6">
        <f t="shared" si="0"/>
        <v>638</v>
      </c>
    </row>
    <row r="33" spans="1:10" x14ac:dyDescent="0.25">
      <c r="A33" s="6">
        <v>29</v>
      </c>
      <c r="B33" s="7" t="s">
        <v>26</v>
      </c>
      <c r="C33" s="6">
        <f>'ekim 3 hafta'!J33</f>
        <v>240</v>
      </c>
      <c r="D33" s="6"/>
      <c r="E33" s="6"/>
      <c r="F33" s="6"/>
      <c r="G33" s="6"/>
      <c r="H33" s="6"/>
      <c r="I33" s="6"/>
      <c r="J33" s="6">
        <f t="shared" si="0"/>
        <v>240</v>
      </c>
    </row>
    <row r="34" spans="1:10" x14ac:dyDescent="0.25">
      <c r="A34" s="6">
        <v>30</v>
      </c>
      <c r="B34" s="7" t="s">
        <v>27</v>
      </c>
      <c r="C34" s="6">
        <f>'ekim 3 hafta'!J34</f>
        <v>17</v>
      </c>
      <c r="D34" s="6"/>
      <c r="E34" s="6"/>
      <c r="F34" s="6"/>
      <c r="G34" s="6"/>
      <c r="H34" s="6"/>
      <c r="I34" s="6"/>
      <c r="J34" s="6">
        <f t="shared" si="0"/>
        <v>17</v>
      </c>
    </row>
    <row r="35" spans="1:10" x14ac:dyDescent="0.25">
      <c r="A35" s="6">
        <v>31</v>
      </c>
      <c r="B35" s="7" t="s">
        <v>28</v>
      </c>
      <c r="C35" s="6">
        <f>'ekim 3 hafta'!J35</f>
        <v>45</v>
      </c>
      <c r="D35" s="6"/>
      <c r="E35" s="6">
        <v>16</v>
      </c>
      <c r="F35" s="6"/>
      <c r="G35" s="6"/>
      <c r="H35" s="6"/>
      <c r="I35" s="6"/>
      <c r="J35" s="6">
        <f t="shared" si="0"/>
        <v>29</v>
      </c>
    </row>
    <row r="36" spans="1:10" x14ac:dyDescent="0.25">
      <c r="A36" s="6">
        <v>32</v>
      </c>
      <c r="B36" s="7" t="s">
        <v>29</v>
      </c>
      <c r="C36" s="6">
        <f>'ekim 3 hafta'!J36</f>
        <v>166</v>
      </c>
      <c r="D36" s="6"/>
      <c r="E36" s="6"/>
      <c r="F36" s="6"/>
      <c r="G36" s="6"/>
      <c r="H36" s="6"/>
      <c r="I36" s="6"/>
      <c r="J36" s="6">
        <f t="shared" si="0"/>
        <v>166</v>
      </c>
    </row>
    <row r="37" spans="1:10" x14ac:dyDescent="0.25">
      <c r="A37" s="6">
        <v>33</v>
      </c>
      <c r="B37" s="7" t="s">
        <v>30</v>
      </c>
      <c r="C37" s="6">
        <f>'ekim 3 hafta'!J37</f>
        <v>537</v>
      </c>
      <c r="D37" s="6"/>
      <c r="E37" s="6"/>
      <c r="F37" s="6"/>
      <c r="G37" s="6"/>
      <c r="H37" s="6"/>
      <c r="I37" s="6"/>
      <c r="J37" s="6">
        <f t="shared" si="0"/>
        <v>537</v>
      </c>
    </row>
    <row r="38" spans="1:10" x14ac:dyDescent="0.25">
      <c r="A38" s="6">
        <v>34</v>
      </c>
      <c r="B38" s="7" t="s">
        <v>65</v>
      </c>
      <c r="C38" s="6">
        <f>'ekim 3 hafta'!J38</f>
        <v>66</v>
      </c>
      <c r="D38" s="6"/>
      <c r="E38" s="6"/>
      <c r="F38" s="6"/>
      <c r="G38" s="6"/>
      <c r="H38" s="6"/>
      <c r="I38" s="6"/>
      <c r="J38" s="6">
        <f t="shared" si="0"/>
        <v>66</v>
      </c>
    </row>
    <row r="39" spans="1:10" x14ac:dyDescent="0.25">
      <c r="A39" s="6">
        <v>35</v>
      </c>
      <c r="B39" s="7" t="s">
        <v>31</v>
      </c>
      <c r="C39" s="6">
        <f>'ekim 3 hafta'!J39</f>
        <v>36</v>
      </c>
      <c r="D39" s="6"/>
      <c r="E39" s="6"/>
      <c r="F39" s="6"/>
      <c r="G39" s="6"/>
      <c r="H39" s="6"/>
      <c r="I39" s="6"/>
      <c r="J39" s="6">
        <f t="shared" si="0"/>
        <v>36</v>
      </c>
    </row>
    <row r="40" spans="1:10" x14ac:dyDescent="0.25">
      <c r="A40" s="6">
        <v>36</v>
      </c>
      <c r="B40" s="7" t="s">
        <v>32</v>
      </c>
      <c r="C40" s="6">
        <f>'ekim 3 hafta'!J40</f>
        <v>24</v>
      </c>
      <c r="D40" s="6"/>
      <c r="E40" s="6"/>
      <c r="F40" s="6"/>
      <c r="G40" s="6"/>
      <c r="H40" s="6"/>
      <c r="I40" s="6"/>
      <c r="J40" s="6">
        <f t="shared" si="0"/>
        <v>24</v>
      </c>
    </row>
    <row r="41" spans="1:10" x14ac:dyDescent="0.25">
      <c r="A41" s="6">
        <v>37</v>
      </c>
      <c r="B41" s="7" t="s">
        <v>33</v>
      </c>
      <c r="C41" s="6">
        <f>'ekim 3 hafta'!J41</f>
        <v>9</v>
      </c>
      <c r="D41" s="6"/>
      <c r="E41" s="6"/>
      <c r="F41" s="6"/>
      <c r="G41" s="6"/>
      <c r="H41" s="6"/>
      <c r="I41" s="6"/>
      <c r="J41" s="6">
        <f t="shared" si="0"/>
        <v>9</v>
      </c>
    </row>
    <row r="42" spans="1:10" x14ac:dyDescent="0.25">
      <c r="A42" s="6">
        <v>38</v>
      </c>
      <c r="B42" s="7" t="s">
        <v>34</v>
      </c>
      <c r="C42" s="6">
        <v>23</v>
      </c>
      <c r="D42" s="6">
        <v>35</v>
      </c>
      <c r="E42" s="6"/>
      <c r="F42" s="6"/>
      <c r="G42" s="6"/>
      <c r="H42" s="6"/>
      <c r="I42" s="6"/>
      <c r="J42" s="6">
        <f t="shared" si="0"/>
        <v>58</v>
      </c>
    </row>
    <row r="43" spans="1:10" x14ac:dyDescent="0.25">
      <c r="A43" s="6">
        <v>39</v>
      </c>
      <c r="B43" s="7" t="s">
        <v>35</v>
      </c>
      <c r="C43" s="6">
        <v>42</v>
      </c>
      <c r="D43" s="6"/>
      <c r="E43" s="6"/>
      <c r="F43" s="6"/>
      <c r="G43" s="6"/>
      <c r="H43" s="6"/>
      <c r="I43" s="6"/>
      <c r="J43" s="6">
        <f t="shared" si="0"/>
        <v>42</v>
      </c>
    </row>
    <row r="44" spans="1:10" x14ac:dyDescent="0.25">
      <c r="A44" s="6">
        <v>40</v>
      </c>
      <c r="B44" s="7" t="s">
        <v>44</v>
      </c>
      <c r="C44" s="6">
        <f>'ekim 3 hafta'!J44</f>
        <v>67</v>
      </c>
      <c r="D44" s="6"/>
      <c r="E44" s="6"/>
      <c r="F44" s="6"/>
      <c r="G44" s="6"/>
      <c r="H44" s="6"/>
      <c r="I44" s="6"/>
      <c r="J44" s="6">
        <f t="shared" si="0"/>
        <v>67</v>
      </c>
    </row>
    <row r="45" spans="1:10" x14ac:dyDescent="0.25">
      <c r="A45" s="6">
        <v>41</v>
      </c>
      <c r="B45" s="7" t="s">
        <v>60</v>
      </c>
      <c r="C45" s="6">
        <v>150</v>
      </c>
      <c r="D45" s="6"/>
      <c r="E45" s="6"/>
      <c r="F45" s="6"/>
      <c r="G45" s="6"/>
      <c r="H45" s="6"/>
      <c r="I45" s="6"/>
      <c r="J45" s="6">
        <f t="shared" si="0"/>
        <v>150</v>
      </c>
    </row>
    <row r="46" spans="1:10" x14ac:dyDescent="0.25">
      <c r="A46" s="6">
        <v>42</v>
      </c>
      <c r="B46" s="7" t="s">
        <v>36</v>
      </c>
      <c r="C46" s="6">
        <f>'ekim 3 hafta'!J46</f>
        <v>42</v>
      </c>
      <c r="D46" s="6"/>
      <c r="E46" s="6"/>
      <c r="F46" s="6"/>
      <c r="G46" s="6"/>
      <c r="H46" s="6"/>
      <c r="I46" s="6"/>
      <c r="J46" s="6">
        <f t="shared" si="0"/>
        <v>42</v>
      </c>
    </row>
    <row r="47" spans="1:10" x14ac:dyDescent="0.25">
      <c r="A47" s="6">
        <v>43</v>
      </c>
      <c r="B47" s="7" t="s">
        <v>37</v>
      </c>
      <c r="C47" s="6">
        <v>67</v>
      </c>
      <c r="D47" s="6"/>
      <c r="E47" s="6"/>
      <c r="F47" s="6"/>
      <c r="G47" s="6"/>
      <c r="H47" s="6"/>
      <c r="I47" s="6"/>
      <c r="J47" s="6">
        <f t="shared" si="0"/>
        <v>67</v>
      </c>
    </row>
    <row r="48" spans="1:10" x14ac:dyDescent="0.25">
      <c r="A48" s="6">
        <v>44</v>
      </c>
      <c r="B48" s="7" t="s">
        <v>38</v>
      </c>
      <c r="C48" s="6">
        <v>25</v>
      </c>
      <c r="D48" s="6"/>
      <c r="E48" s="6">
        <v>1</v>
      </c>
      <c r="F48" s="6"/>
      <c r="G48" s="6"/>
      <c r="H48" s="6"/>
      <c r="I48" s="6"/>
      <c r="J48" s="6">
        <f t="shared" si="0"/>
        <v>24</v>
      </c>
    </row>
    <row r="49" spans="1:10" x14ac:dyDescent="0.25">
      <c r="A49" s="6">
        <v>45</v>
      </c>
      <c r="B49" s="7" t="s">
        <v>62</v>
      </c>
      <c r="C49" s="6">
        <f>'ekim 3 hafta'!J49</f>
        <v>29</v>
      </c>
      <c r="D49" s="6"/>
      <c r="E49" s="6"/>
      <c r="F49" s="6"/>
      <c r="G49" s="6"/>
      <c r="H49" s="6"/>
      <c r="I49" s="6"/>
      <c r="J49" s="6">
        <f t="shared" si="0"/>
        <v>29</v>
      </c>
    </row>
    <row r="50" spans="1:10" x14ac:dyDescent="0.25">
      <c r="A50" s="6">
        <v>46</v>
      </c>
      <c r="B50" s="7" t="s">
        <v>39</v>
      </c>
      <c r="C50" s="6">
        <f>'ekim 3 hafta'!J50</f>
        <v>38</v>
      </c>
      <c r="D50" s="6"/>
      <c r="E50" s="6"/>
      <c r="F50" s="6"/>
      <c r="G50" s="6"/>
      <c r="H50" s="6"/>
      <c r="I50" s="6"/>
      <c r="J50" s="6">
        <f t="shared" si="0"/>
        <v>38</v>
      </c>
    </row>
    <row r="51" spans="1:10" x14ac:dyDescent="0.25">
      <c r="A51" s="6">
        <v>47</v>
      </c>
      <c r="B51" s="7" t="s">
        <v>40</v>
      </c>
      <c r="C51" s="6">
        <f>'ekim 3 hafta'!J51</f>
        <v>57</v>
      </c>
      <c r="D51" s="6"/>
      <c r="E51" s="6">
        <v>6</v>
      </c>
      <c r="F51" s="6"/>
      <c r="G51" s="6"/>
      <c r="H51" s="6">
        <v>2</v>
      </c>
      <c r="I51" s="6">
        <v>1</v>
      </c>
      <c r="J51" s="6">
        <f t="shared" si="0"/>
        <v>48</v>
      </c>
    </row>
    <row r="52" spans="1:10" x14ac:dyDescent="0.25">
      <c r="A52" s="6">
        <v>48</v>
      </c>
      <c r="B52" s="7" t="s">
        <v>41</v>
      </c>
      <c r="C52" s="6">
        <f>'ekim 3 hafta'!J52</f>
        <v>239</v>
      </c>
      <c r="D52" s="6"/>
      <c r="E52" s="6">
        <v>6</v>
      </c>
      <c r="F52" s="6"/>
      <c r="G52" s="6"/>
      <c r="H52" s="6"/>
      <c r="I52" s="6"/>
      <c r="J52" s="6">
        <f t="shared" si="0"/>
        <v>233</v>
      </c>
    </row>
    <row r="53" spans="1:10" x14ac:dyDescent="0.25">
      <c r="A53" s="6">
        <v>49</v>
      </c>
      <c r="B53" s="7" t="s">
        <v>43</v>
      </c>
      <c r="C53" s="6">
        <f>'ekim 3 hafta'!J53</f>
        <v>76</v>
      </c>
      <c r="D53" s="6"/>
      <c r="E53" s="6"/>
      <c r="F53" s="6"/>
      <c r="G53" s="6"/>
      <c r="H53" s="6"/>
      <c r="I53" s="6"/>
      <c r="J53" s="6">
        <f t="shared" si="0"/>
        <v>76</v>
      </c>
    </row>
    <row r="54" spans="1:10" x14ac:dyDescent="0.25">
      <c r="A54" s="6">
        <v>50</v>
      </c>
      <c r="B54" s="7" t="s">
        <v>42</v>
      </c>
      <c r="C54" s="6">
        <f>'ekim 3 hafta'!J54</f>
        <v>27</v>
      </c>
      <c r="D54" s="6"/>
      <c r="E54" s="6"/>
      <c r="F54" s="6"/>
      <c r="G54" s="6"/>
      <c r="H54" s="6">
        <v>1</v>
      </c>
      <c r="I54" s="6"/>
      <c r="J54" s="6">
        <f t="shared" si="0"/>
        <v>26</v>
      </c>
    </row>
    <row r="55" spans="1:10" x14ac:dyDescent="0.25">
      <c r="A55" s="6">
        <v>51</v>
      </c>
      <c r="B55" s="7" t="s">
        <v>45</v>
      </c>
      <c r="C55" s="6">
        <f>'ekim 3 hafta'!J55</f>
        <v>43</v>
      </c>
      <c r="D55" s="6"/>
      <c r="E55" s="6"/>
      <c r="F55" s="6"/>
      <c r="G55" s="6"/>
      <c r="H55" s="6"/>
      <c r="I55" s="6"/>
      <c r="J55" s="6">
        <f t="shared" si="0"/>
        <v>43</v>
      </c>
    </row>
    <row r="56" spans="1:10" x14ac:dyDescent="0.25">
      <c r="A56" s="6">
        <v>52</v>
      </c>
      <c r="B56" s="7" t="s">
        <v>46</v>
      </c>
      <c r="C56" s="6">
        <f>'ekim 3 hafta'!J56</f>
        <v>99</v>
      </c>
      <c r="D56" s="6"/>
      <c r="E56" s="6"/>
      <c r="F56" s="6"/>
      <c r="G56" s="6"/>
      <c r="H56" s="6"/>
      <c r="I56" s="6"/>
      <c r="J56" s="6">
        <f t="shared" si="0"/>
        <v>99</v>
      </c>
    </row>
    <row r="57" spans="1:10" x14ac:dyDescent="0.25">
      <c r="A57" s="6">
        <v>53</v>
      </c>
      <c r="B57" s="7" t="s">
        <v>47</v>
      </c>
      <c r="C57" s="6">
        <f>'ekim 3 hafta'!J57</f>
        <v>230</v>
      </c>
      <c r="D57" s="6"/>
      <c r="E57" s="6"/>
      <c r="F57" s="6"/>
      <c r="G57" s="6"/>
      <c r="H57" s="6"/>
      <c r="I57" s="6"/>
      <c r="J57" s="6">
        <f t="shared" si="0"/>
        <v>230</v>
      </c>
    </row>
    <row r="58" spans="1:10" x14ac:dyDescent="0.25">
      <c r="A58" s="6">
        <v>54</v>
      </c>
      <c r="B58" s="7" t="s">
        <v>50</v>
      </c>
      <c r="C58" s="6">
        <f>'ekim 3 hafta'!J58</f>
        <v>76</v>
      </c>
      <c r="D58" s="6"/>
      <c r="E58" s="6"/>
      <c r="F58" s="6"/>
      <c r="G58" s="6"/>
      <c r="H58" s="6"/>
      <c r="I58" s="6"/>
      <c r="J58" s="6">
        <f t="shared" si="0"/>
        <v>76</v>
      </c>
    </row>
    <row r="59" spans="1:10" x14ac:dyDescent="0.25">
      <c r="A59" s="6">
        <v>55</v>
      </c>
      <c r="B59" s="7" t="s">
        <v>55</v>
      </c>
      <c r="C59" s="6">
        <f>'ekim 3 hafta'!J59</f>
        <v>22</v>
      </c>
      <c r="D59" s="6"/>
      <c r="E59" s="6"/>
      <c r="F59" s="6"/>
      <c r="G59" s="6"/>
      <c r="H59" s="6"/>
      <c r="I59" s="6"/>
      <c r="J59" s="6">
        <f t="shared" si="0"/>
        <v>22</v>
      </c>
    </row>
    <row r="60" spans="1:10" x14ac:dyDescent="0.25">
      <c r="A60" s="6">
        <v>56</v>
      </c>
      <c r="B60" s="7" t="s">
        <v>56</v>
      </c>
      <c r="C60" s="6">
        <f>'ekim 3 hafta'!J60</f>
        <v>3</v>
      </c>
      <c r="D60" s="6"/>
      <c r="E60" s="6"/>
      <c r="F60" s="6"/>
      <c r="G60" s="6"/>
      <c r="H60" s="6"/>
      <c r="I60" s="6"/>
      <c r="J60" s="6">
        <f t="shared" si="0"/>
        <v>3</v>
      </c>
    </row>
    <row r="61" spans="1:10" x14ac:dyDescent="0.25">
      <c r="A61" s="6">
        <v>57</v>
      </c>
      <c r="B61" s="7" t="s">
        <v>57</v>
      </c>
      <c r="C61" s="6">
        <f>'ekim 3 hafta'!J61</f>
        <v>3</v>
      </c>
      <c r="D61" s="6"/>
      <c r="E61" s="6"/>
      <c r="F61" s="6"/>
      <c r="G61" s="6"/>
      <c r="H61" s="6"/>
      <c r="I61" s="6">
        <v>1</v>
      </c>
      <c r="J61" s="6">
        <f t="shared" si="0"/>
        <v>2</v>
      </c>
    </row>
    <row r="62" spans="1:10" x14ac:dyDescent="0.25">
      <c r="A62" s="6">
        <v>58</v>
      </c>
      <c r="B62" s="7" t="s">
        <v>58</v>
      </c>
      <c r="C62" s="6">
        <f>'ekim 3 hafta'!J62</f>
        <v>3</v>
      </c>
      <c r="D62" s="6"/>
      <c r="E62" s="6"/>
      <c r="F62" s="6"/>
      <c r="G62" s="6"/>
      <c r="H62" s="6"/>
      <c r="I62" s="6"/>
      <c r="J62" s="6">
        <f t="shared" si="0"/>
        <v>3</v>
      </c>
    </row>
    <row r="63" spans="1:10" x14ac:dyDescent="0.25">
      <c r="A63" s="6">
        <v>59</v>
      </c>
      <c r="B63" s="8" t="s">
        <v>63</v>
      </c>
      <c r="C63" s="6">
        <f>'ekim 3 hafta'!J63</f>
        <v>50</v>
      </c>
      <c r="D63" s="6"/>
      <c r="E63" s="6">
        <v>3</v>
      </c>
      <c r="F63" s="6"/>
      <c r="G63" s="6"/>
      <c r="H63" s="6"/>
      <c r="I63" s="6"/>
      <c r="J63" s="6">
        <f t="shared" si="0"/>
        <v>47</v>
      </c>
    </row>
    <row r="64" spans="1:10" x14ac:dyDescent="0.25">
      <c r="A64" s="6">
        <v>60</v>
      </c>
      <c r="B64" s="8" t="s">
        <v>64</v>
      </c>
      <c r="C64" s="6">
        <f>'ekim 3 hafta'!J64</f>
        <v>49</v>
      </c>
      <c r="D64" s="6"/>
      <c r="E64" s="6"/>
      <c r="F64" s="6"/>
      <c r="G64" s="6"/>
      <c r="H64" s="6"/>
      <c r="I64" s="6"/>
      <c r="J64" s="6">
        <f t="shared" si="0"/>
        <v>49</v>
      </c>
    </row>
    <row r="65" spans="1:10" x14ac:dyDescent="0.25">
      <c r="A65" s="6">
        <v>61</v>
      </c>
      <c r="B65" s="9" t="s">
        <v>67</v>
      </c>
      <c r="C65" s="6">
        <v>170</v>
      </c>
      <c r="D65" s="6"/>
      <c r="E65" s="6">
        <v>8</v>
      </c>
      <c r="F65" s="6"/>
      <c r="G65" s="6">
        <v>15</v>
      </c>
      <c r="H65" s="6"/>
      <c r="I65" s="6"/>
      <c r="J65" s="6">
        <f t="shared" si="0"/>
        <v>147</v>
      </c>
    </row>
    <row r="66" spans="1:10" x14ac:dyDescent="0.25">
      <c r="A66" s="6">
        <v>62</v>
      </c>
      <c r="B66" s="7" t="s">
        <v>68</v>
      </c>
      <c r="C66" s="6">
        <v>148</v>
      </c>
      <c r="D66" s="6"/>
      <c r="E66" s="6">
        <v>4</v>
      </c>
      <c r="F66" s="6"/>
      <c r="G66" s="6"/>
      <c r="H66" s="6"/>
      <c r="I66" s="6">
        <v>2</v>
      </c>
      <c r="J66" s="6">
        <f t="shared" si="0"/>
        <v>142</v>
      </c>
    </row>
    <row r="67" spans="1:10" x14ac:dyDescent="0.25">
      <c r="A67" s="6">
        <v>63</v>
      </c>
      <c r="B67" s="8" t="s">
        <v>74</v>
      </c>
      <c r="C67" s="7"/>
      <c r="D67" s="6">
        <v>8</v>
      </c>
      <c r="E67" s="7"/>
      <c r="F67" s="7"/>
      <c r="G67" s="7"/>
      <c r="H67" s="7"/>
      <c r="I67" s="7"/>
      <c r="J67" s="6">
        <f t="shared" si="0"/>
        <v>8</v>
      </c>
    </row>
    <row r="68" spans="1:10" x14ac:dyDescent="0.25">
      <c r="A68" s="6">
        <v>64</v>
      </c>
      <c r="B68" s="8" t="s">
        <v>75</v>
      </c>
      <c r="C68" s="7"/>
      <c r="D68" s="6">
        <v>25</v>
      </c>
      <c r="E68" s="7"/>
      <c r="F68" s="7"/>
      <c r="G68" s="7"/>
      <c r="H68" s="7"/>
      <c r="I68" s="7"/>
      <c r="J68" s="6">
        <f t="shared" ref="J68:J74" si="1">+C68-E68-F68-G68-H68-I68+D68</f>
        <v>25</v>
      </c>
    </row>
    <row r="69" spans="1:10" x14ac:dyDescent="0.25">
      <c r="A69" s="6">
        <v>65</v>
      </c>
      <c r="B69" s="8" t="s">
        <v>76</v>
      </c>
      <c r="C69" s="7"/>
      <c r="D69" s="6">
        <v>15</v>
      </c>
      <c r="E69" s="7"/>
      <c r="F69" s="7"/>
      <c r="G69" s="7"/>
      <c r="H69" s="7"/>
      <c r="I69" s="7">
        <v>4</v>
      </c>
      <c r="J69" s="6">
        <f t="shared" si="1"/>
        <v>11</v>
      </c>
    </row>
    <row r="70" spans="1:10" x14ac:dyDescent="0.25">
      <c r="A70" s="6">
        <v>66</v>
      </c>
      <c r="B70" s="8" t="s">
        <v>77</v>
      </c>
      <c r="C70" s="7"/>
      <c r="D70" s="6">
        <v>25</v>
      </c>
      <c r="E70" s="7"/>
      <c r="F70" s="7"/>
      <c r="G70" s="7"/>
      <c r="H70" s="7"/>
      <c r="I70" s="7"/>
      <c r="J70" s="6">
        <f t="shared" si="1"/>
        <v>25</v>
      </c>
    </row>
    <row r="71" spans="1:10" x14ac:dyDescent="0.25">
      <c r="A71" s="6">
        <v>67</v>
      </c>
      <c r="B71" s="8" t="s">
        <v>78</v>
      </c>
      <c r="C71" s="7"/>
      <c r="D71" s="6">
        <v>10</v>
      </c>
      <c r="E71" s="7"/>
      <c r="F71" s="7"/>
      <c r="G71" s="7"/>
      <c r="H71" s="7"/>
      <c r="I71" s="7">
        <v>2</v>
      </c>
      <c r="J71" s="6">
        <f t="shared" si="1"/>
        <v>8</v>
      </c>
    </row>
    <row r="72" spans="1:10" x14ac:dyDescent="0.25">
      <c r="A72" s="6">
        <v>68</v>
      </c>
      <c r="B72" s="8" t="s">
        <v>79</v>
      </c>
      <c r="C72" s="7"/>
      <c r="D72" s="6">
        <v>25</v>
      </c>
      <c r="E72" s="7"/>
      <c r="F72" s="7"/>
      <c r="G72" s="7"/>
      <c r="H72" s="7"/>
      <c r="I72" s="7"/>
      <c r="J72" s="6">
        <f t="shared" si="1"/>
        <v>25</v>
      </c>
    </row>
    <row r="73" spans="1:10" x14ac:dyDescent="0.25">
      <c r="A73" s="6">
        <v>69</v>
      </c>
      <c r="B73" s="8" t="s">
        <v>80</v>
      </c>
      <c r="C73" s="6">
        <v>25</v>
      </c>
      <c r="D73" s="7"/>
      <c r="E73" s="7"/>
      <c r="F73" s="7"/>
      <c r="G73" s="7"/>
      <c r="H73" s="7">
        <v>1</v>
      </c>
      <c r="I73" s="7"/>
      <c r="J73" s="6">
        <f t="shared" si="1"/>
        <v>24</v>
      </c>
    </row>
    <row r="74" spans="1:10" x14ac:dyDescent="0.25">
      <c r="A74" s="6">
        <v>70</v>
      </c>
      <c r="B74" s="8" t="s">
        <v>81</v>
      </c>
      <c r="C74" s="6">
        <v>8</v>
      </c>
      <c r="D74" s="12">
        <v>30</v>
      </c>
      <c r="E74" s="7"/>
      <c r="F74" s="7"/>
      <c r="G74" s="7"/>
      <c r="H74" s="7"/>
      <c r="I74" s="7"/>
      <c r="J74" s="6">
        <f t="shared" si="1"/>
        <v>38</v>
      </c>
    </row>
  </sheetData>
  <pageMargins left="0.7" right="0.7" top="0.75" bottom="0.75" header="0.3" footer="0.3"/>
  <pageSetup paperSize="9" scale="8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4"/>
  <sheetViews>
    <sheetView topLeftCell="A7" zoomScaleNormal="100" workbookViewId="0">
      <selection activeCell="C29" sqref="C29:C31"/>
    </sheetView>
  </sheetViews>
  <sheetFormatPr defaultRowHeight="15" x14ac:dyDescent="0.25"/>
  <cols>
    <col min="1" max="1" width="6.5703125" customWidth="1"/>
    <col min="2" max="2" width="25.855468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</cols>
  <sheetData>
    <row r="1" spans="1:10" x14ac:dyDescent="0.25">
      <c r="A1" s="2" t="s">
        <v>0</v>
      </c>
      <c r="B1" s="2"/>
      <c r="J1" s="1">
        <v>44837</v>
      </c>
    </row>
    <row r="2" spans="1:10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44865</v>
      </c>
      <c r="F2" s="4">
        <v>44866</v>
      </c>
      <c r="G2" s="4">
        <v>44867</v>
      </c>
      <c r="H2" s="4">
        <v>44868</v>
      </c>
      <c r="I2" s="4">
        <v>44869</v>
      </c>
      <c r="J2" s="5" t="s">
        <v>3</v>
      </c>
    </row>
    <row r="3" spans="1:10" x14ac:dyDescent="0.25">
      <c r="A3" s="6">
        <v>1</v>
      </c>
      <c r="B3" s="7" t="s">
        <v>4</v>
      </c>
      <c r="C3" s="6">
        <f>'ekim 4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</row>
    <row r="4" spans="1:10" x14ac:dyDescent="0.25">
      <c r="A4" s="6">
        <v>2</v>
      </c>
      <c r="B4" s="7" t="s">
        <v>5</v>
      </c>
      <c r="C4" s="6">
        <f>'ekim 4 hafta '!J4</f>
        <v>3</v>
      </c>
      <c r="D4" s="6"/>
      <c r="E4" s="6"/>
      <c r="F4" s="6"/>
      <c r="G4" s="6"/>
      <c r="H4" s="6"/>
      <c r="I4" s="6"/>
      <c r="J4" s="6">
        <f t="shared" ref="J4:J67" si="0">+C4-E4-F4-G4-H4-I4+D4</f>
        <v>3</v>
      </c>
    </row>
    <row r="5" spans="1:10" x14ac:dyDescent="0.25">
      <c r="A5" s="6">
        <v>3</v>
      </c>
      <c r="B5" s="7" t="s">
        <v>69</v>
      </c>
      <c r="C5" s="6">
        <f>'ekim 4 hafta '!J5</f>
        <v>105</v>
      </c>
      <c r="D5" s="6"/>
      <c r="E5" s="6"/>
      <c r="F5" s="6"/>
      <c r="G5" s="6"/>
      <c r="H5" s="6"/>
      <c r="I5" s="6"/>
      <c r="J5" s="6">
        <f t="shared" si="0"/>
        <v>105</v>
      </c>
    </row>
    <row r="6" spans="1:10" x14ac:dyDescent="0.25">
      <c r="A6" s="6">
        <v>4</v>
      </c>
      <c r="B6" s="7" t="s">
        <v>6</v>
      </c>
      <c r="C6" s="6">
        <f>'ekim 4 hafta '!J6</f>
        <v>55</v>
      </c>
      <c r="D6" s="6"/>
      <c r="E6" s="6"/>
      <c r="F6" s="6"/>
      <c r="G6" s="6"/>
      <c r="H6" s="6"/>
      <c r="I6" s="6"/>
      <c r="J6" s="6">
        <f t="shared" si="0"/>
        <v>55</v>
      </c>
    </row>
    <row r="7" spans="1:10" x14ac:dyDescent="0.25">
      <c r="A7" s="6">
        <v>5</v>
      </c>
      <c r="B7" s="7" t="s">
        <v>9</v>
      </c>
      <c r="C7" s="6">
        <f>'ekim 4 hafta '!J7</f>
        <v>27</v>
      </c>
      <c r="D7" s="6"/>
      <c r="E7" s="6"/>
      <c r="F7" s="6"/>
      <c r="G7" s="6"/>
      <c r="H7" s="6"/>
      <c r="I7" s="6"/>
      <c r="J7" s="6">
        <f t="shared" si="0"/>
        <v>27</v>
      </c>
    </row>
    <row r="8" spans="1:10" x14ac:dyDescent="0.25">
      <c r="A8" s="6">
        <v>6</v>
      </c>
      <c r="B8" s="7" t="s">
        <v>7</v>
      </c>
      <c r="C8" s="6">
        <f>'ekim 4 hafta '!J8</f>
        <v>21</v>
      </c>
      <c r="D8" s="6"/>
      <c r="E8" s="6"/>
      <c r="F8" s="6"/>
      <c r="G8" s="6"/>
      <c r="H8" s="6"/>
      <c r="I8" s="6"/>
      <c r="J8" s="6">
        <f t="shared" si="0"/>
        <v>21</v>
      </c>
    </row>
    <row r="9" spans="1:10" x14ac:dyDescent="0.25">
      <c r="A9" s="6">
        <v>6</v>
      </c>
      <c r="B9" s="7" t="s">
        <v>8</v>
      </c>
      <c r="C9" s="6">
        <f>'ekim 4 hafta '!J9</f>
        <v>16</v>
      </c>
      <c r="D9" s="6"/>
      <c r="E9" s="6"/>
      <c r="F9" s="6"/>
      <c r="G9" s="6"/>
      <c r="H9" s="6"/>
      <c r="I9" s="6"/>
      <c r="J9" s="6">
        <f t="shared" si="0"/>
        <v>16</v>
      </c>
    </row>
    <row r="10" spans="1:10" x14ac:dyDescent="0.25">
      <c r="A10" s="6">
        <v>7</v>
      </c>
      <c r="B10" s="7" t="s">
        <v>66</v>
      </c>
      <c r="C10" s="6">
        <f>'ekim 4 hafta '!J10</f>
        <v>83</v>
      </c>
      <c r="D10" s="6"/>
      <c r="E10" s="6"/>
      <c r="F10" s="6"/>
      <c r="G10" s="6"/>
      <c r="H10" s="6"/>
      <c r="I10" s="6"/>
      <c r="J10" s="6">
        <f t="shared" si="0"/>
        <v>83</v>
      </c>
    </row>
    <row r="11" spans="1:10" x14ac:dyDescent="0.25">
      <c r="A11" s="6">
        <v>8</v>
      </c>
      <c r="B11" s="7" t="s">
        <v>10</v>
      </c>
      <c r="C11" s="6">
        <f>'ekim 4 hafta '!J11</f>
        <v>74</v>
      </c>
      <c r="D11" s="6"/>
      <c r="E11" s="6"/>
      <c r="F11" s="6">
        <v>10</v>
      </c>
      <c r="G11" s="6"/>
      <c r="H11" s="6"/>
      <c r="I11" s="6"/>
      <c r="J11" s="6">
        <f t="shared" si="0"/>
        <v>64</v>
      </c>
    </row>
    <row r="12" spans="1:10" x14ac:dyDescent="0.25">
      <c r="A12" s="6">
        <v>9</v>
      </c>
      <c r="B12" s="7" t="s">
        <v>11</v>
      </c>
      <c r="C12" s="6">
        <f>'ekim 4 hafta '!J12</f>
        <v>583</v>
      </c>
      <c r="D12" s="6"/>
      <c r="E12" s="6"/>
      <c r="F12" s="6">
        <v>25</v>
      </c>
      <c r="G12" s="6"/>
      <c r="H12" s="6"/>
      <c r="I12" s="6"/>
      <c r="J12" s="6">
        <f t="shared" si="0"/>
        <v>558</v>
      </c>
    </row>
    <row r="13" spans="1:10" x14ac:dyDescent="0.25">
      <c r="A13" s="6">
        <v>10</v>
      </c>
      <c r="B13" s="7" t="s">
        <v>12</v>
      </c>
      <c r="C13" s="6">
        <f>'ekim 4 hafta '!J13</f>
        <v>78</v>
      </c>
      <c r="D13" s="6"/>
      <c r="E13" s="6"/>
      <c r="F13" s="6"/>
      <c r="G13" s="6"/>
      <c r="H13" s="6"/>
      <c r="I13" s="6"/>
      <c r="J13" s="6">
        <f t="shared" si="0"/>
        <v>78</v>
      </c>
    </row>
    <row r="14" spans="1:10" x14ac:dyDescent="0.25">
      <c r="A14" s="6">
        <v>11</v>
      </c>
      <c r="B14" s="7" t="s">
        <v>13</v>
      </c>
      <c r="C14" s="6">
        <f>'ekim 4 hafta '!J14</f>
        <v>45</v>
      </c>
      <c r="D14" s="6"/>
      <c r="E14" s="6"/>
      <c r="F14" s="6"/>
      <c r="G14" s="6"/>
      <c r="H14" s="6">
        <v>3</v>
      </c>
      <c r="I14" s="6"/>
      <c r="J14" s="6">
        <f t="shared" si="0"/>
        <v>42</v>
      </c>
    </row>
    <row r="15" spans="1:10" x14ac:dyDescent="0.25">
      <c r="A15" s="6">
        <v>12</v>
      </c>
      <c r="B15" s="7" t="s">
        <v>14</v>
      </c>
      <c r="C15" s="6">
        <f>'ekim 4 hafta '!J15</f>
        <v>85</v>
      </c>
      <c r="D15" s="6"/>
      <c r="E15" s="6"/>
      <c r="F15" s="6"/>
      <c r="G15" s="6"/>
      <c r="H15" s="6"/>
      <c r="I15" s="6"/>
      <c r="J15" s="6">
        <f t="shared" si="0"/>
        <v>85</v>
      </c>
    </row>
    <row r="16" spans="1:10" x14ac:dyDescent="0.25">
      <c r="A16" s="6">
        <v>13</v>
      </c>
      <c r="B16" s="7" t="s">
        <v>15</v>
      </c>
      <c r="C16" s="6">
        <f>'ekim 4 hafta '!J16</f>
        <v>28</v>
      </c>
      <c r="D16" s="6"/>
      <c r="E16" s="6"/>
      <c r="F16" s="6"/>
      <c r="G16" s="6"/>
      <c r="H16" s="6"/>
      <c r="I16" s="6"/>
      <c r="J16" s="6">
        <f t="shared" si="0"/>
        <v>28</v>
      </c>
    </row>
    <row r="17" spans="1:10" x14ac:dyDescent="0.25">
      <c r="A17" s="6">
        <v>14</v>
      </c>
      <c r="B17" s="7" t="s">
        <v>16</v>
      </c>
      <c r="C17" s="6">
        <f>'ekim 4 hafta '!J17</f>
        <v>238</v>
      </c>
      <c r="D17" s="6"/>
      <c r="E17" s="6"/>
      <c r="F17" s="6">
        <v>15</v>
      </c>
      <c r="G17" s="6"/>
      <c r="H17" s="6">
        <v>5</v>
      </c>
      <c r="I17" s="6"/>
      <c r="J17" s="6">
        <f t="shared" si="0"/>
        <v>218</v>
      </c>
    </row>
    <row r="18" spans="1:10" x14ac:dyDescent="0.25">
      <c r="A18" s="6">
        <v>15</v>
      </c>
      <c r="B18" s="7" t="s">
        <v>17</v>
      </c>
      <c r="C18" s="6">
        <f>'ekim 4 hafta '!J18</f>
        <v>120</v>
      </c>
      <c r="D18" s="6"/>
      <c r="E18" s="6"/>
      <c r="F18" s="6">
        <v>25</v>
      </c>
      <c r="G18" s="6"/>
      <c r="H18" s="6"/>
      <c r="I18" s="6"/>
      <c r="J18" s="6">
        <f t="shared" si="0"/>
        <v>95</v>
      </c>
    </row>
    <row r="19" spans="1:10" x14ac:dyDescent="0.25">
      <c r="A19" s="6">
        <v>16</v>
      </c>
      <c r="B19" s="7" t="s">
        <v>18</v>
      </c>
      <c r="C19" s="6">
        <f>'ekim 4 hafta '!J19</f>
        <v>118</v>
      </c>
      <c r="D19" s="6"/>
      <c r="E19" s="6"/>
      <c r="F19" s="6"/>
      <c r="G19" s="6"/>
      <c r="H19" s="6">
        <v>10</v>
      </c>
      <c r="I19" s="6"/>
      <c r="J19" s="6">
        <f t="shared" si="0"/>
        <v>108</v>
      </c>
    </row>
    <row r="20" spans="1:10" x14ac:dyDescent="0.25">
      <c r="A20" s="6">
        <v>17</v>
      </c>
      <c r="B20" s="7" t="s">
        <v>19</v>
      </c>
      <c r="C20" s="6">
        <f>'ekim 4 hafta '!J20</f>
        <v>73</v>
      </c>
      <c r="D20" s="6"/>
      <c r="E20" s="6"/>
      <c r="F20" s="6"/>
      <c r="G20" s="6"/>
      <c r="H20" s="6">
        <v>6</v>
      </c>
      <c r="I20" s="6"/>
      <c r="J20" s="6">
        <f t="shared" si="0"/>
        <v>67</v>
      </c>
    </row>
    <row r="21" spans="1:10" x14ac:dyDescent="0.25">
      <c r="A21" s="6">
        <v>18</v>
      </c>
      <c r="B21" s="7" t="s">
        <v>20</v>
      </c>
      <c r="C21" s="6">
        <f>'ekim 4 hafta '!J21</f>
        <v>0</v>
      </c>
      <c r="D21" s="6"/>
      <c r="E21" s="6"/>
      <c r="F21" s="6"/>
      <c r="G21" s="6"/>
      <c r="H21" s="6"/>
      <c r="I21" s="6"/>
      <c r="J21" s="6">
        <f t="shared" si="0"/>
        <v>0</v>
      </c>
    </row>
    <row r="22" spans="1:10" x14ac:dyDescent="0.25">
      <c r="A22" s="6">
        <v>19</v>
      </c>
      <c r="B22" s="7" t="s">
        <v>54</v>
      </c>
      <c r="C22" s="6">
        <f>'ekim 4 hafta '!J22</f>
        <v>1</v>
      </c>
      <c r="D22" s="6"/>
      <c r="E22" s="6"/>
      <c r="F22" s="6"/>
      <c r="G22" s="6"/>
      <c r="H22" s="6"/>
      <c r="I22" s="6"/>
      <c r="J22" s="6">
        <f t="shared" si="0"/>
        <v>1</v>
      </c>
    </row>
    <row r="23" spans="1:10" x14ac:dyDescent="0.25">
      <c r="A23" s="6">
        <v>20</v>
      </c>
      <c r="B23" s="7" t="s">
        <v>59</v>
      </c>
      <c r="C23" s="6">
        <f>'ekim 4 hafta '!J23</f>
        <v>130</v>
      </c>
      <c r="D23" s="6"/>
      <c r="E23" s="6"/>
      <c r="F23" s="6"/>
      <c r="G23" s="6"/>
      <c r="H23" s="6"/>
      <c r="I23" s="6"/>
      <c r="J23" s="6">
        <f t="shared" si="0"/>
        <v>130</v>
      </c>
    </row>
    <row r="24" spans="1:10" x14ac:dyDescent="0.25">
      <c r="A24" s="6">
        <v>21</v>
      </c>
      <c r="B24" s="7" t="s">
        <v>21</v>
      </c>
      <c r="C24" s="6">
        <f>'ekim 4 hafta '!J24</f>
        <v>38</v>
      </c>
      <c r="D24" s="6"/>
      <c r="E24" s="6"/>
      <c r="F24" s="6"/>
      <c r="G24" s="6"/>
      <c r="H24" s="6"/>
      <c r="I24" s="6"/>
      <c r="J24" s="6">
        <f t="shared" si="0"/>
        <v>38</v>
      </c>
    </row>
    <row r="25" spans="1:10" x14ac:dyDescent="0.25">
      <c r="A25" s="6">
        <v>22</v>
      </c>
      <c r="B25" s="7" t="s">
        <v>22</v>
      </c>
      <c r="C25" s="6">
        <f>'ekim 4 hafta '!J25</f>
        <v>7</v>
      </c>
      <c r="D25" s="6"/>
      <c r="E25" s="6"/>
      <c r="F25" s="6"/>
      <c r="G25" s="6"/>
      <c r="H25" s="6"/>
      <c r="I25" s="6"/>
      <c r="J25" s="6">
        <f t="shared" si="0"/>
        <v>7</v>
      </c>
    </row>
    <row r="26" spans="1:10" x14ac:dyDescent="0.25">
      <c r="A26" s="6">
        <v>23</v>
      </c>
      <c r="B26" s="7" t="s">
        <v>53</v>
      </c>
      <c r="C26" s="6">
        <f>'ekim 4 hafta '!J26</f>
        <v>223</v>
      </c>
      <c r="D26" s="6"/>
      <c r="E26" s="6"/>
      <c r="F26" s="6"/>
      <c r="G26" s="6"/>
      <c r="H26" s="6"/>
      <c r="I26" s="6"/>
      <c r="J26" s="6">
        <f t="shared" si="0"/>
        <v>223</v>
      </c>
    </row>
    <row r="27" spans="1:10" x14ac:dyDescent="0.25">
      <c r="A27" s="6">
        <v>24</v>
      </c>
      <c r="B27" s="7" t="s">
        <v>23</v>
      </c>
      <c r="C27" s="6">
        <f>'ekim 4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</row>
    <row r="28" spans="1:10" x14ac:dyDescent="0.25">
      <c r="A28" s="6">
        <v>25</v>
      </c>
      <c r="B28" s="7" t="s">
        <v>24</v>
      </c>
      <c r="C28" s="6">
        <f>'ekim 4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</row>
    <row r="29" spans="1:10" x14ac:dyDescent="0.25">
      <c r="A29" s="6">
        <v>26</v>
      </c>
      <c r="B29" s="7" t="s">
        <v>48</v>
      </c>
      <c r="C29" s="6">
        <f>'ekim 4 hafta '!J29</f>
        <v>13</v>
      </c>
      <c r="D29" s="6"/>
      <c r="E29" s="6"/>
      <c r="F29" s="6"/>
      <c r="G29" s="6"/>
      <c r="H29" s="6"/>
      <c r="I29" s="6"/>
      <c r="J29" s="6">
        <f t="shared" si="0"/>
        <v>13</v>
      </c>
    </row>
    <row r="30" spans="1:10" x14ac:dyDescent="0.25">
      <c r="A30" s="6">
        <v>26</v>
      </c>
      <c r="B30" s="7" t="s">
        <v>49</v>
      </c>
      <c r="C30" s="6">
        <f>'ekim 4 hafta '!J30</f>
        <v>60</v>
      </c>
      <c r="D30" s="6"/>
      <c r="E30" s="6"/>
      <c r="F30" s="6"/>
      <c r="G30" s="6"/>
      <c r="H30" s="6"/>
      <c r="I30" s="6"/>
      <c r="J30" s="6">
        <f t="shared" si="0"/>
        <v>60</v>
      </c>
    </row>
    <row r="31" spans="1:10" x14ac:dyDescent="0.25">
      <c r="A31" s="6">
        <v>27</v>
      </c>
      <c r="B31" s="7" t="s">
        <v>61</v>
      </c>
      <c r="C31" s="6">
        <f>'ekim 4 hafta '!J31</f>
        <v>78</v>
      </c>
      <c r="D31" s="6"/>
      <c r="E31" s="6"/>
      <c r="F31" s="6"/>
      <c r="G31" s="6"/>
      <c r="H31" s="6"/>
      <c r="I31" s="6"/>
      <c r="J31" s="6">
        <f t="shared" si="0"/>
        <v>78</v>
      </c>
    </row>
    <row r="32" spans="1:10" x14ac:dyDescent="0.25">
      <c r="A32" s="6">
        <v>28</v>
      </c>
      <c r="B32" s="7" t="s">
        <v>25</v>
      </c>
      <c r="C32" s="6">
        <f>'ekim 4 hafta '!J32</f>
        <v>638</v>
      </c>
      <c r="D32" s="6"/>
      <c r="E32" s="6"/>
      <c r="F32" s="6"/>
      <c r="G32" s="6"/>
      <c r="H32" s="6"/>
      <c r="I32" s="6"/>
      <c r="J32" s="6">
        <f t="shared" si="0"/>
        <v>638</v>
      </c>
    </row>
    <row r="33" spans="1:10" x14ac:dyDescent="0.25">
      <c r="A33" s="6">
        <v>29</v>
      </c>
      <c r="B33" s="7" t="s">
        <v>26</v>
      </c>
      <c r="C33" s="6">
        <f>'ekim 4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</row>
    <row r="34" spans="1:10" x14ac:dyDescent="0.25">
      <c r="A34" s="6">
        <v>30</v>
      </c>
      <c r="B34" s="7" t="s">
        <v>27</v>
      </c>
      <c r="C34" s="6">
        <f>'ekim 4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</row>
    <row r="35" spans="1:10" x14ac:dyDescent="0.25">
      <c r="A35" s="6">
        <v>31</v>
      </c>
      <c r="B35" s="7" t="s">
        <v>28</v>
      </c>
      <c r="C35" s="6">
        <f>'ekim 4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</row>
    <row r="36" spans="1:10" x14ac:dyDescent="0.25">
      <c r="A36" s="6">
        <v>32</v>
      </c>
      <c r="B36" s="7" t="s">
        <v>29</v>
      </c>
      <c r="C36" s="6">
        <f>'ekim 4 hafta '!J36</f>
        <v>166</v>
      </c>
      <c r="D36" s="6"/>
      <c r="E36" s="6"/>
      <c r="F36" s="6"/>
      <c r="G36" s="6"/>
      <c r="H36" s="6"/>
      <c r="I36" s="6"/>
      <c r="J36" s="6">
        <f t="shared" si="0"/>
        <v>166</v>
      </c>
    </row>
    <row r="37" spans="1:10" x14ac:dyDescent="0.25">
      <c r="A37" s="6">
        <v>33</v>
      </c>
      <c r="B37" s="7" t="s">
        <v>30</v>
      </c>
      <c r="C37" s="6">
        <f>'ekim 4 hafta '!J37</f>
        <v>537</v>
      </c>
      <c r="D37" s="6"/>
      <c r="E37" s="6"/>
      <c r="F37" s="6"/>
      <c r="G37" s="6"/>
      <c r="H37" s="6"/>
      <c r="I37" s="6"/>
      <c r="J37" s="6">
        <f t="shared" si="0"/>
        <v>537</v>
      </c>
    </row>
    <row r="38" spans="1:10" x14ac:dyDescent="0.25">
      <c r="A38" s="6">
        <v>34</v>
      </c>
      <c r="B38" s="7" t="s">
        <v>65</v>
      </c>
      <c r="C38" s="6">
        <f>'ekim 4 hafta '!J38</f>
        <v>66</v>
      </c>
      <c r="D38" s="6"/>
      <c r="E38" s="6"/>
      <c r="F38" s="6"/>
      <c r="G38" s="6"/>
      <c r="H38" s="6"/>
      <c r="I38" s="6"/>
      <c r="J38" s="6">
        <f t="shared" si="0"/>
        <v>66</v>
      </c>
    </row>
    <row r="39" spans="1:10" x14ac:dyDescent="0.25">
      <c r="A39" s="6">
        <v>35</v>
      </c>
      <c r="B39" s="7" t="s">
        <v>31</v>
      </c>
      <c r="C39" s="6">
        <f>'ekim 4 hafta '!J39</f>
        <v>36</v>
      </c>
      <c r="D39" s="6"/>
      <c r="E39" s="6"/>
      <c r="F39" s="6"/>
      <c r="G39" s="6"/>
      <c r="H39" s="6"/>
      <c r="I39" s="6"/>
      <c r="J39" s="6">
        <f t="shared" si="0"/>
        <v>36</v>
      </c>
    </row>
    <row r="40" spans="1:10" x14ac:dyDescent="0.25">
      <c r="A40" s="6">
        <v>36</v>
      </c>
      <c r="B40" s="7" t="s">
        <v>32</v>
      </c>
      <c r="C40" s="6">
        <f>'ekim 4 hafta '!J40</f>
        <v>24</v>
      </c>
      <c r="D40" s="6"/>
      <c r="E40" s="6"/>
      <c r="F40" s="6"/>
      <c r="G40" s="6"/>
      <c r="H40" s="6"/>
      <c r="I40" s="6"/>
      <c r="J40" s="6">
        <f t="shared" si="0"/>
        <v>24</v>
      </c>
    </row>
    <row r="41" spans="1:10" x14ac:dyDescent="0.25">
      <c r="A41" s="6">
        <v>37</v>
      </c>
      <c r="B41" s="7" t="s">
        <v>33</v>
      </c>
      <c r="C41" s="6">
        <f>'ekim 4 hafta '!J41</f>
        <v>9</v>
      </c>
      <c r="D41" s="6"/>
      <c r="E41" s="6"/>
      <c r="F41" s="6"/>
      <c r="G41" s="6"/>
      <c r="H41" s="6">
        <v>9</v>
      </c>
      <c r="I41" s="6"/>
      <c r="J41" s="6">
        <f t="shared" si="0"/>
        <v>0</v>
      </c>
    </row>
    <row r="42" spans="1:10" x14ac:dyDescent="0.25">
      <c r="A42" s="6">
        <v>38</v>
      </c>
      <c r="B42" s="7" t="s">
        <v>34</v>
      </c>
      <c r="C42" s="6">
        <f>'ekim 4 hafta '!J42</f>
        <v>58</v>
      </c>
      <c r="D42" s="6"/>
      <c r="E42" s="6"/>
      <c r="F42" s="6"/>
      <c r="G42" s="6"/>
      <c r="H42" s="6"/>
      <c r="I42" s="6"/>
      <c r="J42" s="6">
        <f t="shared" si="0"/>
        <v>58</v>
      </c>
    </row>
    <row r="43" spans="1:10" x14ac:dyDescent="0.25">
      <c r="A43" s="6">
        <v>39</v>
      </c>
      <c r="B43" s="7" t="s">
        <v>35</v>
      </c>
      <c r="C43" s="6">
        <f>'ekim 4 hafta '!J43</f>
        <v>42</v>
      </c>
      <c r="D43" s="6"/>
      <c r="E43" s="6"/>
      <c r="F43" s="6"/>
      <c r="G43" s="6"/>
      <c r="H43" s="6">
        <v>11</v>
      </c>
      <c r="I43" s="6"/>
      <c r="J43" s="6">
        <f t="shared" si="0"/>
        <v>31</v>
      </c>
    </row>
    <row r="44" spans="1:10" x14ac:dyDescent="0.25">
      <c r="A44" s="6">
        <v>40</v>
      </c>
      <c r="B44" s="7" t="s">
        <v>44</v>
      </c>
      <c r="C44" s="6">
        <f>'ekim 4 hafta '!J44</f>
        <v>67</v>
      </c>
      <c r="D44" s="6"/>
      <c r="E44" s="6"/>
      <c r="F44" s="6"/>
      <c r="G44" s="6"/>
      <c r="H44" s="6"/>
      <c r="I44" s="6"/>
      <c r="J44" s="6">
        <f t="shared" si="0"/>
        <v>67</v>
      </c>
    </row>
    <row r="45" spans="1:10" x14ac:dyDescent="0.25">
      <c r="A45" s="6">
        <v>41</v>
      </c>
      <c r="B45" s="7" t="s">
        <v>60</v>
      </c>
      <c r="C45" s="6">
        <f>'ekim 4 hafta '!J45</f>
        <v>150</v>
      </c>
      <c r="D45" s="6"/>
      <c r="E45" s="6"/>
      <c r="F45" s="6"/>
      <c r="G45" s="6"/>
      <c r="H45" s="6"/>
      <c r="I45" s="6"/>
      <c r="J45" s="6">
        <f t="shared" si="0"/>
        <v>150</v>
      </c>
    </row>
    <row r="46" spans="1:10" x14ac:dyDescent="0.25">
      <c r="A46" s="6">
        <v>42</v>
      </c>
      <c r="B46" s="7" t="s">
        <v>36</v>
      </c>
      <c r="C46" s="6">
        <f>'ekim 4 hafta '!J46</f>
        <v>42</v>
      </c>
      <c r="D46" s="6"/>
      <c r="E46" s="6"/>
      <c r="F46" s="6"/>
      <c r="G46" s="6"/>
      <c r="H46" s="6"/>
      <c r="I46" s="6"/>
      <c r="J46" s="6">
        <f t="shared" si="0"/>
        <v>42</v>
      </c>
    </row>
    <row r="47" spans="1:10" x14ac:dyDescent="0.25">
      <c r="A47" s="6">
        <v>43</v>
      </c>
      <c r="B47" s="7" t="s">
        <v>37</v>
      </c>
      <c r="C47" s="6">
        <f>'ekim 4 hafta '!J47</f>
        <v>67</v>
      </c>
      <c r="D47" s="6"/>
      <c r="E47" s="6"/>
      <c r="F47" s="6"/>
      <c r="G47" s="6"/>
      <c r="H47" s="6"/>
      <c r="I47" s="6"/>
      <c r="J47" s="6">
        <f t="shared" si="0"/>
        <v>67</v>
      </c>
    </row>
    <row r="48" spans="1:10" x14ac:dyDescent="0.25">
      <c r="A48" s="6">
        <v>44</v>
      </c>
      <c r="B48" s="7" t="s">
        <v>38</v>
      </c>
      <c r="C48" s="6">
        <f>'ekim 4 hafta '!J48</f>
        <v>24</v>
      </c>
      <c r="D48" s="6"/>
      <c r="E48" s="6"/>
      <c r="F48" s="6"/>
      <c r="G48" s="6"/>
      <c r="H48" s="6"/>
      <c r="I48" s="6"/>
      <c r="J48" s="6">
        <f t="shared" si="0"/>
        <v>24</v>
      </c>
    </row>
    <row r="49" spans="1:10" x14ac:dyDescent="0.25">
      <c r="A49" s="6">
        <v>45</v>
      </c>
      <c r="B49" s="7" t="s">
        <v>62</v>
      </c>
      <c r="C49" s="6">
        <f>'ekim 4 hafta '!J49</f>
        <v>29</v>
      </c>
      <c r="D49" s="6"/>
      <c r="E49" s="6"/>
      <c r="F49" s="6"/>
      <c r="G49" s="6"/>
      <c r="H49" s="6"/>
      <c r="I49" s="6"/>
      <c r="J49" s="6">
        <f t="shared" si="0"/>
        <v>29</v>
      </c>
    </row>
    <row r="50" spans="1:10" x14ac:dyDescent="0.25">
      <c r="A50" s="6">
        <v>46</v>
      </c>
      <c r="B50" s="7" t="s">
        <v>39</v>
      </c>
      <c r="C50" s="6">
        <f>'ekim 4 hafta '!J50</f>
        <v>38</v>
      </c>
      <c r="D50" s="6"/>
      <c r="E50" s="6"/>
      <c r="F50" s="6"/>
      <c r="G50" s="6"/>
      <c r="H50" s="6"/>
      <c r="I50" s="6"/>
      <c r="J50" s="6">
        <f t="shared" si="0"/>
        <v>38</v>
      </c>
    </row>
    <row r="51" spans="1:10" x14ac:dyDescent="0.25">
      <c r="A51" s="6">
        <v>47</v>
      </c>
      <c r="B51" s="7" t="s">
        <v>40</v>
      </c>
      <c r="C51" s="6">
        <f>'ekim 4 hafta '!J51</f>
        <v>48</v>
      </c>
      <c r="D51" s="6"/>
      <c r="E51" s="6"/>
      <c r="F51" s="6"/>
      <c r="G51" s="6"/>
      <c r="H51" s="6"/>
      <c r="I51" s="6"/>
      <c r="J51" s="6">
        <f t="shared" si="0"/>
        <v>48</v>
      </c>
    </row>
    <row r="52" spans="1:10" x14ac:dyDescent="0.25">
      <c r="A52" s="6">
        <v>48</v>
      </c>
      <c r="B52" s="7" t="s">
        <v>41</v>
      </c>
      <c r="C52" s="6">
        <f>'ekim 4 hafta '!J52</f>
        <v>233</v>
      </c>
      <c r="D52" s="6"/>
      <c r="E52" s="6"/>
      <c r="F52" s="6"/>
      <c r="G52" s="6"/>
      <c r="H52" s="6"/>
      <c r="I52" s="6"/>
      <c r="J52" s="6">
        <f t="shared" si="0"/>
        <v>233</v>
      </c>
    </row>
    <row r="53" spans="1:10" x14ac:dyDescent="0.25">
      <c r="A53" s="6">
        <v>49</v>
      </c>
      <c r="B53" s="7" t="s">
        <v>43</v>
      </c>
      <c r="C53" s="6">
        <f>'ekim 4 hafta '!J53</f>
        <v>76</v>
      </c>
      <c r="D53" s="6"/>
      <c r="E53" s="6"/>
      <c r="F53" s="6"/>
      <c r="G53" s="6"/>
      <c r="H53" s="6"/>
      <c r="I53" s="6"/>
      <c r="J53" s="6">
        <f t="shared" si="0"/>
        <v>76</v>
      </c>
    </row>
    <row r="54" spans="1:10" x14ac:dyDescent="0.25">
      <c r="A54" s="6">
        <v>50</v>
      </c>
      <c r="B54" s="7" t="s">
        <v>42</v>
      </c>
      <c r="C54" s="6">
        <f>'ekim 4 hafta '!J54</f>
        <v>26</v>
      </c>
      <c r="D54" s="6"/>
      <c r="E54" s="6"/>
      <c r="F54" s="6"/>
      <c r="G54" s="6"/>
      <c r="H54" s="6"/>
      <c r="I54" s="6"/>
      <c r="J54" s="6">
        <f t="shared" si="0"/>
        <v>26</v>
      </c>
    </row>
    <row r="55" spans="1:10" x14ac:dyDescent="0.25">
      <c r="A55" s="6">
        <v>51</v>
      </c>
      <c r="B55" s="7" t="s">
        <v>45</v>
      </c>
      <c r="C55" s="6">
        <f>'ekim 4 hafta '!J55</f>
        <v>43</v>
      </c>
      <c r="D55" s="6"/>
      <c r="E55" s="6"/>
      <c r="F55" s="6"/>
      <c r="G55" s="6"/>
      <c r="H55" s="6"/>
      <c r="I55" s="6"/>
      <c r="J55" s="6">
        <f t="shared" si="0"/>
        <v>43</v>
      </c>
    </row>
    <row r="56" spans="1:10" x14ac:dyDescent="0.25">
      <c r="A56" s="6">
        <v>52</v>
      </c>
      <c r="B56" s="7" t="s">
        <v>46</v>
      </c>
      <c r="C56" s="6">
        <f>'ekim 4 hafta '!J56</f>
        <v>99</v>
      </c>
      <c r="D56" s="6"/>
      <c r="E56" s="6"/>
      <c r="F56" s="6"/>
      <c r="G56" s="6"/>
      <c r="H56" s="6"/>
      <c r="I56" s="6"/>
      <c r="J56" s="6">
        <f t="shared" si="0"/>
        <v>99</v>
      </c>
    </row>
    <row r="57" spans="1:10" x14ac:dyDescent="0.25">
      <c r="A57" s="6">
        <v>53</v>
      </c>
      <c r="B57" s="7" t="s">
        <v>47</v>
      </c>
      <c r="C57" s="6">
        <f>'ekim 4 hafta '!J57</f>
        <v>230</v>
      </c>
      <c r="D57" s="6"/>
      <c r="E57" s="6"/>
      <c r="F57" s="6"/>
      <c r="G57" s="6"/>
      <c r="H57" s="6"/>
      <c r="I57" s="6"/>
      <c r="J57" s="6">
        <f t="shared" si="0"/>
        <v>230</v>
      </c>
    </row>
    <row r="58" spans="1:10" x14ac:dyDescent="0.25">
      <c r="A58" s="6">
        <v>54</v>
      </c>
      <c r="B58" s="7" t="s">
        <v>50</v>
      </c>
      <c r="C58" s="6">
        <f>'ekim 4 hafta '!J58</f>
        <v>76</v>
      </c>
      <c r="D58" s="6"/>
      <c r="E58" s="6"/>
      <c r="F58" s="6"/>
      <c r="G58" s="6"/>
      <c r="H58" s="6"/>
      <c r="I58" s="6"/>
      <c r="J58" s="6">
        <f t="shared" si="0"/>
        <v>76</v>
      </c>
    </row>
    <row r="59" spans="1:10" x14ac:dyDescent="0.25">
      <c r="A59" s="6">
        <v>55</v>
      </c>
      <c r="B59" s="7" t="s">
        <v>55</v>
      </c>
      <c r="C59" s="6">
        <f>'ekim 4 hafta '!J59</f>
        <v>22</v>
      </c>
      <c r="D59" s="6"/>
      <c r="E59" s="6"/>
      <c r="F59" s="6"/>
      <c r="G59" s="6"/>
      <c r="H59" s="6"/>
      <c r="I59" s="6"/>
      <c r="J59" s="6">
        <f t="shared" si="0"/>
        <v>22</v>
      </c>
    </row>
    <row r="60" spans="1:10" x14ac:dyDescent="0.25">
      <c r="A60" s="6">
        <v>56</v>
      </c>
      <c r="B60" s="7" t="s">
        <v>56</v>
      </c>
      <c r="C60" s="6">
        <f>'ekim 4 hafta '!J60</f>
        <v>3</v>
      </c>
      <c r="D60" s="6"/>
      <c r="E60" s="6"/>
      <c r="F60" s="6"/>
      <c r="G60" s="6"/>
      <c r="H60" s="6"/>
      <c r="I60" s="6"/>
      <c r="J60" s="6">
        <f t="shared" si="0"/>
        <v>3</v>
      </c>
    </row>
    <row r="61" spans="1:10" x14ac:dyDescent="0.25">
      <c r="A61" s="6">
        <v>57</v>
      </c>
      <c r="B61" s="7" t="s">
        <v>57</v>
      </c>
      <c r="C61" s="6">
        <f>'ekim 4 hafta '!J61</f>
        <v>2</v>
      </c>
      <c r="D61" s="6"/>
      <c r="E61" s="6"/>
      <c r="F61" s="6"/>
      <c r="G61" s="6"/>
      <c r="H61" s="6"/>
      <c r="I61" s="6"/>
      <c r="J61" s="6">
        <f t="shared" si="0"/>
        <v>2</v>
      </c>
    </row>
    <row r="62" spans="1:10" x14ac:dyDescent="0.25">
      <c r="A62" s="6">
        <v>58</v>
      </c>
      <c r="B62" s="7" t="s">
        <v>58</v>
      </c>
      <c r="C62" s="6">
        <f>'ekim 4 hafta '!J62</f>
        <v>3</v>
      </c>
      <c r="D62" s="6"/>
      <c r="E62" s="6"/>
      <c r="F62" s="6"/>
      <c r="G62" s="6"/>
      <c r="H62" s="6"/>
      <c r="I62" s="6"/>
      <c r="J62" s="6">
        <f t="shared" si="0"/>
        <v>3</v>
      </c>
    </row>
    <row r="63" spans="1:10" x14ac:dyDescent="0.25">
      <c r="A63" s="6">
        <v>59</v>
      </c>
      <c r="B63" s="8" t="s">
        <v>63</v>
      </c>
      <c r="C63" s="6">
        <f>'ekim 4 hafta '!J63</f>
        <v>47</v>
      </c>
      <c r="D63" s="6"/>
      <c r="E63" s="6"/>
      <c r="F63" s="6"/>
      <c r="G63" s="6"/>
      <c r="H63" s="6"/>
      <c r="I63" s="6"/>
      <c r="J63" s="6">
        <f t="shared" si="0"/>
        <v>47</v>
      </c>
    </row>
    <row r="64" spans="1:10" x14ac:dyDescent="0.25">
      <c r="A64" s="6">
        <v>60</v>
      </c>
      <c r="B64" s="8" t="s">
        <v>64</v>
      </c>
      <c r="C64" s="6">
        <f>'ekim 4 hafta '!J64</f>
        <v>49</v>
      </c>
      <c r="D64" s="6"/>
      <c r="E64" s="6"/>
      <c r="F64" s="6"/>
      <c r="G64" s="6"/>
      <c r="H64" s="6"/>
      <c r="I64" s="6"/>
      <c r="J64" s="6">
        <f t="shared" si="0"/>
        <v>49</v>
      </c>
    </row>
    <row r="65" spans="1:10" x14ac:dyDescent="0.25">
      <c r="A65" s="6">
        <v>61</v>
      </c>
      <c r="B65" s="9" t="s">
        <v>67</v>
      </c>
      <c r="C65" s="6">
        <f>'ekim 4 hafta '!J65</f>
        <v>147</v>
      </c>
      <c r="D65" s="6"/>
      <c r="E65" s="6"/>
      <c r="F65" s="6"/>
      <c r="G65" s="6"/>
      <c r="H65" s="6"/>
      <c r="I65" s="6"/>
      <c r="J65" s="6">
        <f t="shared" si="0"/>
        <v>147</v>
      </c>
    </row>
    <row r="66" spans="1:10" x14ac:dyDescent="0.25">
      <c r="A66" s="6">
        <v>62</v>
      </c>
      <c r="B66" s="7" t="s">
        <v>68</v>
      </c>
      <c r="C66" s="6">
        <f>'ekim 4 hafta '!J66</f>
        <v>142</v>
      </c>
      <c r="D66" s="6"/>
      <c r="E66" s="6"/>
      <c r="F66" s="6"/>
      <c r="G66" s="6"/>
      <c r="H66" s="6"/>
      <c r="I66" s="6"/>
      <c r="J66" s="6">
        <f t="shared" si="0"/>
        <v>142</v>
      </c>
    </row>
    <row r="67" spans="1:10" x14ac:dyDescent="0.25">
      <c r="A67" s="6">
        <v>63</v>
      </c>
      <c r="B67" s="8" t="s">
        <v>74</v>
      </c>
      <c r="C67" s="6">
        <f>'ekim 4 hafta '!J67</f>
        <v>8</v>
      </c>
      <c r="D67" s="6"/>
      <c r="E67" s="6"/>
      <c r="F67" s="6"/>
      <c r="G67" s="6"/>
      <c r="H67" s="6"/>
      <c r="I67" s="6"/>
      <c r="J67" s="6">
        <f t="shared" si="0"/>
        <v>8</v>
      </c>
    </row>
    <row r="68" spans="1:10" x14ac:dyDescent="0.25">
      <c r="A68" s="6">
        <v>64</v>
      </c>
      <c r="B68" s="8" t="s">
        <v>75</v>
      </c>
      <c r="C68" s="6">
        <f>'ekim 4 hafta '!J68</f>
        <v>25</v>
      </c>
      <c r="D68" s="6"/>
      <c r="E68" s="6"/>
      <c r="F68" s="6"/>
      <c r="G68" s="6"/>
      <c r="H68" s="6"/>
      <c r="I68" s="6"/>
      <c r="J68" s="6">
        <f t="shared" ref="J68:J74" si="1">+C68-E68-F68-G68-H68-I68+D68</f>
        <v>25</v>
      </c>
    </row>
    <row r="69" spans="1:10" x14ac:dyDescent="0.25">
      <c r="A69" s="6">
        <v>65</v>
      </c>
      <c r="B69" s="8" t="s">
        <v>76</v>
      </c>
      <c r="C69" s="6">
        <f>'ekim 4 hafta '!J69</f>
        <v>11</v>
      </c>
      <c r="D69" s="6"/>
      <c r="E69" s="6"/>
      <c r="F69" s="6">
        <v>1</v>
      </c>
      <c r="G69" s="6"/>
      <c r="H69" s="6"/>
      <c r="I69" s="6"/>
      <c r="J69" s="6">
        <f t="shared" si="1"/>
        <v>10</v>
      </c>
    </row>
    <row r="70" spans="1:10" x14ac:dyDescent="0.25">
      <c r="A70" s="6">
        <v>66</v>
      </c>
      <c r="B70" s="8" t="s">
        <v>77</v>
      </c>
      <c r="C70" s="6">
        <f>'ekim 4 hafta '!J70</f>
        <v>25</v>
      </c>
      <c r="D70" s="6"/>
      <c r="E70" s="6"/>
      <c r="F70" s="6">
        <v>2</v>
      </c>
      <c r="G70" s="6"/>
      <c r="H70" s="6"/>
      <c r="I70" s="6"/>
      <c r="J70" s="6">
        <f t="shared" si="1"/>
        <v>23</v>
      </c>
    </row>
    <row r="71" spans="1:10" x14ac:dyDescent="0.25">
      <c r="A71" s="6">
        <v>67</v>
      </c>
      <c r="B71" s="8" t="s">
        <v>78</v>
      </c>
      <c r="C71" s="6">
        <f>'ekim 4 hafta '!J71</f>
        <v>8</v>
      </c>
      <c r="D71" s="6"/>
      <c r="E71" s="6"/>
      <c r="F71" s="6"/>
      <c r="G71" s="6"/>
      <c r="H71" s="6"/>
      <c r="I71" s="6"/>
      <c r="J71" s="6">
        <f t="shared" si="1"/>
        <v>8</v>
      </c>
    </row>
    <row r="72" spans="1:10" x14ac:dyDescent="0.25">
      <c r="A72" s="6">
        <v>68</v>
      </c>
      <c r="B72" s="8" t="s">
        <v>79</v>
      </c>
      <c r="C72" s="6">
        <f>'ekim 4 hafta '!J72</f>
        <v>25</v>
      </c>
      <c r="D72" s="6"/>
      <c r="E72" s="6"/>
      <c r="F72" s="6"/>
      <c r="G72" s="6"/>
      <c r="H72" s="6"/>
      <c r="I72" s="6"/>
      <c r="J72" s="6">
        <f t="shared" si="1"/>
        <v>25</v>
      </c>
    </row>
    <row r="73" spans="1:10" x14ac:dyDescent="0.25">
      <c r="A73" s="6">
        <v>69</v>
      </c>
      <c r="B73" s="8" t="s">
        <v>80</v>
      </c>
      <c r="C73" s="6">
        <f>'ekim 4 hafta '!J73</f>
        <v>24</v>
      </c>
      <c r="D73" s="6"/>
      <c r="E73" s="6"/>
      <c r="F73" s="6"/>
      <c r="G73" s="6"/>
      <c r="H73" s="6">
        <v>3</v>
      </c>
      <c r="I73" s="6"/>
      <c r="J73" s="6">
        <f t="shared" si="1"/>
        <v>21</v>
      </c>
    </row>
    <row r="74" spans="1:10" x14ac:dyDescent="0.25">
      <c r="A74" s="6">
        <v>70</v>
      </c>
      <c r="B74" s="8" t="s">
        <v>81</v>
      </c>
      <c r="C74" s="6">
        <f>'ekim 4 hafta '!J74</f>
        <v>38</v>
      </c>
      <c r="D74" s="6"/>
      <c r="E74" s="6"/>
      <c r="F74" s="6"/>
      <c r="G74" s="6"/>
      <c r="H74" s="6"/>
      <c r="I74" s="6"/>
      <c r="J74" s="6">
        <f t="shared" si="1"/>
        <v>38</v>
      </c>
    </row>
  </sheetData>
  <pageMargins left="0.7" right="0.7" top="0.75" bottom="0.75" header="0.3" footer="0.3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8"/>
  <sheetViews>
    <sheetView zoomScaleNormal="100" workbookViewId="0">
      <selection activeCell="K2" sqref="K2:L78"/>
    </sheetView>
  </sheetViews>
  <sheetFormatPr defaultRowHeight="15" x14ac:dyDescent="0.25"/>
  <cols>
    <col min="1" max="1" width="6.5703125" customWidth="1"/>
    <col min="2" max="2" width="28.5703125" customWidth="1"/>
    <col min="3" max="3" width="11" customWidth="1"/>
    <col min="4" max="4" width="10.42578125" customWidth="1"/>
    <col min="5" max="6" width="10.140625" bestFit="1" customWidth="1"/>
    <col min="7" max="7" width="10.7109375" customWidth="1"/>
    <col min="8" max="10" width="10.140625" bestFit="1" customWidth="1"/>
    <col min="11" max="11" width="10" customWidth="1"/>
    <col min="12" max="12" width="10.7109375" customWidth="1"/>
  </cols>
  <sheetData>
    <row r="1" spans="1:12" x14ac:dyDescent="0.25">
      <c r="A1" s="2" t="s">
        <v>0</v>
      </c>
      <c r="B1" s="2"/>
      <c r="J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44872</v>
      </c>
      <c r="F2" s="4">
        <v>44873</v>
      </c>
      <c r="G2" s="4">
        <v>44874</v>
      </c>
      <c r="H2" s="4">
        <v>44875</v>
      </c>
      <c r="I2" s="4">
        <v>44876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4</v>
      </c>
      <c r="C3" s="6">
        <f>'KASIM 1 HAFTA'!J3</f>
        <v>37</v>
      </c>
      <c r="D3" s="6"/>
      <c r="E3" s="6"/>
      <c r="F3" s="6"/>
      <c r="G3" s="6"/>
      <c r="H3" s="6"/>
      <c r="I3" s="6"/>
      <c r="J3" s="6">
        <f>+C3-E3-F3-G3-H3-I3+D3</f>
        <v>37</v>
      </c>
      <c r="K3" s="13">
        <v>0</v>
      </c>
      <c r="L3" s="14"/>
    </row>
    <row r="4" spans="1:12" x14ac:dyDescent="0.25">
      <c r="A4" s="6">
        <v>2</v>
      </c>
      <c r="B4" s="7" t="s">
        <v>5</v>
      </c>
      <c r="C4" s="6">
        <f>'KASIM 1 HAFTA'!J4</f>
        <v>3</v>
      </c>
      <c r="D4" s="6"/>
      <c r="E4" s="6"/>
      <c r="F4" s="6"/>
      <c r="G4" s="6"/>
      <c r="H4" s="6"/>
      <c r="I4" s="6"/>
      <c r="J4" s="6">
        <f t="shared" ref="J4:J66" si="0">+C4-E4-F4-G4-H4-I4+D4</f>
        <v>3</v>
      </c>
      <c r="K4" s="13">
        <v>0</v>
      </c>
      <c r="L4" s="14"/>
    </row>
    <row r="5" spans="1:12" x14ac:dyDescent="0.25">
      <c r="A5" s="6">
        <v>3</v>
      </c>
      <c r="B5" s="7" t="s">
        <v>69</v>
      </c>
      <c r="C5" s="6">
        <f>'KASIM 1 HAFTA'!J5</f>
        <v>105</v>
      </c>
      <c r="D5" s="6"/>
      <c r="E5" s="6"/>
      <c r="F5" s="6"/>
      <c r="G5" s="6"/>
      <c r="H5" s="6"/>
      <c r="I5" s="6"/>
      <c r="J5" s="6">
        <f t="shared" si="0"/>
        <v>105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f>'KASIM 1 HAFTA'!J6</f>
        <v>55</v>
      </c>
      <c r="D6" s="6"/>
      <c r="E6" s="6"/>
      <c r="F6" s="6"/>
      <c r="G6" s="6"/>
      <c r="H6" s="6"/>
      <c r="I6" s="6"/>
      <c r="J6" s="6">
        <f t="shared" si="0"/>
        <v>55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f>'KASIM 1 HAFTA'!J7</f>
        <v>27</v>
      </c>
      <c r="D7" s="6"/>
      <c r="E7" s="6"/>
      <c r="F7" s="6">
        <v>3</v>
      </c>
      <c r="G7" s="6"/>
      <c r="H7" s="6"/>
      <c r="I7" s="6"/>
      <c r="J7" s="6">
        <f t="shared" si="0"/>
        <v>24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f>'KASIM 1 HAFTA'!J8</f>
        <v>21</v>
      </c>
      <c r="D8" s="6"/>
      <c r="E8" s="6"/>
      <c r="F8" s="6"/>
      <c r="G8" s="6"/>
      <c r="H8" s="6"/>
      <c r="I8" s="6"/>
      <c r="J8" s="6">
        <f t="shared" si="0"/>
        <v>21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f>'KASIM 1 HAFTA'!J9</f>
        <v>16</v>
      </c>
      <c r="D9" s="6"/>
      <c r="E9" s="6"/>
      <c r="F9" s="6"/>
      <c r="G9" s="6"/>
      <c r="H9" s="6">
        <v>2</v>
      </c>
      <c r="I9" s="6"/>
      <c r="J9" s="6">
        <f t="shared" si="0"/>
        <v>14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f>'KASIM 1 HAFTA'!J10</f>
        <v>83</v>
      </c>
      <c r="D10" s="6"/>
      <c r="E10" s="6"/>
      <c r="F10" s="6"/>
      <c r="G10" s="6"/>
      <c r="H10" s="6"/>
      <c r="I10" s="6"/>
      <c r="J10" s="6">
        <f t="shared" si="0"/>
        <v>83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f>'KASIM 1 HAFTA'!J11</f>
        <v>64</v>
      </c>
      <c r="D11" s="6">
        <v>3</v>
      </c>
      <c r="E11" s="6"/>
      <c r="F11" s="6"/>
      <c r="G11" s="6"/>
      <c r="H11" s="6"/>
      <c r="I11" s="6"/>
      <c r="J11" s="6">
        <f t="shared" si="0"/>
        <v>67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f>'KASIM 1 HAFTA'!J12</f>
        <v>558</v>
      </c>
      <c r="D12" s="6"/>
      <c r="E12" s="6"/>
      <c r="F12" s="6"/>
      <c r="G12" s="6"/>
      <c r="H12" s="6"/>
      <c r="I12" s="6"/>
      <c r="J12" s="6">
        <f t="shared" si="0"/>
        <v>558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f>'KASIM 1 HAFTA'!J13</f>
        <v>78</v>
      </c>
      <c r="D13" s="6"/>
      <c r="E13" s="6"/>
      <c r="F13" s="6"/>
      <c r="G13" s="6"/>
      <c r="H13" s="6"/>
      <c r="I13" s="6"/>
      <c r="J13" s="6">
        <f t="shared" si="0"/>
        <v>78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f>'KASIM 1 HAFTA'!J14</f>
        <v>42</v>
      </c>
      <c r="D14" s="6"/>
      <c r="E14" s="6"/>
      <c r="F14" s="6"/>
      <c r="G14" s="6"/>
      <c r="H14" s="6"/>
      <c r="I14" s="6"/>
      <c r="J14" s="6">
        <f t="shared" si="0"/>
        <v>42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f>'KASIM 1 HAFTA'!J15</f>
        <v>85</v>
      </c>
      <c r="D15" s="6">
        <v>32</v>
      </c>
      <c r="E15" s="6"/>
      <c r="F15" s="6"/>
      <c r="G15" s="6">
        <v>1</v>
      </c>
      <c r="H15" s="6">
        <v>18</v>
      </c>
      <c r="I15" s="6"/>
      <c r="J15" s="6">
        <f t="shared" si="0"/>
        <v>98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f>'KASIM 1 HAFTA'!J16</f>
        <v>28</v>
      </c>
      <c r="D16" s="6"/>
      <c r="E16" s="6"/>
      <c r="F16" s="6"/>
      <c r="G16" s="6"/>
      <c r="H16" s="6">
        <v>28</v>
      </c>
      <c r="I16" s="6"/>
      <c r="J16" s="6">
        <f t="shared" si="0"/>
        <v>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16</v>
      </c>
      <c r="C17" s="6">
        <f>'KASIM 1 HAFTA'!J17</f>
        <v>218</v>
      </c>
      <c r="D17" s="6">
        <v>22</v>
      </c>
      <c r="E17" s="6">
        <v>7</v>
      </c>
      <c r="F17" s="6">
        <v>3</v>
      </c>
      <c r="G17" s="6">
        <v>4</v>
      </c>
      <c r="H17" s="6"/>
      <c r="I17" s="6"/>
      <c r="J17" s="6">
        <f t="shared" si="0"/>
        <v>226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f>'KASIM 1 HAFTA'!J18</f>
        <v>95</v>
      </c>
      <c r="D18" s="6">
        <v>6</v>
      </c>
      <c r="E18" s="6"/>
      <c r="F18" s="6"/>
      <c r="G18" s="6"/>
      <c r="H18" s="6"/>
      <c r="I18" s="6">
        <v>8</v>
      </c>
      <c r="J18" s="6">
        <f t="shared" si="0"/>
        <v>93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18</v>
      </c>
      <c r="C19" s="6">
        <f>'KASIM 1 HAFTA'!J19</f>
        <v>108</v>
      </c>
      <c r="D19" s="6"/>
      <c r="E19" s="6"/>
      <c r="F19" s="6"/>
      <c r="G19" s="6">
        <v>1</v>
      </c>
      <c r="H19" s="6"/>
      <c r="I19" s="6"/>
      <c r="J19" s="6">
        <f t="shared" si="0"/>
        <v>107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f>'KASIM 1 HAFTA'!J20</f>
        <v>67</v>
      </c>
      <c r="D20" s="6"/>
      <c r="E20" s="6"/>
      <c r="F20" s="6"/>
      <c r="G20" s="6">
        <v>1</v>
      </c>
      <c r="H20" s="6"/>
      <c r="I20" s="6"/>
      <c r="J20" s="6">
        <f t="shared" si="0"/>
        <v>66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f>'KASIM 1 HAFTA'!J21</f>
        <v>0</v>
      </c>
      <c r="D21" s="6">
        <v>20</v>
      </c>
      <c r="E21" s="6"/>
      <c r="F21" s="6"/>
      <c r="G21" s="6"/>
      <c r="H21" s="6">
        <v>1</v>
      </c>
      <c r="I21" s="6"/>
      <c r="J21" s="6">
        <f t="shared" si="0"/>
        <v>19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84</v>
      </c>
      <c r="C22" s="6">
        <v>0</v>
      </c>
      <c r="D22" s="6">
        <v>143</v>
      </c>
      <c r="E22" s="6"/>
      <c r="F22" s="6"/>
      <c r="G22" s="6"/>
      <c r="H22" s="6">
        <v>3</v>
      </c>
      <c r="I22" s="6"/>
      <c r="J22" s="6">
        <f t="shared" si="0"/>
        <v>140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f>'KASIM 1 HAFTA'!J23</f>
        <v>130</v>
      </c>
      <c r="D23" s="6"/>
      <c r="E23" s="6"/>
      <c r="F23" s="6"/>
      <c r="G23" s="6"/>
      <c r="H23" s="6"/>
      <c r="I23" s="6"/>
      <c r="J23" s="6">
        <f t="shared" si="0"/>
        <v>130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f>'KASIM 1 HAFTA'!J24</f>
        <v>38</v>
      </c>
      <c r="D24" s="6"/>
      <c r="E24" s="6"/>
      <c r="F24" s="6"/>
      <c r="G24" s="6"/>
      <c r="H24" s="6"/>
      <c r="I24" s="6"/>
      <c r="J24" s="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f>'KASIM 1 HAFTA'!J25</f>
        <v>7</v>
      </c>
      <c r="D25" s="6"/>
      <c r="E25" s="6"/>
      <c r="F25" s="6"/>
      <c r="G25" s="6"/>
      <c r="H25" s="6"/>
      <c r="I25" s="6"/>
      <c r="J25" s="6">
        <f t="shared" si="0"/>
        <v>7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f>'KASIM 1 HAFTA'!J26</f>
        <v>223</v>
      </c>
      <c r="D26" s="6"/>
      <c r="E26" s="6"/>
      <c r="F26" s="6"/>
      <c r="G26" s="6"/>
      <c r="H26" s="6"/>
      <c r="I26" s="6"/>
      <c r="J26" s="6">
        <f t="shared" si="0"/>
        <v>223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1 HAFTA'!J27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1 HAFTA'!J28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f>'KASIM 1 HAFTA'!J29</f>
        <v>13</v>
      </c>
      <c r="D29" s="6"/>
      <c r="E29" s="6"/>
      <c r="F29" s="6"/>
      <c r="G29" s="6"/>
      <c r="H29" s="6"/>
      <c r="I29" s="6"/>
      <c r="J29" s="6">
        <f t="shared" si="0"/>
        <v>13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f>'KASIM 1 HAFTA'!J30</f>
        <v>60</v>
      </c>
      <c r="D30" s="6"/>
      <c r="E30" s="6"/>
      <c r="F30" s="6"/>
      <c r="G30" s="6"/>
      <c r="H30" s="6"/>
      <c r="I30" s="6"/>
      <c r="J30" s="6">
        <f t="shared" si="0"/>
        <v>60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290</v>
      </c>
      <c r="D31" s="6"/>
      <c r="E31" s="6">
        <v>290</v>
      </c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f>'KASIM 1 HAFTA'!J32</f>
        <v>638</v>
      </c>
      <c r="D32" s="6"/>
      <c r="E32" s="6"/>
      <c r="F32" s="6"/>
      <c r="G32" s="6"/>
      <c r="H32" s="6"/>
      <c r="I32" s="6"/>
      <c r="J32" s="6">
        <f t="shared" si="0"/>
        <v>638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1 HAFTA'!J33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1 HAFTA'!J34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1 HAFTA'!J35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f>'KASIM 1 HAFTA'!J37</f>
        <v>537</v>
      </c>
      <c r="D36" s="6"/>
      <c r="E36" s="6"/>
      <c r="F36" s="6"/>
      <c r="G36" s="6"/>
      <c r="H36" s="6"/>
      <c r="I36" s="6"/>
      <c r="J36" s="6">
        <f t="shared" si="0"/>
        <v>537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f>'KASIM 1 HAFTA'!J38</f>
        <v>66</v>
      </c>
      <c r="D37" s="6">
        <v>67</v>
      </c>
      <c r="E37" s="6"/>
      <c r="F37" s="6"/>
      <c r="G37" s="6"/>
      <c r="H37" s="6"/>
      <c r="I37" s="6"/>
      <c r="J37" s="6">
        <f t="shared" si="0"/>
        <v>133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1 HAFTA'!J39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f>'KASIM 1 HAFTA'!J40</f>
        <v>24</v>
      </c>
      <c r="D39" s="6"/>
      <c r="E39" s="6"/>
      <c r="F39" s="6"/>
      <c r="G39" s="6"/>
      <c r="H39" s="6"/>
      <c r="I39" s="6"/>
      <c r="J39" s="6">
        <f t="shared" si="0"/>
        <v>24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f>'KASIM 1 HAFTA'!J41</f>
        <v>0</v>
      </c>
      <c r="D40" s="6">
        <v>94</v>
      </c>
      <c r="E40" s="6">
        <v>46</v>
      </c>
      <c r="F40" s="6">
        <v>1</v>
      </c>
      <c r="G40" s="6"/>
      <c r="H40" s="6"/>
      <c r="I40" s="6"/>
      <c r="J40" s="6">
        <f t="shared" si="0"/>
        <v>47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f>'KASIM 1 HAFTA'!J42</f>
        <v>58</v>
      </c>
      <c r="D41" s="6"/>
      <c r="E41" s="6"/>
      <c r="F41" s="6"/>
      <c r="G41" s="6">
        <v>1</v>
      </c>
      <c r="H41" s="6"/>
      <c r="I41" s="6"/>
      <c r="J41" s="6">
        <f t="shared" si="0"/>
        <v>57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f>'KASIM 1 HAFTA'!J43</f>
        <v>31</v>
      </c>
      <c r="D42" s="6"/>
      <c r="E42" s="6"/>
      <c r="F42" s="6"/>
      <c r="G42" s="6"/>
      <c r="H42" s="6">
        <v>19</v>
      </c>
      <c r="I42" s="6"/>
      <c r="J42" s="6">
        <f t="shared" si="0"/>
        <v>12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f>'KASIM 1 HAFTA'!J44</f>
        <v>67</v>
      </c>
      <c r="D43" s="6">
        <v>270</v>
      </c>
      <c r="E43" s="6"/>
      <c r="F43" s="6"/>
      <c r="G43" s="6"/>
      <c r="H43" s="6">
        <v>12</v>
      </c>
      <c r="I43" s="6"/>
      <c r="J43" s="6">
        <f t="shared" si="0"/>
        <v>325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60</v>
      </c>
      <c r="C44" s="6">
        <f>'KASIM 1 HAFTA'!J45</f>
        <v>150</v>
      </c>
      <c r="D44" s="6"/>
      <c r="E44" s="6"/>
      <c r="F44" s="6"/>
      <c r="G44" s="6">
        <v>1</v>
      </c>
      <c r="H44" s="6"/>
      <c r="I44" s="6"/>
      <c r="J44" s="6">
        <f t="shared" si="0"/>
        <v>149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f>'KASIM 1 HAFTA'!J46</f>
        <v>42</v>
      </c>
      <c r="D45" s="6"/>
      <c r="E45" s="6"/>
      <c r="F45" s="6"/>
      <c r="G45" s="6"/>
      <c r="H45" s="6"/>
      <c r="I45" s="6"/>
      <c r="J45" s="6">
        <f t="shared" si="0"/>
        <v>42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f>'KASIM 1 HAFTA'!J47</f>
        <v>67</v>
      </c>
      <c r="D46" s="6"/>
      <c r="E46" s="6"/>
      <c r="F46" s="6"/>
      <c r="G46" s="6"/>
      <c r="H46" s="6"/>
      <c r="I46" s="6"/>
      <c r="J46" s="6">
        <f t="shared" si="0"/>
        <v>67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f>'KASIM 1 HAFTA'!J48</f>
        <v>24</v>
      </c>
      <c r="D47" s="6"/>
      <c r="E47" s="6"/>
      <c r="F47" s="6"/>
      <c r="G47" s="6"/>
      <c r="H47" s="6"/>
      <c r="I47" s="6"/>
      <c r="J47" s="6">
        <f t="shared" si="0"/>
        <v>24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1 HAFTA'!J49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f>'KASIM 1 HAFTA'!J50</f>
        <v>38</v>
      </c>
      <c r="D49" s="6"/>
      <c r="E49" s="6"/>
      <c r="F49" s="6"/>
      <c r="G49" s="6"/>
      <c r="H49" s="6"/>
      <c r="I49" s="6"/>
      <c r="J49" s="6">
        <f t="shared" si="0"/>
        <v>38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f>'KASIM 1 HAFTA'!J51</f>
        <v>48</v>
      </c>
      <c r="D50" s="6"/>
      <c r="E50" s="6"/>
      <c r="F50" s="6"/>
      <c r="G50" s="6">
        <v>4</v>
      </c>
      <c r="H50" s="6"/>
      <c r="I50" s="6"/>
      <c r="J50" s="6">
        <f t="shared" si="0"/>
        <v>44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f>'KASIM 1 HAFTA'!J52</f>
        <v>233</v>
      </c>
      <c r="D51" s="6"/>
      <c r="E51" s="6"/>
      <c r="F51" s="6"/>
      <c r="G51" s="6">
        <v>2</v>
      </c>
      <c r="H51" s="6"/>
      <c r="I51" s="6"/>
      <c r="J51" s="6">
        <f t="shared" si="0"/>
        <v>231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f>'KASIM 1 HAFTA'!J53</f>
        <v>76</v>
      </c>
      <c r="D52" s="6"/>
      <c r="E52" s="6"/>
      <c r="F52" s="6"/>
      <c r="G52" s="6"/>
      <c r="H52" s="6"/>
      <c r="I52" s="6"/>
      <c r="J52" s="6">
        <f t="shared" si="0"/>
        <v>76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42</v>
      </c>
      <c r="C53" s="6">
        <f>'KASIM 1 HAFTA'!J54</f>
        <v>26</v>
      </c>
      <c r="D53" s="6"/>
      <c r="E53" s="6"/>
      <c r="F53" s="6"/>
      <c r="G53" s="6"/>
      <c r="H53" s="6"/>
      <c r="I53" s="6"/>
      <c r="J53" s="6">
        <f t="shared" si="0"/>
        <v>26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1 HAFTA'!J55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88</v>
      </c>
      <c r="C55" s="6">
        <f>'KASIM 1 HAFTA'!J56</f>
        <v>99</v>
      </c>
      <c r="D55" s="6"/>
      <c r="E55" s="6"/>
      <c r="F55" s="6">
        <v>22</v>
      </c>
      <c r="G55" s="6"/>
      <c r="H55" s="6"/>
      <c r="I55" s="6"/>
      <c r="J55" s="6">
        <f t="shared" si="0"/>
        <v>77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1 HAFTA'!J57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1 HAFTA'!J58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f>'KASIM 1 HAFTA'!J59</f>
        <v>22</v>
      </c>
      <c r="D58" s="6"/>
      <c r="E58" s="6"/>
      <c r="F58" s="6"/>
      <c r="G58" s="6"/>
      <c r="H58" s="6"/>
      <c r="I58" s="6"/>
      <c r="J58" s="6">
        <f t="shared" si="0"/>
        <v>22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1 HAFTA'!J60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f>'KASIM 1 HAFTA'!J61</f>
        <v>2</v>
      </c>
      <c r="D60" s="6"/>
      <c r="E60" s="6"/>
      <c r="F60" s="6"/>
      <c r="G60" s="6"/>
      <c r="H60" s="6"/>
      <c r="I60" s="6"/>
      <c r="J60" s="6">
        <f t="shared" si="0"/>
        <v>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f>'KASIM 1 HAFTA'!J62</f>
        <v>3</v>
      </c>
      <c r="D61" s="6"/>
      <c r="E61" s="6"/>
      <c r="F61" s="6"/>
      <c r="G61" s="6"/>
      <c r="H61" s="6"/>
      <c r="I61" s="6"/>
      <c r="J61" s="6">
        <f t="shared" si="0"/>
        <v>3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1 HAFTA'!J63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1 HAFTA'!J64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f>'KASIM 1 HAFTA'!J65</f>
        <v>147</v>
      </c>
      <c r="D64" s="6"/>
      <c r="E64" s="6"/>
      <c r="F64" s="6"/>
      <c r="G64" s="6"/>
      <c r="H64" s="6">
        <v>15</v>
      </c>
      <c r="I64" s="6"/>
      <c r="J64" s="6">
        <f t="shared" si="0"/>
        <v>132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f>'KASIM 1 HAFTA'!J66</f>
        <v>142</v>
      </c>
      <c r="D65" s="6"/>
      <c r="E65" s="6"/>
      <c r="F65" s="6"/>
      <c r="G65" s="6"/>
      <c r="H65" s="6"/>
      <c r="I65" s="6"/>
      <c r="J65" s="6">
        <f t="shared" si="0"/>
        <v>142</v>
      </c>
      <c r="K65" s="13"/>
      <c r="L65" s="14"/>
    </row>
    <row r="66" spans="1:12" x14ac:dyDescent="0.25">
      <c r="A66" s="6">
        <v>64</v>
      </c>
      <c r="B66" s="8" t="s">
        <v>74</v>
      </c>
      <c r="C66" s="6">
        <f>'KASIM 1 HAFTA'!J67</f>
        <v>8</v>
      </c>
      <c r="D66" s="6"/>
      <c r="E66" s="6"/>
      <c r="F66" s="6">
        <v>2</v>
      </c>
      <c r="G66" s="6"/>
      <c r="H66" s="6"/>
      <c r="I66" s="6"/>
      <c r="J66" s="6">
        <f t="shared" si="0"/>
        <v>6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f>'KASIM 1 HAFTA'!J68</f>
        <v>25</v>
      </c>
      <c r="D67" s="6"/>
      <c r="E67" s="6"/>
      <c r="F67" s="6">
        <v>2</v>
      </c>
      <c r="G67" s="6"/>
      <c r="H67" s="6"/>
      <c r="I67" s="6"/>
      <c r="J67" s="6">
        <f t="shared" ref="J67:J78" si="1">+C67-E67-F67-G67-H67-I67+D67</f>
        <v>23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f>'KASIM 1 HAFTA'!J69</f>
        <v>10</v>
      </c>
      <c r="D68" s="6"/>
      <c r="E68" s="6"/>
      <c r="F68" s="6"/>
      <c r="G68" s="6"/>
      <c r="H68" s="6"/>
      <c r="I68" s="6"/>
      <c r="J68" s="6">
        <f t="shared" si="1"/>
        <v>10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f>'KASIM 1 HAFTA'!J70</f>
        <v>23</v>
      </c>
      <c r="D69" s="6"/>
      <c r="E69" s="6"/>
      <c r="F69" s="6"/>
      <c r="G69" s="6"/>
      <c r="H69" s="6"/>
      <c r="I69" s="6"/>
      <c r="J69" s="6">
        <f t="shared" si="1"/>
        <v>23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f>'KASIM 1 HAFTA'!J71</f>
        <v>8</v>
      </c>
      <c r="D70" s="6"/>
      <c r="E70" s="6"/>
      <c r="F70" s="6"/>
      <c r="G70" s="6"/>
      <c r="H70" s="6"/>
      <c r="I70" s="6"/>
      <c r="J70" s="6">
        <f t="shared" si="1"/>
        <v>8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f>'KASIM 1 HAFTA'!J72</f>
        <v>25</v>
      </c>
      <c r="D71" s="6"/>
      <c r="E71" s="6"/>
      <c r="F71" s="6"/>
      <c r="G71" s="6"/>
      <c r="H71" s="6"/>
      <c r="I71" s="6"/>
      <c r="J71" s="6">
        <f t="shared" si="1"/>
        <v>25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f>'KASIM 1 HAFTA'!J73</f>
        <v>21</v>
      </c>
      <c r="D72" s="6"/>
      <c r="E72" s="6"/>
      <c r="F72" s="6"/>
      <c r="G72" s="6"/>
      <c r="H72" s="6"/>
      <c r="I72" s="6"/>
      <c r="J72" s="6">
        <f t="shared" si="1"/>
        <v>21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f>'KASIM 1 HAFTA'!J74</f>
        <v>38</v>
      </c>
      <c r="D73" s="6"/>
      <c r="E73" s="6"/>
      <c r="F73" s="6"/>
      <c r="G73" s="6"/>
      <c r="H73" s="6"/>
      <c r="I73" s="6"/>
      <c r="J73" s="6">
        <f t="shared" si="1"/>
        <v>38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7"/>
      <c r="D74" s="6">
        <v>290</v>
      </c>
      <c r="E74" s="7"/>
      <c r="F74" s="7">
        <v>7</v>
      </c>
      <c r="G74" s="7">
        <v>7</v>
      </c>
      <c r="H74" s="7"/>
      <c r="I74" s="7">
        <v>3</v>
      </c>
      <c r="J74" s="6">
        <f t="shared" si="1"/>
        <v>273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87</v>
      </c>
      <c r="C75" s="7"/>
      <c r="D75" s="6">
        <v>130</v>
      </c>
      <c r="E75" s="7"/>
      <c r="F75" s="7">
        <v>7</v>
      </c>
      <c r="G75" s="7">
        <v>4</v>
      </c>
      <c r="H75" s="7"/>
      <c r="I75" s="7">
        <v>2</v>
      </c>
      <c r="J75" s="6">
        <f t="shared" si="1"/>
        <v>117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7"/>
      <c r="D76" s="6">
        <v>61</v>
      </c>
      <c r="E76" s="7"/>
      <c r="F76" s="7">
        <v>3</v>
      </c>
      <c r="G76" s="7">
        <v>2</v>
      </c>
      <c r="H76" s="7"/>
      <c r="I76" s="7">
        <v>1</v>
      </c>
      <c r="J76" s="6">
        <f t="shared" si="1"/>
        <v>55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7"/>
      <c r="D77" s="6">
        <v>31</v>
      </c>
      <c r="E77" s="7"/>
      <c r="F77" s="7">
        <v>2</v>
      </c>
      <c r="G77" s="7">
        <v>2</v>
      </c>
      <c r="H77" s="7"/>
      <c r="I77" s="7"/>
      <c r="J77" s="6">
        <f t="shared" si="1"/>
        <v>27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7"/>
      <c r="D78" s="6">
        <v>30</v>
      </c>
      <c r="E78" s="7"/>
      <c r="F78" s="7">
        <v>2</v>
      </c>
      <c r="G78" s="7">
        <v>2</v>
      </c>
      <c r="H78" s="7"/>
      <c r="I78" s="7"/>
      <c r="J78" s="6">
        <f t="shared" si="1"/>
        <v>26</v>
      </c>
      <c r="K78" s="13">
        <v>10</v>
      </c>
      <c r="L78" s="14">
        <v>20</v>
      </c>
    </row>
  </sheetData>
  <pageMargins left="0.7" right="0.7" top="0.75" bottom="0.75" header="0.3" footer="0.3"/>
  <pageSetup paperSize="9" scale="6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8"/>
  <sheetViews>
    <sheetView zoomScaleNormal="100" workbookViewId="0">
      <selection activeCell="K1" sqref="K1:L78"/>
    </sheetView>
  </sheetViews>
  <sheetFormatPr defaultRowHeight="15" x14ac:dyDescent="0.25"/>
  <cols>
    <col min="1" max="1" width="6.5703125" customWidth="1"/>
    <col min="2" max="2" width="25.85546875" customWidth="1"/>
    <col min="3" max="3" width="9.42578125" customWidth="1"/>
    <col min="4" max="4" width="8" customWidth="1"/>
    <col min="5" max="6" width="10.140625" bestFit="1" customWidth="1"/>
    <col min="7" max="7" width="10.7109375" customWidth="1"/>
    <col min="8" max="10" width="10.140625" bestFit="1" customWidth="1"/>
    <col min="11" max="11" width="10" customWidth="1"/>
    <col min="12" max="12" width="11.140625" customWidth="1"/>
  </cols>
  <sheetData>
    <row r="1" spans="1:12" x14ac:dyDescent="0.25">
      <c r="A1" s="2" t="s">
        <v>0</v>
      </c>
      <c r="B1" s="2"/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44879</v>
      </c>
      <c r="F2" s="4">
        <v>44880</v>
      </c>
      <c r="G2" s="4">
        <v>44881</v>
      </c>
      <c r="H2" s="4">
        <v>44882</v>
      </c>
      <c r="I2" s="4">
        <v>44883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4</v>
      </c>
      <c r="C3" s="6">
        <f>'KASIM 2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  <c r="K3" s="13">
        <v>0</v>
      </c>
      <c r="L3" s="14"/>
    </row>
    <row r="4" spans="1:12" x14ac:dyDescent="0.25">
      <c r="A4" s="6">
        <v>2</v>
      </c>
      <c r="B4" s="7" t="s">
        <v>5</v>
      </c>
      <c r="C4" s="6">
        <f>'KASIM 2 HAFTA '!J4</f>
        <v>3</v>
      </c>
      <c r="D4" s="6"/>
      <c r="E4" s="6"/>
      <c r="F4" s="6"/>
      <c r="G4" s="6"/>
      <c r="H4" s="6"/>
      <c r="I4" s="6"/>
      <c r="J4" s="6">
        <f t="shared" ref="J4:J66" si="0">+C4-E4-F4-G4-H4-I4+D4</f>
        <v>3</v>
      </c>
      <c r="K4" s="13">
        <v>0</v>
      </c>
      <c r="L4" s="14"/>
    </row>
    <row r="5" spans="1:12" x14ac:dyDescent="0.25">
      <c r="A5" s="6">
        <v>3</v>
      </c>
      <c r="B5" s="7" t="s">
        <v>69</v>
      </c>
      <c r="C5" s="6">
        <f>'KASIM 2 HAFTA '!J5</f>
        <v>105</v>
      </c>
      <c r="D5" s="6"/>
      <c r="E5" s="6"/>
      <c r="F5" s="6"/>
      <c r="G5" s="6"/>
      <c r="H5" s="6"/>
      <c r="I5" s="6"/>
      <c r="J5" s="6">
        <f t="shared" si="0"/>
        <v>105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f>'KASIM 2 HAFTA '!J6</f>
        <v>55</v>
      </c>
      <c r="D6" s="6"/>
      <c r="E6" s="6"/>
      <c r="F6" s="6"/>
      <c r="G6" s="6"/>
      <c r="H6" s="6"/>
      <c r="I6" s="6"/>
      <c r="J6" s="6">
        <f t="shared" si="0"/>
        <v>55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f>'KASIM 2 HAFTA '!J7</f>
        <v>24</v>
      </c>
      <c r="D7" s="6"/>
      <c r="E7" s="6">
        <v>7</v>
      </c>
      <c r="F7" s="6"/>
      <c r="G7" s="6"/>
      <c r="H7" s="6"/>
      <c r="I7" s="6"/>
      <c r="J7" s="6">
        <f t="shared" si="0"/>
        <v>17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f>'KASIM 2 HAFTA '!J8</f>
        <v>21</v>
      </c>
      <c r="D8" s="6"/>
      <c r="E8" s="6"/>
      <c r="F8" s="6"/>
      <c r="G8" s="6"/>
      <c r="H8" s="6"/>
      <c r="I8" s="6"/>
      <c r="J8" s="6">
        <f t="shared" si="0"/>
        <v>21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f>'KASIM 2 HAFTA '!J9</f>
        <v>14</v>
      </c>
      <c r="D9" s="6"/>
      <c r="E9" s="6"/>
      <c r="F9" s="6"/>
      <c r="G9" s="6"/>
      <c r="H9" s="6">
        <v>2</v>
      </c>
      <c r="I9" s="6"/>
      <c r="J9" s="6">
        <f t="shared" si="0"/>
        <v>12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f>'KASIM 2 HAFTA '!J10</f>
        <v>83</v>
      </c>
      <c r="D10" s="6"/>
      <c r="E10" s="6"/>
      <c r="F10" s="6"/>
      <c r="G10" s="6"/>
      <c r="H10" s="6"/>
      <c r="I10" s="6"/>
      <c r="J10" s="6">
        <f t="shared" si="0"/>
        <v>83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f>'KASIM 2 HAFTA '!J11</f>
        <v>67</v>
      </c>
      <c r="D11" s="6"/>
      <c r="E11" s="6"/>
      <c r="F11" s="6"/>
      <c r="G11" s="6"/>
      <c r="H11" s="6">
        <v>5</v>
      </c>
      <c r="I11" s="6">
        <v>30</v>
      </c>
      <c r="J11" s="6">
        <f t="shared" si="0"/>
        <v>32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f>'KASIM 2 HAFTA '!J12</f>
        <v>558</v>
      </c>
      <c r="D12" s="6"/>
      <c r="E12" s="6"/>
      <c r="F12" s="6"/>
      <c r="G12" s="6"/>
      <c r="H12" s="6"/>
      <c r="I12" s="6"/>
      <c r="J12" s="6">
        <f t="shared" si="0"/>
        <v>558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f>'KASIM 2 HAFTA '!J13</f>
        <v>78</v>
      </c>
      <c r="D13" s="6"/>
      <c r="E13" s="6"/>
      <c r="F13" s="6"/>
      <c r="G13" s="6"/>
      <c r="H13" s="6"/>
      <c r="I13" s="6"/>
      <c r="J13" s="6">
        <f t="shared" si="0"/>
        <v>78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f>'KASIM 2 HAFTA '!J14</f>
        <v>42</v>
      </c>
      <c r="D14" s="6"/>
      <c r="E14" s="6"/>
      <c r="F14" s="6"/>
      <c r="G14" s="6"/>
      <c r="H14" s="6"/>
      <c r="I14" s="6"/>
      <c r="J14" s="6">
        <f t="shared" si="0"/>
        <v>42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f>'KASIM 2 HAFTA '!J15</f>
        <v>98</v>
      </c>
      <c r="D15" s="6"/>
      <c r="E15" s="6"/>
      <c r="F15" s="6"/>
      <c r="G15" s="6"/>
      <c r="H15" s="6"/>
      <c r="I15" s="6"/>
      <c r="J15" s="6">
        <f t="shared" si="0"/>
        <v>98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f>'KASIM 2 HAFTA '!J16</f>
        <v>0</v>
      </c>
      <c r="D16" s="6"/>
      <c r="E16" s="6"/>
      <c r="F16" s="6"/>
      <c r="G16" s="6"/>
      <c r="H16" s="6"/>
      <c r="I16" s="6"/>
      <c r="J16" s="6">
        <f t="shared" si="0"/>
        <v>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16</v>
      </c>
      <c r="C17" s="6">
        <f>'KASIM 2 HAFTA '!J17</f>
        <v>226</v>
      </c>
      <c r="D17" s="6"/>
      <c r="E17" s="6"/>
      <c r="F17" s="6">
        <v>44</v>
      </c>
      <c r="G17" s="6"/>
      <c r="H17" s="6">
        <v>2</v>
      </c>
      <c r="I17" s="6">
        <v>24</v>
      </c>
      <c r="J17" s="6">
        <f t="shared" si="0"/>
        <v>156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f>'KASIM 2 HAFTA '!J18</f>
        <v>93</v>
      </c>
      <c r="D18" s="6"/>
      <c r="E18" s="6"/>
      <c r="F18" s="6">
        <v>42</v>
      </c>
      <c r="G18" s="6"/>
      <c r="H18" s="6"/>
      <c r="I18" s="6">
        <v>16</v>
      </c>
      <c r="J18" s="6">
        <f t="shared" si="0"/>
        <v>35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18</v>
      </c>
      <c r="C19" s="6">
        <f>'KASIM 2 HAFTA '!J19</f>
        <v>107</v>
      </c>
      <c r="D19" s="6"/>
      <c r="E19" s="6">
        <v>13</v>
      </c>
      <c r="F19" s="6"/>
      <c r="G19" s="6"/>
      <c r="H19" s="6"/>
      <c r="I19" s="6"/>
      <c r="J19" s="6">
        <f t="shared" si="0"/>
        <v>94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f>'KASIM 2 HAFTA '!J20</f>
        <v>66</v>
      </c>
      <c r="D20" s="6"/>
      <c r="E20" s="6">
        <v>6</v>
      </c>
      <c r="F20" s="6"/>
      <c r="G20" s="6"/>
      <c r="H20" s="6"/>
      <c r="I20" s="6"/>
      <c r="J20" s="6">
        <f t="shared" si="0"/>
        <v>60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f>'KASIM 2 HAFTA '!J21</f>
        <v>19</v>
      </c>
      <c r="D21" s="6"/>
      <c r="E21" s="6"/>
      <c r="F21" s="6"/>
      <c r="G21" s="6"/>
      <c r="H21" s="6">
        <v>2</v>
      </c>
      <c r="I21" s="6">
        <v>1</v>
      </c>
      <c r="J21" s="6">
        <f t="shared" si="0"/>
        <v>16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84</v>
      </c>
      <c r="C22" s="6">
        <f>'KASIM 2 HAFTA '!J22</f>
        <v>140</v>
      </c>
      <c r="D22" s="6"/>
      <c r="E22" s="6"/>
      <c r="F22" s="6"/>
      <c r="G22" s="6"/>
      <c r="H22" s="6"/>
      <c r="I22" s="6"/>
      <c r="J22" s="6">
        <f t="shared" si="0"/>
        <v>140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f>'KASIM 2 HAFTA '!J23</f>
        <v>130</v>
      </c>
      <c r="D23" s="6"/>
      <c r="E23" s="6"/>
      <c r="F23" s="6"/>
      <c r="G23" s="6"/>
      <c r="H23" s="6"/>
      <c r="I23" s="6"/>
      <c r="J23" s="6">
        <f t="shared" si="0"/>
        <v>130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f>'KASIM 2 HAFTA '!J24</f>
        <v>38</v>
      </c>
      <c r="D24" s="6"/>
      <c r="E24" s="6"/>
      <c r="F24" s="6"/>
      <c r="G24" s="6"/>
      <c r="H24" s="6"/>
      <c r="I24" s="6"/>
      <c r="J24" s="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f>'KASIM 2 HAFTA '!J25</f>
        <v>7</v>
      </c>
      <c r="D25" s="6"/>
      <c r="E25" s="6"/>
      <c r="F25" s="6"/>
      <c r="G25" s="6"/>
      <c r="H25" s="6"/>
      <c r="I25" s="6"/>
      <c r="J25" s="6">
        <f t="shared" si="0"/>
        <v>7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f>'KASIM 2 HAFTA '!J26</f>
        <v>223</v>
      </c>
      <c r="D26" s="6"/>
      <c r="E26" s="6"/>
      <c r="F26" s="6"/>
      <c r="G26" s="6"/>
      <c r="H26" s="6"/>
      <c r="I26" s="6"/>
      <c r="J26" s="6">
        <f t="shared" si="0"/>
        <v>223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2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2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f>'KASIM 2 HAFTA '!J29</f>
        <v>13</v>
      </c>
      <c r="D29" s="6"/>
      <c r="E29" s="6"/>
      <c r="F29" s="6"/>
      <c r="G29" s="6"/>
      <c r="H29" s="6"/>
      <c r="I29" s="6"/>
      <c r="J29" s="6">
        <f t="shared" si="0"/>
        <v>13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f>'KASIM 2 HAFTA '!J30</f>
        <v>60</v>
      </c>
      <c r="D30" s="6"/>
      <c r="E30" s="6"/>
      <c r="F30" s="6"/>
      <c r="G30" s="6"/>
      <c r="H30" s="6"/>
      <c r="I30" s="6"/>
      <c r="J30" s="6">
        <f t="shared" si="0"/>
        <v>60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f>'KASIM 2 HAFTA '!J31</f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f>'KASIM 2 HAFTA '!J32</f>
        <v>638</v>
      </c>
      <c r="D32" s="6"/>
      <c r="E32" s="6"/>
      <c r="F32" s="6"/>
      <c r="G32" s="6"/>
      <c r="H32" s="6"/>
      <c r="I32" s="6"/>
      <c r="J32" s="6">
        <f t="shared" si="0"/>
        <v>638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2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2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2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f>'KASIM 2 HAFTA '!J36</f>
        <v>537</v>
      </c>
      <c r="D36" s="6"/>
      <c r="E36" s="6"/>
      <c r="F36" s="6"/>
      <c r="G36" s="6"/>
      <c r="H36" s="6"/>
      <c r="I36" s="6"/>
      <c r="J36" s="6">
        <f t="shared" si="0"/>
        <v>537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f>'KASIM 2 HAFTA '!J37</f>
        <v>133</v>
      </c>
      <c r="D37" s="6"/>
      <c r="E37" s="6">
        <v>6</v>
      </c>
      <c r="F37" s="6"/>
      <c r="G37" s="6"/>
      <c r="H37" s="6"/>
      <c r="I37" s="6"/>
      <c r="J37" s="6">
        <f t="shared" si="0"/>
        <v>127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2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f>'KASIM 2 HAFTA '!J39</f>
        <v>24</v>
      </c>
      <c r="D39" s="6"/>
      <c r="E39" s="6"/>
      <c r="F39" s="6"/>
      <c r="G39" s="6"/>
      <c r="H39" s="6"/>
      <c r="I39" s="6"/>
      <c r="J39" s="6">
        <f t="shared" si="0"/>
        <v>24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f>'KASIM 2 HAFTA '!J40</f>
        <v>47</v>
      </c>
      <c r="D40" s="6"/>
      <c r="E40" s="6"/>
      <c r="F40" s="6">
        <v>10</v>
      </c>
      <c r="G40" s="6"/>
      <c r="H40" s="6"/>
      <c r="I40" s="6"/>
      <c r="J40" s="6">
        <f t="shared" si="0"/>
        <v>37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f>'KASIM 2 HAFTA '!J41</f>
        <v>57</v>
      </c>
      <c r="D41" s="6"/>
      <c r="E41" s="6"/>
      <c r="F41" s="6"/>
      <c r="G41" s="6"/>
      <c r="H41" s="6"/>
      <c r="I41" s="6">
        <v>6</v>
      </c>
      <c r="J41" s="6">
        <f t="shared" si="0"/>
        <v>51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f>'KASIM 2 HAFTA '!J42</f>
        <v>12</v>
      </c>
      <c r="D42" s="6"/>
      <c r="E42" s="6"/>
      <c r="F42" s="6"/>
      <c r="G42" s="6"/>
      <c r="H42" s="6"/>
      <c r="I42" s="6">
        <v>5</v>
      </c>
      <c r="J42" s="6">
        <f t="shared" si="0"/>
        <v>7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f>'KASIM 2 HAFTA '!J43</f>
        <v>325</v>
      </c>
      <c r="D43" s="6"/>
      <c r="E43" s="6"/>
      <c r="F43" s="6"/>
      <c r="G43" s="6"/>
      <c r="H43" s="6">
        <v>12</v>
      </c>
      <c r="I43" s="6"/>
      <c r="J43" s="6">
        <f t="shared" si="0"/>
        <v>313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60</v>
      </c>
      <c r="C44" s="6">
        <f>'KASIM 2 HAFTA '!J44</f>
        <v>149</v>
      </c>
      <c r="D44" s="6"/>
      <c r="E44" s="6"/>
      <c r="F44" s="6"/>
      <c r="G44" s="6"/>
      <c r="H44" s="6"/>
      <c r="I44" s="6"/>
      <c r="J44" s="6">
        <f t="shared" si="0"/>
        <v>149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f>'KASIM 2 HAFTA '!J45</f>
        <v>42</v>
      </c>
      <c r="D45" s="6"/>
      <c r="E45" s="6"/>
      <c r="F45" s="6"/>
      <c r="G45" s="6"/>
      <c r="H45" s="6"/>
      <c r="I45" s="6"/>
      <c r="J45" s="6">
        <f t="shared" si="0"/>
        <v>42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f>'KASIM 2 HAFTA '!J46</f>
        <v>67</v>
      </c>
      <c r="D46" s="6"/>
      <c r="E46" s="6">
        <v>5</v>
      </c>
      <c r="F46" s="6"/>
      <c r="G46" s="6"/>
      <c r="H46" s="6"/>
      <c r="I46" s="6"/>
      <c r="J46" s="6">
        <f t="shared" si="0"/>
        <v>62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f>'KASIM 2 HAFTA '!J47</f>
        <v>24</v>
      </c>
      <c r="D47" s="6"/>
      <c r="E47" s="6"/>
      <c r="F47" s="6"/>
      <c r="G47" s="6"/>
      <c r="H47" s="6"/>
      <c r="I47" s="6"/>
      <c r="J47" s="6">
        <f t="shared" si="0"/>
        <v>24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2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f>'KASIM 2 HAFTA '!J49</f>
        <v>38</v>
      </c>
      <c r="D49" s="6"/>
      <c r="E49" s="6"/>
      <c r="F49" s="6"/>
      <c r="G49" s="6"/>
      <c r="H49" s="6"/>
      <c r="I49" s="6"/>
      <c r="J49" s="6">
        <f t="shared" si="0"/>
        <v>38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f>'KASIM 2 HAFTA '!J50</f>
        <v>44</v>
      </c>
      <c r="D50" s="6"/>
      <c r="E50" s="6"/>
      <c r="F50" s="6"/>
      <c r="G50" s="6"/>
      <c r="H50" s="6"/>
      <c r="I50" s="6">
        <v>10</v>
      </c>
      <c r="J50" s="6">
        <f t="shared" si="0"/>
        <v>34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f>'KASIM 2 HAFTA '!J51</f>
        <v>231</v>
      </c>
      <c r="D51" s="6"/>
      <c r="E51" s="6"/>
      <c r="F51" s="6"/>
      <c r="G51" s="6"/>
      <c r="H51" s="6"/>
      <c r="I51" s="6">
        <v>2</v>
      </c>
      <c r="J51" s="6">
        <f t="shared" si="0"/>
        <v>229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f>'KASIM 2 HAFTA '!J52</f>
        <v>76</v>
      </c>
      <c r="D52" s="6"/>
      <c r="E52" s="6"/>
      <c r="F52" s="6"/>
      <c r="G52" s="6"/>
      <c r="H52" s="6"/>
      <c r="I52" s="6">
        <v>8</v>
      </c>
      <c r="J52" s="6">
        <f t="shared" si="0"/>
        <v>68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91</v>
      </c>
      <c r="C53" s="6">
        <f>'KASIM 2 HAFTA '!J53</f>
        <v>26</v>
      </c>
      <c r="D53" s="6"/>
      <c r="E53" s="6"/>
      <c r="F53" s="6"/>
      <c r="G53" s="6"/>
      <c r="H53" s="6"/>
      <c r="I53" s="6"/>
      <c r="J53" s="6">
        <f t="shared" si="0"/>
        <v>26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2 HAFTA '!J54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f>'KASIM 2 HAFTA '!J55</f>
        <v>77</v>
      </c>
      <c r="D55" s="6"/>
      <c r="E55" s="6"/>
      <c r="F55" s="6"/>
      <c r="G55" s="6"/>
      <c r="H55" s="6"/>
      <c r="I55" s="6"/>
      <c r="J55" s="6">
        <f t="shared" si="0"/>
        <v>77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2 HAFTA '!J56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2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f>'KASIM 2 HAFTA '!J58</f>
        <v>22</v>
      </c>
      <c r="D58" s="6"/>
      <c r="E58" s="6"/>
      <c r="F58" s="6"/>
      <c r="G58" s="6"/>
      <c r="H58" s="6"/>
      <c r="I58" s="6"/>
      <c r="J58" s="6">
        <f t="shared" si="0"/>
        <v>22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2 HAFTA '!J59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f>'KASIM 2 HAFTA '!J60</f>
        <v>2</v>
      </c>
      <c r="D60" s="6"/>
      <c r="E60" s="6"/>
      <c r="F60" s="6"/>
      <c r="G60" s="6"/>
      <c r="H60" s="6"/>
      <c r="I60" s="6"/>
      <c r="J60" s="6">
        <f t="shared" si="0"/>
        <v>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f>'KASIM 2 HAFTA '!J61</f>
        <v>3</v>
      </c>
      <c r="D61" s="6"/>
      <c r="E61" s="6"/>
      <c r="F61" s="6"/>
      <c r="G61" s="6"/>
      <c r="H61" s="6"/>
      <c r="I61" s="6"/>
      <c r="J61" s="6">
        <f t="shared" si="0"/>
        <v>3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2 HAFTA '!J62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2 HAFTA '!J63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f>'KASIM 2 HAFTA '!J64</f>
        <v>132</v>
      </c>
      <c r="D64" s="6"/>
      <c r="E64" s="6"/>
      <c r="F64" s="6"/>
      <c r="G64" s="6"/>
      <c r="H64" s="6"/>
      <c r="I64" s="6"/>
      <c r="J64" s="6">
        <f t="shared" si="0"/>
        <v>132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f>'KASIM 2 HAFTA '!J65</f>
        <v>142</v>
      </c>
      <c r="D65" s="6"/>
      <c r="E65" s="6"/>
      <c r="F65" s="6"/>
      <c r="G65" s="6"/>
      <c r="H65" s="6"/>
      <c r="I65" s="6"/>
      <c r="J65" s="6">
        <f t="shared" si="0"/>
        <v>142</v>
      </c>
      <c r="K65" s="13"/>
      <c r="L65" s="14"/>
    </row>
    <row r="66" spans="1:12" x14ac:dyDescent="0.25">
      <c r="A66" s="6">
        <v>64</v>
      </c>
      <c r="B66" s="8" t="s">
        <v>74</v>
      </c>
      <c r="C66" s="6">
        <f>'KASIM 2 HAFTA '!J66</f>
        <v>6</v>
      </c>
      <c r="D66" s="6"/>
      <c r="E66" s="6"/>
      <c r="F66" s="6"/>
      <c r="G66" s="6"/>
      <c r="H66" s="6"/>
      <c r="I66" s="6"/>
      <c r="J66" s="6">
        <f t="shared" si="0"/>
        <v>6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f>'KASIM 2 HAFTA '!J67</f>
        <v>23</v>
      </c>
      <c r="D67" s="6"/>
      <c r="E67" s="6"/>
      <c r="F67" s="6"/>
      <c r="G67" s="6"/>
      <c r="H67" s="6"/>
      <c r="I67" s="6"/>
      <c r="J67" s="6">
        <f t="shared" ref="J67:J78" si="1">+C67-E67-F67-G67-H67-I67+D67</f>
        <v>23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f>'KASIM 2 HAFTA '!J68</f>
        <v>10</v>
      </c>
      <c r="D68" s="6"/>
      <c r="E68" s="6"/>
      <c r="F68" s="6"/>
      <c r="G68" s="6"/>
      <c r="H68" s="6"/>
      <c r="I68" s="6"/>
      <c r="J68" s="6">
        <f t="shared" si="1"/>
        <v>10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f>'KASIM 2 HAFTA '!J69</f>
        <v>23</v>
      </c>
      <c r="D69" s="6"/>
      <c r="E69" s="6"/>
      <c r="F69" s="6"/>
      <c r="G69" s="6"/>
      <c r="H69" s="6"/>
      <c r="I69" s="6"/>
      <c r="J69" s="6">
        <f t="shared" si="1"/>
        <v>23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f>'KASIM 2 HAFTA '!J70</f>
        <v>8</v>
      </c>
      <c r="D70" s="6"/>
      <c r="E70" s="6"/>
      <c r="F70" s="6"/>
      <c r="G70" s="6"/>
      <c r="H70" s="6"/>
      <c r="I70" s="6"/>
      <c r="J70" s="6">
        <f t="shared" si="1"/>
        <v>8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f>'KASIM 2 HAFTA '!J71</f>
        <v>25</v>
      </c>
      <c r="D71" s="6"/>
      <c r="E71" s="6"/>
      <c r="F71" s="6"/>
      <c r="G71" s="6"/>
      <c r="H71" s="6"/>
      <c r="I71" s="6"/>
      <c r="J71" s="6">
        <f t="shared" si="1"/>
        <v>25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f>'KASIM 2 HAFTA '!J72</f>
        <v>21</v>
      </c>
      <c r="D72" s="6"/>
      <c r="E72" s="6">
        <v>3</v>
      </c>
      <c r="F72" s="6"/>
      <c r="G72" s="6"/>
      <c r="H72" s="6"/>
      <c r="I72" s="6"/>
      <c r="J72" s="6">
        <f t="shared" si="1"/>
        <v>18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f>'KASIM 2 HAFTA '!J73</f>
        <v>38</v>
      </c>
      <c r="D73" s="6"/>
      <c r="E73" s="6"/>
      <c r="F73" s="6"/>
      <c r="G73" s="6"/>
      <c r="H73" s="6"/>
      <c r="I73" s="6"/>
      <c r="J73" s="6">
        <f t="shared" si="1"/>
        <v>38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f>'KASIM 2 HAFTA '!J74</f>
        <v>273</v>
      </c>
      <c r="D74" s="6">
        <v>0</v>
      </c>
      <c r="E74" s="7"/>
      <c r="F74" s="7">
        <v>0</v>
      </c>
      <c r="G74" s="7">
        <v>0</v>
      </c>
      <c r="H74" s="7"/>
      <c r="I74" s="7">
        <v>0</v>
      </c>
      <c r="J74" s="6">
        <f t="shared" si="1"/>
        <v>273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87</v>
      </c>
      <c r="C75" s="6">
        <f>'KASIM 2 HAFTA '!J75</f>
        <v>117</v>
      </c>
      <c r="D75" s="6">
        <v>0</v>
      </c>
      <c r="E75" s="7"/>
      <c r="F75" s="7">
        <v>0</v>
      </c>
      <c r="G75" s="7">
        <v>0</v>
      </c>
      <c r="H75" s="7"/>
      <c r="I75" s="7">
        <v>0</v>
      </c>
      <c r="J75" s="6">
        <f t="shared" si="1"/>
        <v>117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f>'KASIM 2 HAFTA '!J76</f>
        <v>55</v>
      </c>
      <c r="D76" s="6">
        <v>0</v>
      </c>
      <c r="E76" s="7"/>
      <c r="F76" s="7">
        <v>0</v>
      </c>
      <c r="G76" s="7">
        <v>0</v>
      </c>
      <c r="H76" s="7"/>
      <c r="I76" s="7">
        <v>0</v>
      </c>
      <c r="J76" s="6">
        <f t="shared" si="1"/>
        <v>55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6">
        <f>'KASIM 2 HAFTA '!J77</f>
        <v>27</v>
      </c>
      <c r="D77" s="6">
        <v>0</v>
      </c>
      <c r="E77" s="7"/>
      <c r="F77" s="7">
        <v>0</v>
      </c>
      <c r="G77" s="7">
        <v>0</v>
      </c>
      <c r="H77" s="7"/>
      <c r="I77" s="7">
        <v>0</v>
      </c>
      <c r="J77" s="6">
        <f t="shared" si="1"/>
        <v>27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6">
        <f>'KASIM 2 HAFTA '!J78</f>
        <v>26</v>
      </c>
      <c r="D78" s="6">
        <v>0</v>
      </c>
      <c r="E78" s="7"/>
      <c r="F78" s="7">
        <v>0</v>
      </c>
      <c r="G78" s="7">
        <v>0</v>
      </c>
      <c r="H78" s="7"/>
      <c r="I78" s="7"/>
      <c r="J78" s="6">
        <f t="shared" si="1"/>
        <v>26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8"/>
  <sheetViews>
    <sheetView zoomScaleNormal="100" workbookViewId="0">
      <selection activeCell="I17" sqref="I17"/>
    </sheetView>
  </sheetViews>
  <sheetFormatPr defaultRowHeight="15" x14ac:dyDescent="0.25"/>
  <cols>
    <col min="1" max="1" width="5.7109375" customWidth="1"/>
    <col min="2" max="2" width="25.855468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44886</v>
      </c>
      <c r="F2" s="4">
        <v>44887</v>
      </c>
      <c r="G2" s="4">
        <v>44888</v>
      </c>
      <c r="H2" s="4">
        <v>44889</v>
      </c>
      <c r="I2" s="4">
        <v>44890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4</v>
      </c>
      <c r="C3" s="6">
        <f>'KASIM 3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  <c r="K3" s="13">
        <v>0</v>
      </c>
      <c r="L3" s="14"/>
    </row>
    <row r="4" spans="1:12" x14ac:dyDescent="0.25">
      <c r="A4" s="6">
        <v>2</v>
      </c>
      <c r="B4" s="7" t="s">
        <v>5</v>
      </c>
      <c r="C4" s="6">
        <f>'KASIM 3 HAFTA '!J4</f>
        <v>3</v>
      </c>
      <c r="D4" s="6"/>
      <c r="E4" s="6"/>
      <c r="F4" s="6"/>
      <c r="G4" s="6">
        <v>3</v>
      </c>
      <c r="H4" s="6"/>
      <c r="I4" s="6"/>
      <c r="J4" s="6">
        <f t="shared" ref="J4:J66" si="0">+C4-E4-F4-G4-H4-I4+D4</f>
        <v>0</v>
      </c>
      <c r="K4" s="13">
        <v>0</v>
      </c>
      <c r="L4" s="14"/>
    </row>
    <row r="5" spans="1:12" x14ac:dyDescent="0.25">
      <c r="A5" s="6">
        <v>3</v>
      </c>
      <c r="B5" s="7" t="s">
        <v>69</v>
      </c>
      <c r="C5" s="6">
        <f>'KASIM 3 HAFTA '!J5</f>
        <v>105</v>
      </c>
      <c r="D5" s="6"/>
      <c r="E5" s="6">
        <v>6</v>
      </c>
      <c r="F5" s="6"/>
      <c r="G5" s="6"/>
      <c r="H5" s="6">
        <v>5</v>
      </c>
      <c r="I5" s="6"/>
      <c r="J5" s="6">
        <f t="shared" si="0"/>
        <v>94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f>'KASIM 3 HAFTA '!J6</f>
        <v>55</v>
      </c>
      <c r="D6" s="6"/>
      <c r="E6" s="6"/>
      <c r="F6" s="6"/>
      <c r="G6" s="6"/>
      <c r="H6" s="6"/>
      <c r="I6" s="6"/>
      <c r="J6" s="6">
        <f t="shared" si="0"/>
        <v>55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f>'KASIM 3 HAFTA '!J7</f>
        <v>17</v>
      </c>
      <c r="D7" s="6"/>
      <c r="E7" s="6">
        <v>2</v>
      </c>
      <c r="F7" s="6"/>
      <c r="G7" s="6"/>
      <c r="H7" s="6"/>
      <c r="I7" s="6"/>
      <c r="J7" s="6">
        <f t="shared" si="0"/>
        <v>15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f>'KASIM 3 HAFTA '!J8</f>
        <v>21</v>
      </c>
      <c r="D8" s="6"/>
      <c r="E8" s="6"/>
      <c r="F8" s="6"/>
      <c r="G8" s="6"/>
      <c r="H8" s="6"/>
      <c r="I8" s="6"/>
      <c r="J8" s="6">
        <f t="shared" si="0"/>
        <v>21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f>'KASIM 3 HAFTA '!J9</f>
        <v>12</v>
      </c>
      <c r="D9" s="6"/>
      <c r="E9" s="6"/>
      <c r="F9" s="6"/>
      <c r="G9" s="6"/>
      <c r="H9" s="6"/>
      <c r="I9" s="6"/>
      <c r="J9" s="6">
        <f t="shared" si="0"/>
        <v>12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f>'KASIM 3 HAFTA '!J10</f>
        <v>83</v>
      </c>
      <c r="D10" s="6"/>
      <c r="E10" s="6"/>
      <c r="F10" s="6"/>
      <c r="G10" s="6">
        <v>8</v>
      </c>
      <c r="H10" s="6"/>
      <c r="I10" s="6"/>
      <c r="J10" s="6">
        <f t="shared" si="0"/>
        <v>75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f>'KASIM 3 HAFTA '!J11</f>
        <v>32</v>
      </c>
      <c r="D11" s="6"/>
      <c r="E11" s="6"/>
      <c r="F11" s="6"/>
      <c r="G11" s="6"/>
      <c r="H11" s="6"/>
      <c r="I11" s="6">
        <v>1</v>
      </c>
      <c r="J11" s="6">
        <f t="shared" si="0"/>
        <v>31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f>'KASIM 3 HAFTA '!J12</f>
        <v>558</v>
      </c>
      <c r="D12" s="6"/>
      <c r="E12" s="6">
        <v>500</v>
      </c>
      <c r="F12" s="6">
        <v>58</v>
      </c>
      <c r="G12" s="6"/>
      <c r="H12" s="6"/>
      <c r="I12" s="6"/>
      <c r="J12" s="6">
        <f t="shared" si="0"/>
        <v>0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f>'KASIM 3 HAFTA '!J13</f>
        <v>78</v>
      </c>
      <c r="D13" s="6"/>
      <c r="E13" s="6"/>
      <c r="F13" s="6"/>
      <c r="G13" s="6"/>
      <c r="H13" s="6"/>
      <c r="I13" s="6"/>
      <c r="J13" s="6">
        <f t="shared" si="0"/>
        <v>78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f>'KASIM 3 HAFTA '!J14</f>
        <v>42</v>
      </c>
      <c r="D14" s="6"/>
      <c r="E14" s="6"/>
      <c r="F14" s="6"/>
      <c r="G14" s="6"/>
      <c r="H14" s="6"/>
      <c r="I14" s="6"/>
      <c r="J14" s="6">
        <f t="shared" si="0"/>
        <v>42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f>'KASIM 3 HAFTA '!J15</f>
        <v>98</v>
      </c>
      <c r="D15" s="6"/>
      <c r="E15" s="6"/>
      <c r="F15" s="6"/>
      <c r="G15" s="6"/>
      <c r="H15" s="6"/>
      <c r="I15" s="6"/>
      <c r="J15" s="6">
        <f t="shared" si="0"/>
        <v>98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f>'KASIM 3 HAFTA '!J16</f>
        <v>0</v>
      </c>
      <c r="D16" s="6"/>
      <c r="E16" s="6"/>
      <c r="F16" s="6"/>
      <c r="G16" s="6"/>
      <c r="H16" s="6"/>
      <c r="I16" s="6"/>
      <c r="J16" s="6">
        <f t="shared" si="0"/>
        <v>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16</v>
      </c>
      <c r="C17" s="6">
        <f>'KASIM 3 HAFTA '!J17</f>
        <v>156</v>
      </c>
      <c r="D17" s="6"/>
      <c r="E17" s="6">
        <v>1</v>
      </c>
      <c r="F17" s="6"/>
      <c r="G17" s="6"/>
      <c r="H17" s="6"/>
      <c r="I17" s="6">
        <v>10</v>
      </c>
      <c r="J17" s="6">
        <f t="shared" si="0"/>
        <v>145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f>'KASIM 3 HAFTA '!J18</f>
        <v>35</v>
      </c>
      <c r="D18" s="6"/>
      <c r="E18" s="6"/>
      <c r="F18" s="6"/>
      <c r="G18" s="6"/>
      <c r="H18" s="6"/>
      <c r="I18" s="6">
        <v>35</v>
      </c>
      <c r="J18" s="6">
        <f t="shared" si="0"/>
        <v>0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18</v>
      </c>
      <c r="C19" s="6">
        <f>'KASIM 3 HAFTA '!J19</f>
        <v>94</v>
      </c>
      <c r="D19" s="6"/>
      <c r="E19" s="6"/>
      <c r="F19" s="6">
        <v>1</v>
      </c>
      <c r="G19" s="6"/>
      <c r="H19" s="6"/>
      <c r="I19" s="6"/>
      <c r="J19" s="6">
        <f t="shared" si="0"/>
        <v>93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f>'KASIM 3 HAFTA '!J20</f>
        <v>60</v>
      </c>
      <c r="D20" s="6"/>
      <c r="E20" s="6"/>
      <c r="F20" s="6"/>
      <c r="G20" s="6"/>
      <c r="H20" s="6"/>
      <c r="I20" s="6"/>
      <c r="J20" s="6">
        <f t="shared" si="0"/>
        <v>60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f>'KASIM 3 HAFTA '!J21</f>
        <v>16</v>
      </c>
      <c r="D21" s="6"/>
      <c r="E21" s="6"/>
      <c r="F21" s="6">
        <v>3</v>
      </c>
      <c r="G21" s="6"/>
      <c r="H21" s="6"/>
      <c r="I21" s="6"/>
      <c r="J21" s="6">
        <f t="shared" si="0"/>
        <v>13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84</v>
      </c>
      <c r="C22" s="6">
        <f>'KASIM 3 HAFTA '!J22</f>
        <v>140</v>
      </c>
      <c r="D22" s="6"/>
      <c r="E22" s="6"/>
      <c r="F22" s="6"/>
      <c r="G22" s="6"/>
      <c r="H22" s="6"/>
      <c r="I22" s="6"/>
      <c r="J22" s="6">
        <f t="shared" si="0"/>
        <v>140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f>'KASIM 3 HAFTA '!J23</f>
        <v>130</v>
      </c>
      <c r="D23" s="6"/>
      <c r="E23" s="6"/>
      <c r="F23" s="6"/>
      <c r="G23" s="6"/>
      <c r="H23" s="6"/>
      <c r="I23" s="6"/>
      <c r="J23" s="6">
        <f t="shared" si="0"/>
        <v>130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f>'KASIM 3 HAFTA '!J24</f>
        <v>38</v>
      </c>
      <c r="D24" s="6"/>
      <c r="E24" s="6"/>
      <c r="F24" s="6"/>
      <c r="G24" s="6"/>
      <c r="H24" s="6"/>
      <c r="I24" s="6"/>
      <c r="J24" s="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f>'KASIM 3 HAFTA '!J25</f>
        <v>7</v>
      </c>
      <c r="D25" s="6"/>
      <c r="E25" s="6"/>
      <c r="F25" s="6"/>
      <c r="G25" s="6"/>
      <c r="H25" s="6"/>
      <c r="I25" s="6"/>
      <c r="J25" s="6">
        <f t="shared" si="0"/>
        <v>7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f>'KASIM 3 HAFTA '!J26</f>
        <v>223</v>
      </c>
      <c r="D26" s="6"/>
      <c r="E26" s="6"/>
      <c r="F26" s="6"/>
      <c r="G26" s="6"/>
      <c r="H26" s="6"/>
      <c r="I26" s="6"/>
      <c r="J26" s="6">
        <f t="shared" si="0"/>
        <v>223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f>'KASIM 3 HAFTA '!J29</f>
        <v>13</v>
      </c>
      <c r="D29" s="6"/>
      <c r="E29" s="6"/>
      <c r="F29" s="6"/>
      <c r="G29" s="6"/>
      <c r="H29" s="6"/>
      <c r="I29" s="6"/>
      <c r="J29" s="6">
        <f t="shared" si="0"/>
        <v>13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f>'KASIM 3 HAFTA '!J30</f>
        <v>60</v>
      </c>
      <c r="D30" s="6"/>
      <c r="E30" s="6"/>
      <c r="F30" s="6"/>
      <c r="G30" s="6"/>
      <c r="H30" s="6"/>
      <c r="I30" s="6"/>
      <c r="J30" s="6">
        <f t="shared" si="0"/>
        <v>60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f>'KASIM 3 HAFTA '!J31</f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f>'KASIM 3 HAFTA '!J32</f>
        <v>638</v>
      </c>
      <c r="D32" s="6"/>
      <c r="E32" s="6"/>
      <c r="F32" s="6">
        <v>35</v>
      </c>
      <c r="G32" s="6"/>
      <c r="H32" s="6"/>
      <c r="I32" s="6"/>
      <c r="J32" s="6">
        <f t="shared" si="0"/>
        <v>603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f>'KASIM 3 HAFTA '!J36</f>
        <v>537</v>
      </c>
      <c r="D36" s="6"/>
      <c r="E36" s="6"/>
      <c r="F36" s="6"/>
      <c r="G36" s="6"/>
      <c r="H36" s="6"/>
      <c r="I36" s="6"/>
      <c r="J36" s="6">
        <f t="shared" si="0"/>
        <v>537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f>'KASIM 3 HAFTA '!J37</f>
        <v>127</v>
      </c>
      <c r="D37" s="6"/>
      <c r="E37" s="6">
        <v>2</v>
      </c>
      <c r="F37" s="6"/>
      <c r="G37" s="6"/>
      <c r="H37" s="6"/>
      <c r="I37" s="6"/>
      <c r="J37" s="6">
        <f t="shared" si="0"/>
        <v>125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f>'KASIM 3 HAFTA '!J39</f>
        <v>24</v>
      </c>
      <c r="D39" s="6"/>
      <c r="E39" s="6"/>
      <c r="F39" s="6"/>
      <c r="G39" s="6"/>
      <c r="H39" s="6"/>
      <c r="I39" s="6"/>
      <c r="J39" s="6">
        <f t="shared" si="0"/>
        <v>24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f>'KASIM 3 HAFTA '!J40</f>
        <v>37</v>
      </c>
      <c r="D40" s="6"/>
      <c r="E40" s="6"/>
      <c r="F40" s="6">
        <v>2</v>
      </c>
      <c r="G40" s="6"/>
      <c r="H40" s="6"/>
      <c r="I40" s="6"/>
      <c r="J40" s="6">
        <f t="shared" si="0"/>
        <v>35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f>'KASIM 3 HAFTA '!J41</f>
        <v>51</v>
      </c>
      <c r="D41" s="6"/>
      <c r="E41" s="6"/>
      <c r="F41" s="6"/>
      <c r="G41" s="6"/>
      <c r="H41" s="6"/>
      <c r="I41" s="6">
        <v>40</v>
      </c>
      <c r="J41" s="6">
        <f t="shared" si="0"/>
        <v>11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f>'KASIM 3 HAFTA '!J42</f>
        <v>7</v>
      </c>
      <c r="D42" s="6"/>
      <c r="E42" s="6">
        <v>2</v>
      </c>
      <c r="F42" s="6">
        <v>2</v>
      </c>
      <c r="G42" s="6"/>
      <c r="H42" s="6"/>
      <c r="I42" s="6"/>
      <c r="J42" s="6">
        <f t="shared" si="0"/>
        <v>3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f>'KASIM 3 HAFTA '!J43</f>
        <v>313</v>
      </c>
      <c r="D43" s="6"/>
      <c r="E43" s="6">
        <v>85</v>
      </c>
      <c r="F43" s="6"/>
      <c r="G43" s="6"/>
      <c r="H43" s="6"/>
      <c r="I43" s="6"/>
      <c r="J43" s="6">
        <f t="shared" si="0"/>
        <v>228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60</v>
      </c>
      <c r="C44" s="6">
        <f>'KASIM 3 HAFTA '!J44</f>
        <v>149</v>
      </c>
      <c r="D44" s="6"/>
      <c r="E44" s="6"/>
      <c r="F44" s="6"/>
      <c r="G44" s="6"/>
      <c r="H44" s="6"/>
      <c r="I44" s="6"/>
      <c r="J44" s="6">
        <f t="shared" si="0"/>
        <v>149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f>'KASIM 3 HAFTA '!J45</f>
        <v>42</v>
      </c>
      <c r="D45" s="6"/>
      <c r="E45" s="6"/>
      <c r="F45" s="6"/>
      <c r="G45" s="6"/>
      <c r="H45" s="6"/>
      <c r="I45" s="6"/>
      <c r="J45" s="6">
        <f t="shared" si="0"/>
        <v>42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f>'KASIM 3 HAFTA '!J46</f>
        <v>62</v>
      </c>
      <c r="D46" s="6"/>
      <c r="E46" s="6"/>
      <c r="F46" s="6">
        <v>2</v>
      </c>
      <c r="G46" s="6"/>
      <c r="H46" s="6"/>
      <c r="I46" s="6"/>
      <c r="J46" s="6">
        <f t="shared" si="0"/>
        <v>60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f>'KASIM 3 HAFTA '!J47</f>
        <v>24</v>
      </c>
      <c r="D47" s="6"/>
      <c r="E47" s="6"/>
      <c r="F47" s="6"/>
      <c r="G47" s="6"/>
      <c r="H47" s="6"/>
      <c r="I47" s="6"/>
      <c r="J47" s="6">
        <f t="shared" si="0"/>
        <v>24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f>'KASIM 3 HAFTA '!J49</f>
        <v>38</v>
      </c>
      <c r="D49" s="6"/>
      <c r="E49" s="6"/>
      <c r="F49" s="6"/>
      <c r="G49" s="6"/>
      <c r="H49" s="6"/>
      <c r="I49" s="6"/>
      <c r="J49" s="6">
        <f t="shared" si="0"/>
        <v>38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f>'KASIM 3 HAFTA '!J50</f>
        <v>34</v>
      </c>
      <c r="D50" s="6"/>
      <c r="E50" s="6"/>
      <c r="F50" s="6"/>
      <c r="G50" s="6"/>
      <c r="H50" s="6"/>
      <c r="I50" s="6">
        <v>10</v>
      </c>
      <c r="J50" s="6">
        <f t="shared" si="0"/>
        <v>24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f>'KASIM 3 HAFTA '!J51</f>
        <v>229</v>
      </c>
      <c r="D51" s="6"/>
      <c r="E51" s="6"/>
      <c r="F51" s="6"/>
      <c r="G51" s="6">
        <v>2</v>
      </c>
      <c r="H51" s="6"/>
      <c r="I51" s="6"/>
      <c r="J51" s="6">
        <f t="shared" si="0"/>
        <v>227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f>'KASIM 3 HAFTA '!J52</f>
        <v>68</v>
      </c>
      <c r="D52" s="6"/>
      <c r="E52" s="6"/>
      <c r="F52" s="6"/>
      <c r="G52" s="6"/>
      <c r="H52" s="6"/>
      <c r="I52" s="6">
        <v>2</v>
      </c>
      <c r="J52" s="6">
        <f t="shared" si="0"/>
        <v>66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42</v>
      </c>
      <c r="C53" s="6">
        <f>'KASIM 3 HAFTA '!J53</f>
        <v>26</v>
      </c>
      <c r="D53" s="6"/>
      <c r="E53" s="6"/>
      <c r="F53" s="6"/>
      <c r="G53" s="6"/>
      <c r="H53" s="6"/>
      <c r="I53" s="6"/>
      <c r="J53" s="6">
        <f t="shared" si="0"/>
        <v>26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3 HAFTA '!J54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f>'KASIM 3 HAFTA '!J55</f>
        <v>77</v>
      </c>
      <c r="D55" s="6"/>
      <c r="E55" s="6"/>
      <c r="F55" s="6"/>
      <c r="G55" s="6"/>
      <c r="H55" s="6"/>
      <c r="I55" s="6"/>
      <c r="J55" s="6">
        <f t="shared" si="0"/>
        <v>77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3 HAFTA '!J56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f>'KASIM 3 HAFTA '!J58</f>
        <v>22</v>
      </c>
      <c r="D58" s="6"/>
      <c r="E58" s="6"/>
      <c r="F58" s="6"/>
      <c r="G58" s="6"/>
      <c r="H58" s="6">
        <v>6</v>
      </c>
      <c r="I58" s="6"/>
      <c r="J58" s="6">
        <f t="shared" si="0"/>
        <v>16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3 HAFTA '!J59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f>'KASIM 3 HAFTA '!J60</f>
        <v>2</v>
      </c>
      <c r="D60" s="6"/>
      <c r="E60" s="6"/>
      <c r="F60" s="6"/>
      <c r="G60" s="6"/>
      <c r="H60" s="6"/>
      <c r="I60" s="6"/>
      <c r="J60" s="6">
        <f t="shared" si="0"/>
        <v>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f>'KASIM 3 HAFTA '!J61</f>
        <v>3</v>
      </c>
      <c r="D61" s="6"/>
      <c r="E61" s="6"/>
      <c r="F61" s="6"/>
      <c r="G61" s="6"/>
      <c r="H61" s="6"/>
      <c r="I61" s="6"/>
      <c r="J61" s="6">
        <f t="shared" si="0"/>
        <v>3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3 HAFTA '!J62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3 HAFTA '!J63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f>'KASIM 3 HAFTA '!J64</f>
        <v>132</v>
      </c>
      <c r="D64" s="6"/>
      <c r="E64" s="6"/>
      <c r="F64" s="6"/>
      <c r="G64" s="6"/>
      <c r="H64" s="6"/>
      <c r="I64" s="6"/>
      <c r="J64" s="6">
        <f t="shared" si="0"/>
        <v>132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f>'KASIM 3 HAFTA '!J65</f>
        <v>142</v>
      </c>
      <c r="D65" s="6"/>
      <c r="E65" s="6"/>
      <c r="F65" s="6"/>
      <c r="G65" s="6">
        <v>2</v>
      </c>
      <c r="H65" s="6"/>
      <c r="I65" s="6"/>
      <c r="J65" s="6">
        <f t="shared" si="0"/>
        <v>140</v>
      </c>
      <c r="K65" s="13"/>
      <c r="L65" s="14"/>
    </row>
    <row r="66" spans="1:12" x14ac:dyDescent="0.25">
      <c r="A66" s="6">
        <v>64</v>
      </c>
      <c r="B66" s="8" t="s">
        <v>74</v>
      </c>
      <c r="C66" s="6">
        <f>'KASIM 3 HAFTA '!J66</f>
        <v>6</v>
      </c>
      <c r="D66" s="6"/>
      <c r="E66" s="6"/>
      <c r="F66" s="6"/>
      <c r="G66" s="6"/>
      <c r="H66" s="6"/>
      <c r="I66" s="6"/>
      <c r="J66" s="6">
        <f t="shared" si="0"/>
        <v>6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f>'KASIM 3 HAFTA '!J67</f>
        <v>23</v>
      </c>
      <c r="D67" s="6"/>
      <c r="E67" s="6"/>
      <c r="F67" s="6"/>
      <c r="G67" s="6"/>
      <c r="H67" s="6"/>
      <c r="I67" s="6"/>
      <c r="J67" s="6">
        <f t="shared" ref="J67:J78" si="1">+C67-E67-F67-G67-H67-I67+D67</f>
        <v>23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f>'KASIM 3 HAFTA '!J68</f>
        <v>10</v>
      </c>
      <c r="D68" s="6"/>
      <c r="E68" s="6"/>
      <c r="F68" s="6"/>
      <c r="G68" s="6">
        <v>2</v>
      </c>
      <c r="H68" s="6">
        <v>2</v>
      </c>
      <c r="I68" s="6"/>
      <c r="J68" s="6">
        <f t="shared" si="1"/>
        <v>6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f>'KASIM 3 HAFTA '!J69</f>
        <v>23</v>
      </c>
      <c r="D69" s="6"/>
      <c r="E69" s="6"/>
      <c r="F69" s="6"/>
      <c r="G69" s="6"/>
      <c r="H69" s="6"/>
      <c r="I69" s="6"/>
      <c r="J69" s="6">
        <f t="shared" si="1"/>
        <v>23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f>'KASIM 3 HAFTA '!J70</f>
        <v>8</v>
      </c>
      <c r="D70" s="6"/>
      <c r="E70" s="6"/>
      <c r="F70" s="6"/>
      <c r="G70" s="6">
        <v>1</v>
      </c>
      <c r="H70" s="6"/>
      <c r="I70" s="6"/>
      <c r="J70" s="6">
        <f t="shared" si="1"/>
        <v>7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f>'KASIM 3 HAFTA '!J71</f>
        <v>25</v>
      </c>
      <c r="D71" s="6"/>
      <c r="E71" s="6"/>
      <c r="F71" s="6"/>
      <c r="G71" s="6">
        <v>3</v>
      </c>
      <c r="H71" s="6"/>
      <c r="I71" s="6"/>
      <c r="J71" s="6">
        <f t="shared" si="1"/>
        <v>22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f>'KASIM 3 HAFTA '!J72</f>
        <v>18</v>
      </c>
      <c r="D72" s="6"/>
      <c r="E72" s="6"/>
      <c r="F72" s="6"/>
      <c r="G72" s="6"/>
      <c r="H72" s="6"/>
      <c r="I72" s="6"/>
      <c r="J72" s="6">
        <f t="shared" si="1"/>
        <v>18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f>'KASIM 3 HAFTA '!J73</f>
        <v>38</v>
      </c>
      <c r="D73" s="6"/>
      <c r="E73" s="6"/>
      <c r="F73" s="6"/>
      <c r="G73" s="6"/>
      <c r="H73" s="6"/>
      <c r="I73" s="6"/>
      <c r="J73" s="6">
        <f t="shared" si="1"/>
        <v>38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f>'KASIM 3 HAFTA '!J74</f>
        <v>273</v>
      </c>
      <c r="D74" s="6">
        <v>0</v>
      </c>
      <c r="E74" s="7"/>
      <c r="F74" s="7">
        <v>0</v>
      </c>
      <c r="G74" s="7">
        <v>4</v>
      </c>
      <c r="H74" s="7">
        <v>11</v>
      </c>
      <c r="I74" s="7">
        <v>11</v>
      </c>
      <c r="J74" s="6">
        <f t="shared" si="1"/>
        <v>247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87</v>
      </c>
      <c r="C75" s="6">
        <f>'KASIM 3 HAFTA '!J75</f>
        <v>117</v>
      </c>
      <c r="D75" s="6">
        <v>0</v>
      </c>
      <c r="E75" s="7"/>
      <c r="F75" s="7">
        <v>0</v>
      </c>
      <c r="G75" s="7">
        <v>4</v>
      </c>
      <c r="H75" s="7">
        <v>4</v>
      </c>
      <c r="I75" s="7">
        <v>2</v>
      </c>
      <c r="J75" s="6">
        <f t="shared" si="1"/>
        <v>107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f>'KASIM 3 HAFTA '!J76</f>
        <v>55</v>
      </c>
      <c r="D76" s="6">
        <v>0</v>
      </c>
      <c r="E76" s="7"/>
      <c r="F76" s="7">
        <v>0</v>
      </c>
      <c r="G76" s="7">
        <v>4</v>
      </c>
      <c r="H76" s="7"/>
      <c r="I76" s="7">
        <v>2</v>
      </c>
      <c r="J76" s="6">
        <f t="shared" si="1"/>
        <v>49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6">
        <f>'KASIM 3 HAFTA '!J77</f>
        <v>27</v>
      </c>
      <c r="D77" s="6">
        <v>0</v>
      </c>
      <c r="E77" s="7"/>
      <c r="F77" s="7">
        <v>0</v>
      </c>
      <c r="G77" s="7">
        <v>0</v>
      </c>
      <c r="H77" s="7"/>
      <c r="I77" s="7">
        <v>0</v>
      </c>
      <c r="J77" s="6">
        <f t="shared" si="1"/>
        <v>27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6">
        <f>'KASIM 3 HAFTA '!J78</f>
        <v>26</v>
      </c>
      <c r="D78" s="6">
        <v>0</v>
      </c>
      <c r="E78" s="7"/>
      <c r="F78" s="7">
        <v>0</v>
      </c>
      <c r="G78" s="7">
        <v>4</v>
      </c>
      <c r="H78" s="7">
        <v>3</v>
      </c>
      <c r="I78" s="7">
        <v>2</v>
      </c>
      <c r="J78" s="6">
        <f t="shared" si="1"/>
        <v>17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8"/>
  <sheetViews>
    <sheetView zoomScaleNormal="100" workbookViewId="0">
      <selection activeCell="C12" sqref="C12"/>
    </sheetView>
  </sheetViews>
  <sheetFormatPr defaultRowHeight="15" x14ac:dyDescent="0.25"/>
  <cols>
    <col min="1" max="1" width="5.7109375" customWidth="1"/>
    <col min="2" max="2" width="25.855468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44893</v>
      </c>
      <c r="F2" s="4">
        <v>44894</v>
      </c>
      <c r="G2" s="4">
        <v>44895</v>
      </c>
      <c r="H2" s="4">
        <v>44896</v>
      </c>
      <c r="I2" s="4">
        <v>44897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4</v>
      </c>
      <c r="C3" s="6">
        <f>'KASIM 3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  <c r="K3" s="13">
        <v>0</v>
      </c>
      <c r="L3" s="14"/>
    </row>
    <row r="4" spans="1:12" x14ac:dyDescent="0.25">
      <c r="A4" s="6">
        <v>2</v>
      </c>
      <c r="B4" s="7" t="s">
        <v>5</v>
      </c>
      <c r="C4" s="6">
        <v>0</v>
      </c>
      <c r="D4" s="6"/>
      <c r="E4" s="6"/>
      <c r="F4" s="6"/>
      <c r="G4" s="6"/>
      <c r="H4" s="6"/>
      <c r="I4" s="6"/>
      <c r="J4" s="6">
        <f t="shared" ref="J4:J67" si="0">+C4-E4-F4-G4-H4-I4+D4</f>
        <v>0</v>
      </c>
      <c r="K4" s="13">
        <v>0</v>
      </c>
      <c r="L4" s="14"/>
    </row>
    <row r="5" spans="1:12" x14ac:dyDescent="0.25">
      <c r="A5" s="6">
        <v>3</v>
      </c>
      <c r="B5" s="7" t="s">
        <v>69</v>
      </c>
      <c r="C5" s="6">
        <v>94</v>
      </c>
      <c r="D5" s="6"/>
      <c r="E5" s="6"/>
      <c r="F5" s="6"/>
      <c r="G5" s="6"/>
      <c r="H5" s="6">
        <v>13</v>
      </c>
      <c r="I5" s="6">
        <v>1</v>
      </c>
      <c r="J5" s="6">
        <f t="shared" si="0"/>
        <v>80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f>'KASIM 3 HAFTA '!J6</f>
        <v>55</v>
      </c>
      <c r="D6" s="6"/>
      <c r="E6" s="6"/>
      <c r="F6" s="6"/>
      <c r="G6" s="6"/>
      <c r="H6" s="6"/>
      <c r="I6" s="6"/>
      <c r="J6" s="6">
        <f t="shared" si="0"/>
        <v>55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15</v>
      </c>
      <c r="D7" s="6"/>
      <c r="E7" s="6"/>
      <c r="F7" s="6"/>
      <c r="G7" s="6"/>
      <c r="H7" s="6"/>
      <c r="I7" s="6"/>
      <c r="J7" s="6">
        <f t="shared" si="0"/>
        <v>15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f>'KASIM 3 HAFTA '!J8</f>
        <v>21</v>
      </c>
      <c r="D8" s="6"/>
      <c r="E8" s="6"/>
      <c r="F8" s="6"/>
      <c r="G8" s="6"/>
      <c r="H8" s="6"/>
      <c r="I8" s="6"/>
      <c r="J8" s="6">
        <f t="shared" si="0"/>
        <v>21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f>'KASIM 3 HAFTA '!J9</f>
        <v>12</v>
      </c>
      <c r="D9" s="6"/>
      <c r="E9" s="6"/>
      <c r="F9" s="6"/>
      <c r="G9" s="6"/>
      <c r="H9" s="6"/>
      <c r="I9" s="6"/>
      <c r="J9" s="6">
        <f t="shared" si="0"/>
        <v>12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75</v>
      </c>
      <c r="D10" s="6"/>
      <c r="E10" s="6"/>
      <c r="F10" s="6"/>
      <c r="G10" s="6"/>
      <c r="H10" s="6"/>
      <c r="I10" s="6"/>
      <c r="J10" s="6">
        <f t="shared" si="0"/>
        <v>75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31</v>
      </c>
      <c r="D11" s="6"/>
      <c r="E11" s="6"/>
      <c r="F11" s="6"/>
      <c r="G11" s="6"/>
      <c r="H11" s="6">
        <v>16</v>
      </c>
      <c r="I11" s="6"/>
      <c r="J11" s="6">
        <f t="shared" si="0"/>
        <v>15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0</v>
      </c>
      <c r="D12" s="6"/>
      <c r="E12" s="6"/>
      <c r="F12" s="6"/>
      <c r="G12" s="6"/>
      <c r="H12" s="6"/>
      <c r="I12" s="6"/>
      <c r="J12" s="6">
        <f t="shared" si="0"/>
        <v>0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f>'KASIM 3 HAFTA '!J13</f>
        <v>78</v>
      </c>
      <c r="D13" s="6"/>
      <c r="E13" s="6"/>
      <c r="F13" s="6"/>
      <c r="G13" s="6"/>
      <c r="H13" s="6"/>
      <c r="I13" s="6"/>
      <c r="J13" s="6">
        <f t="shared" si="0"/>
        <v>78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f>'KASIM 3 HAFTA '!J14</f>
        <v>42</v>
      </c>
      <c r="D14" s="6"/>
      <c r="E14" s="6"/>
      <c r="F14" s="6"/>
      <c r="G14" s="6"/>
      <c r="H14" s="6"/>
      <c r="I14" s="6"/>
      <c r="J14" s="6">
        <f t="shared" si="0"/>
        <v>42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f>'KASIM 3 HAFTA '!J15</f>
        <v>98</v>
      </c>
      <c r="D15" s="6"/>
      <c r="E15" s="6"/>
      <c r="F15" s="6"/>
      <c r="G15" s="6"/>
      <c r="H15" s="6">
        <v>5</v>
      </c>
      <c r="I15" s="6"/>
      <c r="J15" s="6">
        <f t="shared" si="0"/>
        <v>93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f>'KASIM 3 HAFTA '!J16</f>
        <v>0</v>
      </c>
      <c r="D16" s="6"/>
      <c r="E16" s="6"/>
      <c r="F16" s="6"/>
      <c r="G16" s="6"/>
      <c r="H16" s="6"/>
      <c r="I16" s="6"/>
      <c r="J16" s="6">
        <f t="shared" si="0"/>
        <v>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16</v>
      </c>
      <c r="C17" s="6">
        <v>145</v>
      </c>
      <c r="D17" s="6"/>
      <c r="E17" s="6">
        <v>15</v>
      </c>
      <c r="F17" s="6"/>
      <c r="G17" s="6"/>
      <c r="H17" s="6"/>
      <c r="I17" s="6"/>
      <c r="J17" s="6">
        <f t="shared" si="0"/>
        <v>130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0</v>
      </c>
      <c r="D18" s="6"/>
      <c r="E18" s="6"/>
      <c r="F18" s="6"/>
      <c r="G18" s="6"/>
      <c r="H18" s="6"/>
      <c r="I18" s="6"/>
      <c r="J18" s="6">
        <f t="shared" si="0"/>
        <v>0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18</v>
      </c>
      <c r="C19" s="6">
        <v>93</v>
      </c>
      <c r="D19" s="6"/>
      <c r="E19" s="6"/>
      <c r="F19" s="6">
        <v>5</v>
      </c>
      <c r="G19" s="6"/>
      <c r="H19" s="6"/>
      <c r="I19" s="6"/>
      <c r="J19" s="6">
        <f t="shared" si="0"/>
        <v>88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f>'KASIM 3 HAFTA '!J20</f>
        <v>60</v>
      </c>
      <c r="D20" s="6"/>
      <c r="E20" s="6"/>
      <c r="F20" s="6">
        <v>4</v>
      </c>
      <c r="G20" s="6"/>
      <c r="H20" s="6"/>
      <c r="I20" s="6"/>
      <c r="J20" s="6">
        <f t="shared" si="0"/>
        <v>56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13</v>
      </c>
      <c r="D21" s="6"/>
      <c r="E21" s="6"/>
      <c r="F21" s="6"/>
      <c r="G21" s="6"/>
      <c r="H21" s="6"/>
      <c r="I21" s="6"/>
      <c r="J21" s="6">
        <f t="shared" si="0"/>
        <v>13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84</v>
      </c>
      <c r="C22" s="6">
        <f>'KASIM 3 HAFTA '!J22</f>
        <v>140</v>
      </c>
      <c r="D22" s="6"/>
      <c r="E22" s="6"/>
      <c r="F22" s="6"/>
      <c r="G22" s="6"/>
      <c r="H22" s="6"/>
      <c r="I22" s="6">
        <v>6</v>
      </c>
      <c r="J22" s="6">
        <f t="shared" si="0"/>
        <v>134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f>'KASIM 3 HAFTA '!J23</f>
        <v>130</v>
      </c>
      <c r="D23" s="6"/>
      <c r="E23" s="6"/>
      <c r="F23" s="6"/>
      <c r="G23" s="6"/>
      <c r="H23" s="6"/>
      <c r="I23" s="6"/>
      <c r="J23" s="6">
        <f t="shared" si="0"/>
        <v>130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f>'KASIM 3 HAFTA '!J24</f>
        <v>38</v>
      </c>
      <c r="D24" s="6"/>
      <c r="E24" s="6"/>
      <c r="F24" s="6"/>
      <c r="G24" s="6"/>
      <c r="H24" s="6"/>
      <c r="I24" s="6"/>
      <c r="J24" s="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f>'KASIM 3 HAFTA '!J25</f>
        <v>7</v>
      </c>
      <c r="D25" s="6"/>
      <c r="E25" s="6"/>
      <c r="F25" s="6"/>
      <c r="G25" s="6"/>
      <c r="H25" s="6"/>
      <c r="I25" s="6"/>
      <c r="J25" s="6">
        <f t="shared" si="0"/>
        <v>7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f>'KASIM 3 HAFTA '!J26</f>
        <v>223</v>
      </c>
      <c r="D26" s="6"/>
      <c r="E26" s="6"/>
      <c r="F26" s="6"/>
      <c r="G26" s="6"/>
      <c r="H26" s="6"/>
      <c r="I26" s="6"/>
      <c r="J26" s="6">
        <f t="shared" si="0"/>
        <v>223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f>'KASIM 3 HAFTA '!J29</f>
        <v>13</v>
      </c>
      <c r="D29" s="6"/>
      <c r="E29" s="6"/>
      <c r="F29" s="6"/>
      <c r="G29" s="6"/>
      <c r="H29" s="6"/>
      <c r="I29" s="6"/>
      <c r="J29" s="6">
        <f t="shared" si="0"/>
        <v>13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f>'KASIM 3 HAFTA '!J30</f>
        <v>60</v>
      </c>
      <c r="D30" s="6"/>
      <c r="E30" s="6"/>
      <c r="F30" s="6"/>
      <c r="G30" s="6"/>
      <c r="H30" s="6"/>
      <c r="I30" s="6"/>
      <c r="J30" s="6">
        <f t="shared" si="0"/>
        <v>60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f>'KASIM 3 HAFTA '!J31</f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603</v>
      </c>
      <c r="D32" s="6"/>
      <c r="E32" s="6"/>
      <c r="F32" s="6"/>
      <c r="G32" s="6"/>
      <c r="H32" s="6"/>
      <c r="I32" s="6">
        <v>6</v>
      </c>
      <c r="J32" s="6">
        <f t="shared" si="0"/>
        <v>597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f>'KASIM 3 HAFTA '!J36</f>
        <v>537</v>
      </c>
      <c r="D36" s="6"/>
      <c r="E36" s="6"/>
      <c r="F36" s="6"/>
      <c r="G36" s="6"/>
      <c r="H36" s="6"/>
      <c r="I36" s="6">
        <v>4</v>
      </c>
      <c r="J36" s="6">
        <f t="shared" si="0"/>
        <v>533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125</v>
      </c>
      <c r="D37" s="6"/>
      <c r="E37" s="6"/>
      <c r="F37" s="6"/>
      <c r="G37" s="6"/>
      <c r="H37" s="6"/>
      <c r="I37" s="6">
        <v>4</v>
      </c>
      <c r="J37" s="6">
        <f t="shared" si="0"/>
        <v>121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f>'KASIM 3 HAFTA '!J39</f>
        <v>24</v>
      </c>
      <c r="D39" s="6"/>
      <c r="E39" s="6"/>
      <c r="F39" s="6"/>
      <c r="G39" s="6"/>
      <c r="H39" s="6"/>
      <c r="I39" s="6"/>
      <c r="J39" s="6">
        <f t="shared" si="0"/>
        <v>24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35</v>
      </c>
      <c r="D40" s="6"/>
      <c r="E40" s="6"/>
      <c r="F40" s="6"/>
      <c r="G40" s="6"/>
      <c r="H40" s="6">
        <v>6</v>
      </c>
      <c r="I40" s="6">
        <v>14</v>
      </c>
      <c r="J40" s="6">
        <f t="shared" si="0"/>
        <v>15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11</v>
      </c>
      <c r="D41" s="6"/>
      <c r="E41" s="6"/>
      <c r="F41" s="6"/>
      <c r="G41" s="6"/>
      <c r="H41" s="6"/>
      <c r="I41" s="6"/>
      <c r="J41" s="6">
        <f t="shared" si="0"/>
        <v>11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</v>
      </c>
      <c r="D42" s="6"/>
      <c r="E42" s="6"/>
      <c r="F42" s="6"/>
      <c r="G42" s="6"/>
      <c r="H42" s="6"/>
      <c r="I42" s="6"/>
      <c r="J42" s="6">
        <f t="shared" si="0"/>
        <v>3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228</v>
      </c>
      <c r="D43" s="6"/>
      <c r="E43" s="6">
        <v>11</v>
      </c>
      <c r="F43" s="6"/>
      <c r="G43" s="6"/>
      <c r="H43" s="6">
        <v>9</v>
      </c>
      <c r="I43" s="6"/>
      <c r="J43" s="6">
        <f t="shared" si="0"/>
        <v>208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60</v>
      </c>
      <c r="C44" s="6">
        <f>'KASIM 3 HAFTA '!J44</f>
        <v>149</v>
      </c>
      <c r="D44" s="6"/>
      <c r="E44" s="6"/>
      <c r="F44" s="6"/>
      <c r="G44" s="6"/>
      <c r="H44" s="6"/>
      <c r="I44" s="6"/>
      <c r="J44" s="6">
        <f t="shared" si="0"/>
        <v>149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f>'KASIM 3 HAFTA '!J45</f>
        <v>42</v>
      </c>
      <c r="D45" s="6"/>
      <c r="E45" s="6"/>
      <c r="F45" s="6"/>
      <c r="G45" s="6"/>
      <c r="H45" s="6"/>
      <c r="I45" s="6"/>
      <c r="J45" s="6">
        <f t="shared" si="0"/>
        <v>42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60</v>
      </c>
      <c r="D46" s="6"/>
      <c r="E46" s="6"/>
      <c r="F46" s="6"/>
      <c r="G46" s="6"/>
      <c r="H46" s="6"/>
      <c r="I46" s="6"/>
      <c r="J46" s="6">
        <f t="shared" si="0"/>
        <v>60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f>'KASIM 3 HAFTA '!J47</f>
        <v>24</v>
      </c>
      <c r="D47" s="6"/>
      <c r="E47" s="6"/>
      <c r="F47" s="6"/>
      <c r="G47" s="6"/>
      <c r="H47" s="6"/>
      <c r="I47" s="6"/>
      <c r="J47" s="6">
        <f t="shared" si="0"/>
        <v>24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f>'KASIM 3 HAFTA '!J49</f>
        <v>38</v>
      </c>
      <c r="D49" s="6"/>
      <c r="E49" s="6"/>
      <c r="F49" s="6"/>
      <c r="G49" s="6"/>
      <c r="H49" s="6"/>
      <c r="I49" s="6"/>
      <c r="J49" s="6">
        <f t="shared" si="0"/>
        <v>38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v>24</v>
      </c>
      <c r="D50" s="6"/>
      <c r="E50" s="6"/>
      <c r="F50" s="6">
        <v>3</v>
      </c>
      <c r="G50" s="6">
        <v>3</v>
      </c>
      <c r="H50" s="6"/>
      <c r="I50" s="6"/>
      <c r="J50" s="6">
        <f t="shared" si="0"/>
        <v>18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227</v>
      </c>
      <c r="D51" s="6"/>
      <c r="E51" s="6"/>
      <c r="F51" s="6"/>
      <c r="G51" s="6"/>
      <c r="H51" s="6"/>
      <c r="I51" s="6"/>
      <c r="J51" s="6">
        <f t="shared" si="0"/>
        <v>227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66</v>
      </c>
      <c r="D52" s="6"/>
      <c r="E52" s="6"/>
      <c r="F52" s="6"/>
      <c r="G52" s="6">
        <v>3</v>
      </c>
      <c r="H52" s="6"/>
      <c r="I52" s="6"/>
      <c r="J52" s="6">
        <f t="shared" si="0"/>
        <v>63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f>'KASIM 3 HAFTA '!J53</f>
        <v>26</v>
      </c>
      <c r="D53" s="6"/>
      <c r="E53" s="6"/>
      <c r="F53" s="6"/>
      <c r="G53" s="6"/>
      <c r="H53" s="6"/>
      <c r="I53" s="6">
        <v>2</v>
      </c>
      <c r="J53" s="6">
        <f t="shared" si="0"/>
        <v>24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3 HAFTA '!J54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f>'KASIM 3 HAFTA '!J55</f>
        <v>77</v>
      </c>
      <c r="D55" s="6"/>
      <c r="E55" s="6"/>
      <c r="F55" s="6"/>
      <c r="G55" s="6"/>
      <c r="H55" s="6"/>
      <c r="I55" s="6"/>
      <c r="J55" s="6">
        <f t="shared" si="0"/>
        <v>77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3 HAFTA '!J56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16</v>
      </c>
      <c r="D58" s="6"/>
      <c r="E58" s="6"/>
      <c r="F58" s="6">
        <v>2</v>
      </c>
      <c r="G58" s="6"/>
      <c r="H58" s="6"/>
      <c r="I58" s="6"/>
      <c r="J58" s="6">
        <f t="shared" si="0"/>
        <v>14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3 HAFTA '!J59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f>'KASIM 3 HAFTA '!J60</f>
        <v>2</v>
      </c>
      <c r="D60" s="6"/>
      <c r="E60" s="6"/>
      <c r="F60" s="6"/>
      <c r="G60" s="6"/>
      <c r="H60" s="6"/>
      <c r="I60" s="6"/>
      <c r="J60" s="6">
        <f t="shared" si="0"/>
        <v>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f>'KASIM 3 HAFTA '!J61</f>
        <v>3</v>
      </c>
      <c r="D61" s="6"/>
      <c r="E61" s="6"/>
      <c r="F61" s="6"/>
      <c r="G61" s="6"/>
      <c r="H61" s="6"/>
      <c r="I61" s="6"/>
      <c r="J61" s="6">
        <f t="shared" si="0"/>
        <v>3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3 HAFTA '!J62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3 HAFTA '!J63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f>'KASIM 3 HAFTA '!J64</f>
        <v>132</v>
      </c>
      <c r="D64" s="6"/>
      <c r="E64" s="6"/>
      <c r="F64" s="6"/>
      <c r="G64" s="6">
        <v>6</v>
      </c>
      <c r="H64" s="6"/>
      <c r="I64" s="6"/>
      <c r="J64" s="6">
        <f t="shared" si="0"/>
        <v>126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v>140</v>
      </c>
      <c r="D65" s="6"/>
      <c r="E65" s="6"/>
      <c r="F65" s="6"/>
      <c r="G65" s="6"/>
      <c r="H65" s="6"/>
      <c r="I65" s="6"/>
      <c r="J65" s="6">
        <f t="shared" si="0"/>
        <v>140</v>
      </c>
      <c r="K65" s="13"/>
      <c r="L65" s="14"/>
    </row>
    <row r="66" spans="1:12" x14ac:dyDescent="0.25">
      <c r="A66" s="6">
        <v>64</v>
      </c>
      <c r="B66" s="8" t="s">
        <v>74</v>
      </c>
      <c r="C66" s="6">
        <f>'KASIM 3 HAFTA '!J66</f>
        <v>6</v>
      </c>
      <c r="D66" s="6"/>
      <c r="E66" s="6"/>
      <c r="F66" s="6"/>
      <c r="G66" s="6">
        <v>1</v>
      </c>
      <c r="H66" s="6">
        <v>2</v>
      </c>
      <c r="I66" s="6"/>
      <c r="J66" s="6">
        <f t="shared" si="0"/>
        <v>3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f>'KASIM 3 HAFTA '!J67</f>
        <v>23</v>
      </c>
      <c r="D67" s="6"/>
      <c r="E67" s="6"/>
      <c r="F67" s="6"/>
      <c r="G67" s="6"/>
      <c r="H67" s="6">
        <v>2</v>
      </c>
      <c r="I67" s="6"/>
      <c r="J67" s="6">
        <f t="shared" si="0"/>
        <v>21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6</v>
      </c>
      <c r="D68" s="6"/>
      <c r="E68" s="6">
        <v>1</v>
      </c>
      <c r="F68" s="6"/>
      <c r="G68" s="6"/>
      <c r="H68" s="6"/>
      <c r="I68" s="6"/>
      <c r="J68" s="6">
        <f t="shared" ref="J68:J78" si="1">+C68-E68-F68-G68-H68-I68+D68</f>
        <v>5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f>'KASIM 3 HAFTA '!J69</f>
        <v>23</v>
      </c>
      <c r="D69" s="6"/>
      <c r="E69" s="6">
        <v>2</v>
      </c>
      <c r="F69" s="6"/>
      <c r="G69" s="6"/>
      <c r="H69" s="6"/>
      <c r="I69" s="6"/>
      <c r="J69" s="6">
        <f t="shared" si="1"/>
        <v>21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7</v>
      </c>
      <c r="D70" s="6"/>
      <c r="E70" s="6">
        <v>1</v>
      </c>
      <c r="F70" s="6"/>
      <c r="G70" s="6"/>
      <c r="H70" s="6"/>
      <c r="I70" s="6"/>
      <c r="J70" s="6">
        <f t="shared" si="1"/>
        <v>6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22</v>
      </c>
      <c r="D71" s="6"/>
      <c r="E71" s="6">
        <v>2</v>
      </c>
      <c r="F71" s="6"/>
      <c r="G71" s="6"/>
      <c r="H71" s="6"/>
      <c r="I71" s="6"/>
      <c r="J71" s="6">
        <f t="shared" si="1"/>
        <v>20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f>'KASIM 3 HAFTA '!J72</f>
        <v>18</v>
      </c>
      <c r="D72" s="6"/>
      <c r="E72" s="6"/>
      <c r="F72" s="6"/>
      <c r="G72" s="6">
        <v>3</v>
      </c>
      <c r="H72" s="6"/>
      <c r="I72" s="6"/>
      <c r="J72" s="6">
        <f t="shared" si="1"/>
        <v>15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f>'KASIM 3 HAFTA '!J73</f>
        <v>38</v>
      </c>
      <c r="D73" s="6"/>
      <c r="E73" s="6"/>
      <c r="F73" s="6"/>
      <c r="G73" s="6">
        <v>2</v>
      </c>
      <c r="H73" s="6"/>
      <c r="I73" s="6"/>
      <c r="J73" s="6">
        <f t="shared" si="1"/>
        <v>36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247</v>
      </c>
      <c r="D74" s="6"/>
      <c r="E74" s="6">
        <v>20</v>
      </c>
      <c r="F74" s="6">
        <v>4</v>
      </c>
      <c r="G74" s="6"/>
      <c r="H74" s="6"/>
      <c r="I74" s="6"/>
      <c r="J74" s="6">
        <f t="shared" si="1"/>
        <v>223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87</v>
      </c>
      <c r="C75" s="6">
        <v>107</v>
      </c>
      <c r="D75" s="6"/>
      <c r="E75" s="6"/>
      <c r="F75" s="6"/>
      <c r="G75" s="6"/>
      <c r="H75" s="6"/>
      <c r="I75" s="6"/>
      <c r="J75" s="6">
        <f t="shared" si="1"/>
        <v>107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49</v>
      </c>
      <c r="D76" s="6"/>
      <c r="E76" s="6">
        <v>3</v>
      </c>
      <c r="F76" s="6">
        <v>2</v>
      </c>
      <c r="G76" s="6"/>
      <c r="H76" s="6"/>
      <c r="I76" s="6"/>
      <c r="J76" s="6">
        <f t="shared" si="1"/>
        <v>44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6">
        <f>'KASIM 3 HAFTA '!J77</f>
        <v>27</v>
      </c>
      <c r="D77" s="6"/>
      <c r="E77" s="6"/>
      <c r="F77" s="6"/>
      <c r="G77" s="6"/>
      <c r="H77" s="6"/>
      <c r="I77" s="6"/>
      <c r="J77" s="6">
        <f t="shared" si="1"/>
        <v>27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6">
        <v>8</v>
      </c>
      <c r="D78" s="6"/>
      <c r="E78" s="6"/>
      <c r="F78" s="6"/>
      <c r="G78" s="6"/>
      <c r="H78" s="6"/>
      <c r="I78" s="6"/>
      <c r="J78" s="6">
        <f t="shared" si="1"/>
        <v>8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8"/>
  <sheetViews>
    <sheetView zoomScaleNormal="100" workbookViewId="0">
      <selection activeCell="H11" sqref="H11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94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44900</v>
      </c>
      <c r="F2" s="4">
        <v>44901</v>
      </c>
      <c r="G2" s="4">
        <v>44902</v>
      </c>
      <c r="H2" s="4">
        <v>44903</v>
      </c>
      <c r="I2" s="4">
        <v>44904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4</v>
      </c>
      <c r="C3" s="6">
        <f>'KASIM 3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  <c r="K3" s="13">
        <v>0</v>
      </c>
      <c r="L3" s="14"/>
    </row>
    <row r="4" spans="1:12" x14ac:dyDescent="0.25">
      <c r="A4" s="6">
        <v>2</v>
      </c>
      <c r="B4" s="7" t="s">
        <v>5</v>
      </c>
      <c r="C4" s="6">
        <v>0</v>
      </c>
      <c r="D4" s="6"/>
      <c r="E4" s="6"/>
      <c r="F4" s="6"/>
      <c r="G4" s="6"/>
      <c r="H4" s="6"/>
      <c r="I4" s="6"/>
      <c r="J4" s="6">
        <f t="shared" ref="J4:J67" si="0">+C4-E4-F4-G4-H4-I4+D4</f>
        <v>0</v>
      </c>
      <c r="K4" s="13">
        <v>0</v>
      </c>
      <c r="L4" s="14"/>
    </row>
    <row r="5" spans="1:12" x14ac:dyDescent="0.25">
      <c r="A5" s="6">
        <v>3</v>
      </c>
      <c r="B5" s="7" t="s">
        <v>69</v>
      </c>
      <c r="C5" s="6">
        <v>80</v>
      </c>
      <c r="D5" s="6"/>
      <c r="E5" s="6">
        <v>2</v>
      </c>
      <c r="F5" s="6"/>
      <c r="G5" s="6"/>
      <c r="H5" s="6"/>
      <c r="I5" s="6"/>
      <c r="J5" s="6">
        <f t="shared" si="0"/>
        <v>78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f>'KASIM 3 HAFTA '!J6</f>
        <v>55</v>
      </c>
      <c r="D6" s="6">
        <v>39</v>
      </c>
      <c r="E6" s="6"/>
      <c r="F6" s="6"/>
      <c r="G6" s="6"/>
      <c r="H6" s="6"/>
      <c r="I6" s="6"/>
      <c r="J6" s="6">
        <f t="shared" si="0"/>
        <v>94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15</v>
      </c>
      <c r="D7" s="6">
        <v>26</v>
      </c>
      <c r="E7" s="6"/>
      <c r="F7" s="6"/>
      <c r="G7" s="6"/>
      <c r="H7" s="6"/>
      <c r="I7" s="6"/>
      <c r="J7" s="6">
        <f t="shared" si="0"/>
        <v>41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f>'KASIM 3 HAFTA '!J8</f>
        <v>21</v>
      </c>
      <c r="D8" s="6"/>
      <c r="E8" s="6"/>
      <c r="F8" s="6"/>
      <c r="G8" s="6"/>
      <c r="H8" s="6"/>
      <c r="I8" s="6"/>
      <c r="J8" s="6">
        <f t="shared" si="0"/>
        <v>21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f>'KASIM 3 HAFTA '!J9</f>
        <v>12</v>
      </c>
      <c r="D9" s="6"/>
      <c r="E9" s="6"/>
      <c r="F9" s="6"/>
      <c r="G9" s="6"/>
      <c r="H9" s="6"/>
      <c r="I9" s="6"/>
      <c r="J9" s="6">
        <f t="shared" si="0"/>
        <v>12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75</v>
      </c>
      <c r="D10" s="6"/>
      <c r="E10" s="6"/>
      <c r="F10" s="6"/>
      <c r="G10" s="6"/>
      <c r="H10" s="6"/>
      <c r="I10" s="6"/>
      <c r="J10" s="6">
        <f t="shared" si="0"/>
        <v>75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15</v>
      </c>
      <c r="D11" s="6"/>
      <c r="E11" s="6">
        <v>6</v>
      </c>
      <c r="F11" s="6"/>
      <c r="G11" s="6"/>
      <c r="H11" s="6"/>
      <c r="I11" s="6"/>
      <c r="J11" s="6">
        <f t="shared" si="0"/>
        <v>9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0</v>
      </c>
      <c r="D12" s="6">
        <v>598</v>
      </c>
      <c r="E12" s="6">
        <v>22</v>
      </c>
      <c r="F12" s="6"/>
      <c r="G12" s="6"/>
      <c r="H12" s="6"/>
      <c r="I12" s="6">
        <v>22</v>
      </c>
      <c r="J12" s="6">
        <f t="shared" si="0"/>
        <v>554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f>'KASIM 3 HAFTA '!J13</f>
        <v>78</v>
      </c>
      <c r="D13" s="6"/>
      <c r="E13" s="6"/>
      <c r="F13" s="6"/>
      <c r="G13" s="6"/>
      <c r="H13" s="6"/>
      <c r="I13" s="6"/>
      <c r="J13" s="6">
        <f t="shared" si="0"/>
        <v>78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f>'KASIM 3 HAFTA '!J14</f>
        <v>42</v>
      </c>
      <c r="D14" s="6"/>
      <c r="E14" s="6"/>
      <c r="F14" s="6"/>
      <c r="G14" s="6"/>
      <c r="H14" s="6"/>
      <c r="I14" s="6"/>
      <c r="J14" s="6">
        <f t="shared" si="0"/>
        <v>42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93</v>
      </c>
      <c r="D15" s="6"/>
      <c r="E15" s="6"/>
      <c r="F15" s="6"/>
      <c r="G15" s="6"/>
      <c r="H15" s="6"/>
      <c r="I15" s="6"/>
      <c r="J15" s="6">
        <f t="shared" si="0"/>
        <v>93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f>'KASIM 3 HAFTA '!J16</f>
        <v>0</v>
      </c>
      <c r="D16" s="6"/>
      <c r="E16" s="6"/>
      <c r="F16" s="6"/>
      <c r="G16" s="6"/>
      <c r="H16" s="6"/>
      <c r="I16" s="6"/>
      <c r="J16" s="6">
        <f t="shared" si="0"/>
        <v>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16</v>
      </c>
      <c r="C17" s="6">
        <v>130</v>
      </c>
      <c r="D17" s="6">
        <v>194</v>
      </c>
      <c r="E17" s="6">
        <v>25</v>
      </c>
      <c r="F17" s="6">
        <v>13</v>
      </c>
      <c r="G17" s="6"/>
      <c r="H17" s="6">
        <v>23</v>
      </c>
      <c r="I17" s="6"/>
      <c r="J17" s="6">
        <f t="shared" si="0"/>
        <v>263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0</v>
      </c>
      <c r="D18" s="6"/>
      <c r="E18" s="6"/>
      <c r="F18" s="6"/>
      <c r="G18" s="6"/>
      <c r="H18" s="6"/>
      <c r="I18" s="6"/>
      <c r="J18" s="6">
        <f t="shared" si="0"/>
        <v>0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18</v>
      </c>
      <c r="C19" s="6">
        <v>88</v>
      </c>
      <c r="D19" s="6"/>
      <c r="E19" s="6"/>
      <c r="F19" s="6"/>
      <c r="G19" s="6"/>
      <c r="H19" s="6"/>
      <c r="I19" s="6"/>
      <c r="J19" s="6">
        <f t="shared" si="0"/>
        <v>88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56</v>
      </c>
      <c r="D20" s="6"/>
      <c r="E20" s="6"/>
      <c r="F20" s="6"/>
      <c r="G20" s="6"/>
      <c r="H20" s="6"/>
      <c r="I20" s="6"/>
      <c r="J20" s="6">
        <f t="shared" si="0"/>
        <v>56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13</v>
      </c>
      <c r="D21" s="6">
        <v>25</v>
      </c>
      <c r="E21" s="6"/>
      <c r="F21" s="6"/>
      <c r="G21" s="6"/>
      <c r="H21" s="6">
        <v>6</v>
      </c>
      <c r="I21" s="6"/>
      <c r="J21" s="6">
        <f t="shared" si="0"/>
        <v>32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95</v>
      </c>
      <c r="C22" s="6">
        <v>134</v>
      </c>
      <c r="D22" s="6">
        <v>324</v>
      </c>
      <c r="E22" s="6"/>
      <c r="F22" s="6"/>
      <c r="G22" s="6"/>
      <c r="H22" s="6"/>
      <c r="I22" s="6"/>
      <c r="J22" s="6">
        <f t="shared" si="0"/>
        <v>458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f>'KASIM 3 HAFTA '!J23</f>
        <v>130</v>
      </c>
      <c r="D23" s="6"/>
      <c r="E23" s="6"/>
      <c r="F23" s="6"/>
      <c r="G23" s="6"/>
      <c r="H23" s="6"/>
      <c r="I23" s="6"/>
      <c r="J23" s="6">
        <f t="shared" si="0"/>
        <v>130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f>'KASIM 3 HAFTA '!J24</f>
        <v>38</v>
      </c>
      <c r="D24" s="6"/>
      <c r="E24" s="6"/>
      <c r="F24" s="6"/>
      <c r="G24" s="6"/>
      <c r="H24" s="6"/>
      <c r="I24" s="6"/>
      <c r="J24" s="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f>'KASIM 3 HAFTA '!J25</f>
        <v>7</v>
      </c>
      <c r="D25" s="6"/>
      <c r="E25" s="6"/>
      <c r="F25" s="6"/>
      <c r="G25" s="6"/>
      <c r="H25" s="6"/>
      <c r="I25" s="6"/>
      <c r="J25" s="6">
        <f t="shared" si="0"/>
        <v>7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f>'KASIM 3 HAFTA '!J26</f>
        <v>223</v>
      </c>
      <c r="D26" s="6"/>
      <c r="E26" s="6"/>
      <c r="F26" s="6"/>
      <c r="G26" s="6"/>
      <c r="H26" s="6"/>
      <c r="I26" s="6"/>
      <c r="J26" s="6">
        <f t="shared" si="0"/>
        <v>223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f>'KASIM 3 HAFTA '!J29</f>
        <v>13</v>
      </c>
      <c r="D29" s="6"/>
      <c r="E29" s="6"/>
      <c r="F29" s="6"/>
      <c r="G29" s="6"/>
      <c r="H29" s="6"/>
      <c r="I29" s="6"/>
      <c r="J29" s="6">
        <f t="shared" si="0"/>
        <v>13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f>'KASIM 3 HAFTA '!J30</f>
        <v>60</v>
      </c>
      <c r="D30" s="6"/>
      <c r="E30" s="6"/>
      <c r="F30" s="6"/>
      <c r="G30" s="6"/>
      <c r="H30" s="6"/>
      <c r="I30" s="6"/>
      <c r="J30" s="6">
        <f t="shared" si="0"/>
        <v>60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f>'KASIM 3 HAFTA '!J31</f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597</v>
      </c>
      <c r="D32" s="6"/>
      <c r="E32" s="6"/>
      <c r="F32" s="6"/>
      <c r="G32" s="6"/>
      <c r="H32" s="6"/>
      <c r="I32" s="6"/>
      <c r="J32" s="6">
        <f t="shared" si="0"/>
        <v>597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533</v>
      </c>
      <c r="D36" s="6"/>
      <c r="E36" s="6"/>
      <c r="F36" s="6"/>
      <c r="G36" s="6"/>
      <c r="H36" s="6"/>
      <c r="I36" s="6"/>
      <c r="J36" s="6">
        <f t="shared" si="0"/>
        <v>533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121</v>
      </c>
      <c r="D37" s="6"/>
      <c r="E37" s="6"/>
      <c r="F37" s="6"/>
      <c r="G37" s="6"/>
      <c r="H37" s="6"/>
      <c r="I37" s="6"/>
      <c r="J37" s="6">
        <f t="shared" si="0"/>
        <v>121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f>'KASIM 3 HAFTA '!J39</f>
        <v>24</v>
      </c>
      <c r="D39" s="6"/>
      <c r="E39" s="6"/>
      <c r="F39" s="6"/>
      <c r="G39" s="6"/>
      <c r="H39" s="6"/>
      <c r="I39" s="6"/>
      <c r="J39" s="6">
        <f t="shared" si="0"/>
        <v>24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15</v>
      </c>
      <c r="D40" s="6"/>
      <c r="E40" s="6"/>
      <c r="F40" s="6">
        <v>6</v>
      </c>
      <c r="G40" s="6"/>
      <c r="H40" s="6"/>
      <c r="I40" s="6"/>
      <c r="J40" s="6">
        <f t="shared" si="0"/>
        <v>9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11</v>
      </c>
      <c r="D41" s="6"/>
      <c r="E41" s="6"/>
      <c r="F41" s="6"/>
      <c r="G41" s="6"/>
      <c r="H41" s="6"/>
      <c r="I41" s="6"/>
      <c r="J41" s="6">
        <f t="shared" si="0"/>
        <v>11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</v>
      </c>
      <c r="D42" s="6">
        <v>65</v>
      </c>
      <c r="E42" s="6"/>
      <c r="F42" s="6">
        <v>3</v>
      </c>
      <c r="G42" s="6"/>
      <c r="H42" s="6"/>
      <c r="I42" s="6"/>
      <c r="J42" s="6">
        <f t="shared" si="0"/>
        <v>65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208</v>
      </c>
      <c r="D43" s="6">
        <v>296</v>
      </c>
      <c r="E43" s="6"/>
      <c r="F43" s="6"/>
      <c r="G43" s="6"/>
      <c r="H43" s="6"/>
      <c r="I43" s="6"/>
      <c r="J43" s="6">
        <f t="shared" si="0"/>
        <v>504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60</v>
      </c>
      <c r="C44" s="6">
        <f>'KASIM 3 HAFTA '!J44</f>
        <v>149</v>
      </c>
      <c r="D44" s="6"/>
      <c r="E44" s="6"/>
      <c r="F44" s="6"/>
      <c r="G44" s="6"/>
      <c r="H44" s="6"/>
      <c r="I44" s="6"/>
      <c r="J44" s="6">
        <f t="shared" si="0"/>
        <v>149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f>'KASIM 3 HAFTA '!J45</f>
        <v>42</v>
      </c>
      <c r="D45" s="6"/>
      <c r="E45" s="6"/>
      <c r="F45" s="6"/>
      <c r="G45" s="6"/>
      <c r="H45" s="6"/>
      <c r="I45" s="6"/>
      <c r="J45" s="6">
        <f t="shared" si="0"/>
        <v>42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60</v>
      </c>
      <c r="D46" s="6"/>
      <c r="E46" s="6"/>
      <c r="F46" s="6"/>
      <c r="G46" s="6"/>
      <c r="H46" s="6"/>
      <c r="I46" s="6"/>
      <c r="J46" s="6">
        <f t="shared" si="0"/>
        <v>60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f>'KASIM 3 HAFTA '!J47</f>
        <v>24</v>
      </c>
      <c r="D47" s="6"/>
      <c r="E47" s="6"/>
      <c r="F47" s="6"/>
      <c r="G47" s="6"/>
      <c r="H47" s="6"/>
      <c r="I47" s="6"/>
      <c r="J47" s="6">
        <f t="shared" si="0"/>
        <v>24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f>'KASIM 3 HAFTA '!J49</f>
        <v>38</v>
      </c>
      <c r="D49" s="6"/>
      <c r="E49" s="6"/>
      <c r="F49" s="6"/>
      <c r="G49" s="6"/>
      <c r="H49" s="6"/>
      <c r="I49" s="6"/>
      <c r="J49" s="6">
        <f t="shared" si="0"/>
        <v>38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v>18</v>
      </c>
      <c r="D50" s="6"/>
      <c r="E50" s="6">
        <v>1</v>
      </c>
      <c r="F50" s="6"/>
      <c r="G50" s="6"/>
      <c r="H50" s="6"/>
      <c r="I50" s="6"/>
      <c r="J50" s="6">
        <f t="shared" si="0"/>
        <v>17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227</v>
      </c>
      <c r="D51" s="6"/>
      <c r="E51" s="6"/>
      <c r="F51" s="6"/>
      <c r="G51" s="6"/>
      <c r="H51" s="6">
        <v>2</v>
      </c>
      <c r="I51" s="6"/>
      <c r="J51" s="6">
        <f t="shared" si="0"/>
        <v>225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63</v>
      </c>
      <c r="D52" s="6"/>
      <c r="E52" s="6"/>
      <c r="F52" s="6"/>
      <c r="G52" s="6"/>
      <c r="H52" s="6"/>
      <c r="I52" s="6"/>
      <c r="J52" s="6">
        <f t="shared" si="0"/>
        <v>63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24</v>
      </c>
      <c r="D53" s="6"/>
      <c r="E53" s="6"/>
      <c r="F53" s="6"/>
      <c r="G53" s="6"/>
      <c r="H53" s="6"/>
      <c r="I53" s="6"/>
      <c r="J53" s="6">
        <f t="shared" si="0"/>
        <v>24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3 HAFTA '!J54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f>'KASIM 3 HAFTA '!J55</f>
        <v>77</v>
      </c>
      <c r="D55" s="6"/>
      <c r="E55" s="6"/>
      <c r="F55" s="6"/>
      <c r="G55" s="6"/>
      <c r="H55" s="6"/>
      <c r="I55" s="6"/>
      <c r="J55" s="6">
        <f t="shared" si="0"/>
        <v>77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3 HAFTA '!J56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14</v>
      </c>
      <c r="D58" s="6"/>
      <c r="E58" s="6"/>
      <c r="F58" s="6"/>
      <c r="G58" s="6"/>
      <c r="H58" s="6"/>
      <c r="I58" s="6"/>
      <c r="J58" s="6">
        <f t="shared" si="0"/>
        <v>14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3 HAFTA '!J59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f>'KASIM 3 HAFTA '!J60</f>
        <v>2</v>
      </c>
      <c r="D60" s="6">
        <v>0</v>
      </c>
      <c r="E60" s="6"/>
      <c r="F60" s="6"/>
      <c r="G60" s="6"/>
      <c r="H60" s="6"/>
      <c r="I60" s="6"/>
      <c r="J60" s="6">
        <f t="shared" si="0"/>
        <v>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f>'KASIM 3 HAFTA '!J61</f>
        <v>3</v>
      </c>
      <c r="D61" s="6"/>
      <c r="E61" s="6"/>
      <c r="F61" s="6"/>
      <c r="G61" s="6"/>
      <c r="H61" s="6"/>
      <c r="I61" s="6"/>
      <c r="J61" s="6">
        <f t="shared" si="0"/>
        <v>3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3 HAFTA '!J62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3 HAFTA '!J63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126</v>
      </c>
      <c r="D64" s="6"/>
      <c r="E64" s="6"/>
      <c r="F64" s="6"/>
      <c r="G64" s="6"/>
      <c r="H64" s="6"/>
      <c r="I64" s="6"/>
      <c r="J64" s="6">
        <f t="shared" si="0"/>
        <v>126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v>140</v>
      </c>
      <c r="D65" s="6"/>
      <c r="E65" s="6"/>
      <c r="F65" s="6"/>
      <c r="G65" s="6"/>
      <c r="H65" s="6">
        <v>4</v>
      </c>
      <c r="I65" s="6"/>
      <c r="J65" s="6">
        <f t="shared" si="0"/>
        <v>136</v>
      </c>
      <c r="K65" s="13"/>
      <c r="L65" s="14"/>
    </row>
    <row r="66" spans="1:12" x14ac:dyDescent="0.25">
      <c r="A66" s="6">
        <v>64</v>
      </c>
      <c r="B66" s="8" t="s">
        <v>74</v>
      </c>
      <c r="C66" s="6">
        <v>3</v>
      </c>
      <c r="D66" s="6">
        <v>20</v>
      </c>
      <c r="E66" s="6"/>
      <c r="F66" s="6"/>
      <c r="G66" s="6"/>
      <c r="H66" s="6"/>
      <c r="I66" s="6"/>
      <c r="J66" s="6">
        <f t="shared" si="0"/>
        <v>23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21</v>
      </c>
      <c r="D67" s="6">
        <v>65</v>
      </c>
      <c r="E67" s="6"/>
      <c r="F67" s="6"/>
      <c r="G67" s="6"/>
      <c r="H67" s="6"/>
      <c r="I67" s="6"/>
      <c r="J67" s="6">
        <f t="shared" si="0"/>
        <v>86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5</v>
      </c>
      <c r="D68" s="6">
        <v>20</v>
      </c>
      <c r="E68" s="6"/>
      <c r="F68" s="6"/>
      <c r="G68" s="6"/>
      <c r="H68" s="6"/>
      <c r="I68" s="6"/>
      <c r="J68" s="6">
        <f t="shared" ref="J68:J78" si="1">+C68-E68-F68-G68-H68-I68+D68</f>
        <v>25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21</v>
      </c>
      <c r="D69" s="6">
        <v>65</v>
      </c>
      <c r="E69" s="6"/>
      <c r="F69" s="6"/>
      <c r="G69" s="6"/>
      <c r="H69" s="6"/>
      <c r="I69" s="6"/>
      <c r="J69" s="6">
        <f t="shared" si="1"/>
        <v>86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6</v>
      </c>
      <c r="D70" s="6"/>
      <c r="E70" s="6"/>
      <c r="F70" s="6"/>
      <c r="G70" s="6"/>
      <c r="H70" s="6"/>
      <c r="I70" s="6"/>
      <c r="J70" s="6">
        <f t="shared" si="1"/>
        <v>6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20</v>
      </c>
      <c r="D71" s="6">
        <v>65</v>
      </c>
      <c r="E71" s="6"/>
      <c r="F71" s="6"/>
      <c r="G71" s="6"/>
      <c r="H71" s="6"/>
      <c r="I71" s="6"/>
      <c r="J71" s="6">
        <f t="shared" si="1"/>
        <v>85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15</v>
      </c>
      <c r="D72" s="6"/>
      <c r="E72" s="6"/>
      <c r="F72" s="6"/>
      <c r="G72" s="6"/>
      <c r="H72" s="6"/>
      <c r="I72" s="6"/>
      <c r="J72" s="6">
        <f t="shared" si="1"/>
        <v>15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36</v>
      </c>
      <c r="D73" s="6"/>
      <c r="E73" s="6"/>
      <c r="F73" s="6"/>
      <c r="G73" s="6"/>
      <c r="H73" s="6"/>
      <c r="I73" s="6"/>
      <c r="J73" s="6">
        <f t="shared" si="1"/>
        <v>36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223</v>
      </c>
      <c r="D74" s="6">
        <v>255</v>
      </c>
      <c r="E74" s="6"/>
      <c r="F74" s="6"/>
      <c r="G74" s="6"/>
      <c r="H74" s="6">
        <v>19</v>
      </c>
      <c r="I74" s="6"/>
      <c r="J74" s="6">
        <f t="shared" si="1"/>
        <v>459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96</v>
      </c>
      <c r="C75" s="6">
        <v>107</v>
      </c>
      <c r="D75" s="6">
        <v>241</v>
      </c>
      <c r="E75" s="6"/>
      <c r="F75" s="6"/>
      <c r="G75" s="6"/>
      <c r="H75" s="6"/>
      <c r="I75" s="6"/>
      <c r="J75" s="6">
        <f t="shared" si="1"/>
        <v>348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44</v>
      </c>
      <c r="D76" s="6">
        <v>20</v>
      </c>
      <c r="E76" s="6"/>
      <c r="F76" s="6"/>
      <c r="G76" s="6"/>
      <c r="H76" s="6">
        <v>2</v>
      </c>
      <c r="I76" s="6"/>
      <c r="J76" s="6">
        <f t="shared" si="1"/>
        <v>62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6">
        <f>'KASIM 3 HAFTA '!J77</f>
        <v>27</v>
      </c>
      <c r="D77" s="6">
        <v>20</v>
      </c>
      <c r="E77" s="6"/>
      <c r="F77" s="6"/>
      <c r="G77" s="6"/>
      <c r="H77" s="6">
        <v>2</v>
      </c>
      <c r="I77" s="6"/>
      <c r="J77" s="6">
        <f t="shared" si="1"/>
        <v>45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6">
        <v>8</v>
      </c>
      <c r="D78" s="6">
        <v>94</v>
      </c>
      <c r="E78" s="6"/>
      <c r="F78" s="6"/>
      <c r="G78" s="6"/>
      <c r="H78" s="6">
        <v>2</v>
      </c>
      <c r="I78" s="6"/>
      <c r="J78" s="6">
        <f t="shared" si="1"/>
        <v>100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8"/>
  <sheetViews>
    <sheetView zoomScaleNormal="100" workbookViewId="0">
      <selection activeCell="I66" sqref="I66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97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44907</v>
      </c>
      <c r="F2" s="4">
        <v>44908</v>
      </c>
      <c r="G2" s="4">
        <v>44909</v>
      </c>
      <c r="H2" s="4">
        <v>44910</v>
      </c>
      <c r="I2" s="4">
        <v>44911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4</v>
      </c>
      <c r="C3" s="6">
        <f>'KASIM 3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  <c r="K3" s="13">
        <v>0</v>
      </c>
      <c r="L3" s="14"/>
    </row>
    <row r="4" spans="1:12" x14ac:dyDescent="0.25">
      <c r="A4" s="6">
        <v>2</v>
      </c>
      <c r="B4" s="7" t="s">
        <v>5</v>
      </c>
      <c r="C4" s="6">
        <v>0</v>
      </c>
      <c r="D4" s="6"/>
      <c r="E4" s="6"/>
      <c r="F4" s="6"/>
      <c r="G4" s="6"/>
      <c r="H4" s="6"/>
      <c r="I4" s="6"/>
      <c r="J4" s="6">
        <f t="shared" ref="J4:J67" si="0">+C4-E4-F4-G4-H4-I4+D4</f>
        <v>0</v>
      </c>
      <c r="K4" s="13">
        <v>0</v>
      </c>
      <c r="L4" s="14"/>
    </row>
    <row r="5" spans="1:12" x14ac:dyDescent="0.25">
      <c r="A5" s="6">
        <v>3</v>
      </c>
      <c r="B5" s="7" t="s">
        <v>69</v>
      </c>
      <c r="C5" s="6">
        <v>78</v>
      </c>
      <c r="D5" s="6"/>
      <c r="E5" s="6"/>
      <c r="F5" s="6"/>
      <c r="G5" s="6"/>
      <c r="H5" s="6"/>
      <c r="I5" s="6"/>
      <c r="J5" s="6">
        <f t="shared" si="0"/>
        <v>78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v>94</v>
      </c>
      <c r="D6" s="6"/>
      <c r="E6" s="6"/>
      <c r="F6" s="6"/>
      <c r="G6" s="6"/>
      <c r="H6" s="6"/>
      <c r="I6" s="6"/>
      <c r="J6" s="6">
        <f t="shared" si="0"/>
        <v>94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41</v>
      </c>
      <c r="D7" s="6"/>
      <c r="E7" s="6"/>
      <c r="F7" s="6"/>
      <c r="G7" s="6"/>
      <c r="H7" s="6"/>
      <c r="I7" s="6"/>
      <c r="J7" s="6">
        <f t="shared" si="0"/>
        <v>41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f>'KASIM 3 HAFTA '!J8</f>
        <v>21</v>
      </c>
      <c r="D8" s="6"/>
      <c r="E8" s="6">
        <v>4</v>
      </c>
      <c r="F8" s="6"/>
      <c r="G8" s="6"/>
      <c r="H8" s="6"/>
      <c r="I8" s="6"/>
      <c r="J8" s="6">
        <f t="shared" si="0"/>
        <v>17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f>'KASIM 3 HAFTA '!J9</f>
        <v>12</v>
      </c>
      <c r="D9" s="6"/>
      <c r="E9" s="6"/>
      <c r="F9" s="6"/>
      <c r="G9" s="6"/>
      <c r="H9" s="6"/>
      <c r="I9" s="6"/>
      <c r="J9" s="6">
        <f t="shared" si="0"/>
        <v>12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75</v>
      </c>
      <c r="D10" s="6"/>
      <c r="E10" s="6"/>
      <c r="F10" s="6"/>
      <c r="G10" s="6"/>
      <c r="H10" s="6"/>
      <c r="I10" s="6"/>
      <c r="J10" s="6">
        <f t="shared" si="0"/>
        <v>75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9</v>
      </c>
      <c r="D11" s="6">
        <v>190</v>
      </c>
      <c r="E11" s="6"/>
      <c r="F11" s="6"/>
      <c r="G11" s="6"/>
      <c r="H11" s="6">
        <v>20</v>
      </c>
      <c r="I11" s="6"/>
      <c r="J11" s="6">
        <f t="shared" si="0"/>
        <v>179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554</v>
      </c>
      <c r="D12" s="6">
        <v>103</v>
      </c>
      <c r="E12" s="6"/>
      <c r="F12" s="6"/>
      <c r="G12" s="6"/>
      <c r="H12" s="6"/>
      <c r="I12" s="6">
        <v>85</v>
      </c>
      <c r="J12" s="6">
        <f t="shared" si="0"/>
        <v>572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f>'KASIM 3 HAFTA '!J13</f>
        <v>78</v>
      </c>
      <c r="D13" s="6"/>
      <c r="E13" s="6"/>
      <c r="F13" s="6"/>
      <c r="G13" s="6"/>
      <c r="H13" s="6"/>
      <c r="I13" s="6"/>
      <c r="J13" s="6">
        <f t="shared" si="0"/>
        <v>78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f>'KASIM 3 HAFTA '!J14</f>
        <v>42</v>
      </c>
      <c r="D14" s="6"/>
      <c r="E14" s="6"/>
      <c r="F14" s="6"/>
      <c r="G14" s="6"/>
      <c r="H14" s="6"/>
      <c r="I14" s="6"/>
      <c r="J14" s="6">
        <f t="shared" si="0"/>
        <v>42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93</v>
      </c>
      <c r="D15" s="6"/>
      <c r="E15" s="6"/>
      <c r="F15" s="6"/>
      <c r="G15" s="6"/>
      <c r="H15" s="6"/>
      <c r="I15" s="6"/>
      <c r="J15" s="6">
        <f t="shared" si="0"/>
        <v>93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f>'KASIM 3 HAFTA '!J16</f>
        <v>0</v>
      </c>
      <c r="D16" s="6"/>
      <c r="E16" s="6"/>
      <c r="F16" s="6"/>
      <c r="G16" s="6"/>
      <c r="H16" s="6"/>
      <c r="I16" s="6"/>
      <c r="J16" s="6">
        <f t="shared" si="0"/>
        <v>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263</v>
      </c>
      <c r="D17" s="6"/>
      <c r="E17" s="6">
        <v>10</v>
      </c>
      <c r="F17" s="6"/>
      <c r="G17" s="6"/>
      <c r="H17" s="6">
        <v>20</v>
      </c>
      <c r="I17" s="6"/>
      <c r="J17" s="6">
        <f t="shared" si="0"/>
        <v>233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0</v>
      </c>
      <c r="D18" s="6">
        <v>84</v>
      </c>
      <c r="E18" s="6"/>
      <c r="F18" s="6"/>
      <c r="G18" s="6"/>
      <c r="H18" s="6"/>
      <c r="I18" s="6">
        <v>18</v>
      </c>
      <c r="J18" s="6">
        <f t="shared" si="0"/>
        <v>66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18</v>
      </c>
      <c r="C19" s="6">
        <v>88</v>
      </c>
      <c r="D19" s="6"/>
      <c r="E19" s="6"/>
      <c r="F19" s="6">
        <v>8</v>
      </c>
      <c r="G19" s="6"/>
      <c r="H19" s="6"/>
      <c r="I19" s="6"/>
      <c r="J19" s="6">
        <f t="shared" si="0"/>
        <v>80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56</v>
      </c>
      <c r="D20" s="6"/>
      <c r="E20" s="6"/>
      <c r="F20" s="6"/>
      <c r="G20" s="6"/>
      <c r="H20" s="6"/>
      <c r="I20" s="6"/>
      <c r="J20" s="6">
        <f t="shared" si="0"/>
        <v>56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32</v>
      </c>
      <c r="D21" s="6"/>
      <c r="E21" s="6"/>
      <c r="F21" s="6"/>
      <c r="G21" s="6">
        <v>2</v>
      </c>
      <c r="H21" s="6"/>
      <c r="I21" s="6"/>
      <c r="J21" s="6">
        <f t="shared" si="0"/>
        <v>30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95</v>
      </c>
      <c r="C22" s="6">
        <v>458</v>
      </c>
      <c r="D22" s="6"/>
      <c r="E22" s="6"/>
      <c r="F22" s="6"/>
      <c r="G22" s="6"/>
      <c r="H22" s="6"/>
      <c r="I22" s="6"/>
      <c r="J22" s="6">
        <f t="shared" si="0"/>
        <v>458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f>'KASIM 3 HAFTA '!J23</f>
        <v>130</v>
      </c>
      <c r="D23" s="6"/>
      <c r="E23" s="6">
        <v>5</v>
      </c>
      <c r="F23" s="6"/>
      <c r="G23" s="6"/>
      <c r="H23" s="6"/>
      <c r="I23" s="6"/>
      <c r="J23" s="6">
        <f t="shared" si="0"/>
        <v>125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f>'KASIM 3 HAFTA '!J24</f>
        <v>38</v>
      </c>
      <c r="D24" s="6"/>
      <c r="E24" s="6"/>
      <c r="F24" s="6"/>
      <c r="G24" s="6"/>
      <c r="H24" s="6"/>
      <c r="I24" s="6"/>
      <c r="J24" s="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f>'KASIM 3 HAFTA '!J25</f>
        <v>7</v>
      </c>
      <c r="D25" s="6"/>
      <c r="E25" s="6"/>
      <c r="F25" s="6"/>
      <c r="G25" s="6"/>
      <c r="H25" s="6"/>
      <c r="I25" s="6"/>
      <c r="J25" s="6">
        <f t="shared" si="0"/>
        <v>7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f>'KASIM 3 HAFTA '!J26</f>
        <v>223</v>
      </c>
      <c r="D26" s="6"/>
      <c r="E26" s="6"/>
      <c r="F26" s="6"/>
      <c r="G26" s="6"/>
      <c r="H26" s="6"/>
      <c r="I26" s="6"/>
      <c r="J26" s="6">
        <f t="shared" si="0"/>
        <v>223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f>'KASIM 3 HAFTA '!J29</f>
        <v>13</v>
      </c>
      <c r="D29" s="6"/>
      <c r="E29" s="6"/>
      <c r="F29" s="6"/>
      <c r="G29" s="6"/>
      <c r="H29" s="6"/>
      <c r="I29" s="6"/>
      <c r="J29" s="6">
        <f t="shared" si="0"/>
        <v>13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f>'KASIM 3 HAFTA '!J30</f>
        <v>60</v>
      </c>
      <c r="D30" s="6"/>
      <c r="E30" s="6"/>
      <c r="F30" s="6"/>
      <c r="G30" s="6"/>
      <c r="H30" s="6"/>
      <c r="I30" s="6"/>
      <c r="J30" s="6">
        <f t="shared" si="0"/>
        <v>60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f>'KASIM 3 HAFTA '!J31</f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597</v>
      </c>
      <c r="D32" s="6"/>
      <c r="E32" s="6"/>
      <c r="F32" s="6"/>
      <c r="G32" s="6"/>
      <c r="H32" s="6"/>
      <c r="I32" s="6"/>
      <c r="J32" s="6">
        <f t="shared" si="0"/>
        <v>597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533</v>
      </c>
      <c r="D36" s="6"/>
      <c r="E36" s="6"/>
      <c r="F36" s="6"/>
      <c r="G36" s="6"/>
      <c r="H36" s="6"/>
      <c r="I36" s="6"/>
      <c r="J36" s="6">
        <f t="shared" si="0"/>
        <v>533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121</v>
      </c>
      <c r="D37" s="6"/>
      <c r="E37" s="6"/>
      <c r="F37" s="6"/>
      <c r="G37" s="6">
        <v>2</v>
      </c>
      <c r="H37" s="6"/>
      <c r="I37" s="6"/>
      <c r="J37" s="6">
        <f t="shared" si="0"/>
        <v>119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f>'KASIM 3 HAFTA '!J39</f>
        <v>24</v>
      </c>
      <c r="D39" s="6"/>
      <c r="E39" s="6"/>
      <c r="F39" s="6"/>
      <c r="G39" s="6"/>
      <c r="H39" s="6"/>
      <c r="I39" s="6"/>
      <c r="J39" s="6">
        <f t="shared" si="0"/>
        <v>24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9</v>
      </c>
      <c r="D40" s="6"/>
      <c r="E40" s="6"/>
      <c r="F40" s="6"/>
      <c r="G40" s="6"/>
      <c r="H40" s="6"/>
      <c r="I40" s="6"/>
      <c r="J40" s="6">
        <f t="shared" si="0"/>
        <v>9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11</v>
      </c>
      <c r="D41" s="6"/>
      <c r="E41" s="6">
        <v>4</v>
      </c>
      <c r="F41" s="6"/>
      <c r="G41" s="6"/>
      <c r="H41" s="6"/>
      <c r="I41" s="6">
        <v>2</v>
      </c>
      <c r="J41" s="6">
        <f t="shared" si="0"/>
        <v>5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65</v>
      </c>
      <c r="D42" s="6"/>
      <c r="E42" s="6"/>
      <c r="F42" s="6"/>
      <c r="G42" s="6"/>
      <c r="H42" s="6"/>
      <c r="I42" s="6">
        <v>2</v>
      </c>
      <c r="J42" s="6">
        <f t="shared" si="0"/>
        <v>63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504</v>
      </c>
      <c r="D43" s="6"/>
      <c r="E43" s="6">
        <v>265</v>
      </c>
      <c r="F43" s="6"/>
      <c r="G43" s="6"/>
      <c r="H43" s="6">
        <v>135</v>
      </c>
      <c r="I43" s="6">
        <v>12</v>
      </c>
      <c r="J43" s="6">
        <f t="shared" si="0"/>
        <v>92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60</v>
      </c>
      <c r="C44" s="6">
        <f>'KASIM 3 HAFTA '!J44</f>
        <v>149</v>
      </c>
      <c r="D44" s="6"/>
      <c r="E44" s="6"/>
      <c r="F44" s="6"/>
      <c r="G44" s="6"/>
      <c r="H44" s="6"/>
      <c r="I44" s="6"/>
      <c r="J44" s="6">
        <f t="shared" si="0"/>
        <v>149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f>'KASIM 3 HAFTA '!J45</f>
        <v>42</v>
      </c>
      <c r="D45" s="6"/>
      <c r="E45" s="6"/>
      <c r="F45" s="6"/>
      <c r="G45" s="6"/>
      <c r="H45" s="6"/>
      <c r="I45" s="6"/>
      <c r="J45" s="6">
        <f t="shared" si="0"/>
        <v>42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60</v>
      </c>
      <c r="D46" s="6"/>
      <c r="E46" s="6"/>
      <c r="F46" s="6"/>
      <c r="G46" s="6"/>
      <c r="H46" s="6"/>
      <c r="I46" s="6"/>
      <c r="J46" s="6">
        <f t="shared" si="0"/>
        <v>60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f>'KASIM 3 HAFTA '!J47</f>
        <v>24</v>
      </c>
      <c r="D47" s="6"/>
      <c r="E47" s="6"/>
      <c r="F47" s="6">
        <v>3</v>
      </c>
      <c r="G47" s="6"/>
      <c r="H47" s="6"/>
      <c r="I47" s="6"/>
      <c r="J47" s="6">
        <f t="shared" si="0"/>
        <v>21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f>'KASIM 3 HAFTA '!J49</f>
        <v>38</v>
      </c>
      <c r="D49" s="6"/>
      <c r="E49" s="6"/>
      <c r="F49" s="6"/>
      <c r="G49" s="6"/>
      <c r="H49" s="6"/>
      <c r="I49" s="6"/>
      <c r="J49" s="6">
        <f t="shared" si="0"/>
        <v>38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v>17</v>
      </c>
      <c r="D50" s="6"/>
      <c r="E50" s="6"/>
      <c r="F50" s="6"/>
      <c r="G50" s="6">
        <v>5</v>
      </c>
      <c r="H50" s="6"/>
      <c r="I50" s="6"/>
      <c r="J50" s="6">
        <f t="shared" si="0"/>
        <v>12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225</v>
      </c>
      <c r="D51" s="6"/>
      <c r="E51" s="6"/>
      <c r="F51" s="6"/>
      <c r="G51" s="6"/>
      <c r="H51" s="6"/>
      <c r="I51" s="6"/>
      <c r="J51" s="6">
        <f t="shared" si="0"/>
        <v>225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63</v>
      </c>
      <c r="D52" s="6"/>
      <c r="E52" s="6"/>
      <c r="F52" s="6"/>
      <c r="G52" s="6"/>
      <c r="H52" s="6"/>
      <c r="I52" s="6"/>
      <c r="J52" s="6">
        <f t="shared" si="0"/>
        <v>63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24</v>
      </c>
      <c r="D53" s="6"/>
      <c r="E53" s="6"/>
      <c r="F53" s="6"/>
      <c r="G53" s="6"/>
      <c r="H53" s="6"/>
      <c r="I53" s="6"/>
      <c r="J53" s="6">
        <f t="shared" si="0"/>
        <v>24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3 HAFTA '!J54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f>'KASIM 3 HAFTA '!J55</f>
        <v>77</v>
      </c>
      <c r="D55" s="6"/>
      <c r="E55" s="6"/>
      <c r="F55" s="6"/>
      <c r="G55" s="6"/>
      <c r="H55" s="6"/>
      <c r="I55" s="6">
        <v>2</v>
      </c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3 HAFTA '!J56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14</v>
      </c>
      <c r="D58" s="6"/>
      <c r="E58" s="6"/>
      <c r="F58" s="6"/>
      <c r="G58" s="6"/>
      <c r="H58" s="6"/>
      <c r="I58" s="6"/>
      <c r="J58" s="6">
        <f t="shared" si="0"/>
        <v>14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3 HAFTA '!J59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f>'KASIM 3 HAFTA '!J60</f>
        <v>2</v>
      </c>
      <c r="D60" s="6"/>
      <c r="E60" s="6"/>
      <c r="F60" s="6"/>
      <c r="G60" s="6"/>
      <c r="H60" s="6"/>
      <c r="I60" s="6"/>
      <c r="J60" s="6">
        <f t="shared" si="0"/>
        <v>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f>'KASIM 3 HAFTA '!J61</f>
        <v>3</v>
      </c>
      <c r="D61" s="6"/>
      <c r="E61" s="6"/>
      <c r="F61" s="6"/>
      <c r="G61" s="6"/>
      <c r="H61" s="6"/>
      <c r="I61" s="6"/>
      <c r="J61" s="6">
        <f t="shared" si="0"/>
        <v>3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3 HAFTA '!J62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3 HAFTA '!J63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126</v>
      </c>
      <c r="D64" s="6"/>
      <c r="E64" s="6"/>
      <c r="F64" s="6"/>
      <c r="G64" s="6"/>
      <c r="H64" s="6"/>
      <c r="I64" s="6"/>
      <c r="J64" s="6">
        <f t="shared" si="0"/>
        <v>126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v>136</v>
      </c>
      <c r="D65" s="6"/>
      <c r="E65" s="6"/>
      <c r="F65" s="6">
        <v>0</v>
      </c>
      <c r="G65" s="6"/>
      <c r="H65" s="6"/>
      <c r="I65" s="6"/>
      <c r="J65" s="6">
        <f t="shared" si="0"/>
        <v>136</v>
      </c>
      <c r="K65" s="13"/>
      <c r="L65" s="14"/>
    </row>
    <row r="66" spans="1:12" x14ac:dyDescent="0.25">
      <c r="A66" s="6">
        <v>64</v>
      </c>
      <c r="B66" s="8" t="s">
        <v>74</v>
      </c>
      <c r="C66" s="6">
        <v>23</v>
      </c>
      <c r="D66" s="6">
        <v>30</v>
      </c>
      <c r="E66" s="6"/>
      <c r="F66" s="6"/>
      <c r="G66" s="6"/>
      <c r="H66" s="6"/>
      <c r="I66" s="6"/>
      <c r="J66" s="6">
        <f t="shared" si="0"/>
        <v>53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86</v>
      </c>
      <c r="D67" s="6"/>
      <c r="E67" s="6"/>
      <c r="F67" s="6"/>
      <c r="G67" s="6"/>
      <c r="H67" s="6"/>
      <c r="I67" s="6"/>
      <c r="J67" s="6">
        <f t="shared" si="0"/>
        <v>86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25</v>
      </c>
      <c r="D68" s="6"/>
      <c r="E68" s="6"/>
      <c r="F68" s="6">
        <v>6</v>
      </c>
      <c r="G68" s="6"/>
      <c r="H68" s="6"/>
      <c r="I68" s="6"/>
      <c r="J68" s="6">
        <f t="shared" ref="J68:J78" si="1">+C68-E68-F68-G68-H68-I68+D68</f>
        <v>19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86</v>
      </c>
      <c r="D69" s="6"/>
      <c r="E69" s="6"/>
      <c r="F69" s="6"/>
      <c r="G69" s="6"/>
      <c r="H69" s="6"/>
      <c r="I69" s="6"/>
      <c r="J69" s="6">
        <f t="shared" si="1"/>
        <v>86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6</v>
      </c>
      <c r="D70" s="6"/>
      <c r="E70" s="6"/>
      <c r="F70" s="6"/>
      <c r="G70" s="6"/>
      <c r="H70" s="6"/>
      <c r="I70" s="6"/>
      <c r="J70" s="6">
        <f t="shared" si="1"/>
        <v>6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85</v>
      </c>
      <c r="D71" s="6"/>
      <c r="E71" s="6"/>
      <c r="F71" s="6"/>
      <c r="G71" s="6"/>
      <c r="H71" s="6"/>
      <c r="I71" s="6"/>
      <c r="J71" s="6">
        <f t="shared" si="1"/>
        <v>85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15</v>
      </c>
      <c r="D72" s="6"/>
      <c r="E72" s="6"/>
      <c r="F72" s="6"/>
      <c r="G72" s="6"/>
      <c r="H72" s="6"/>
      <c r="I72" s="6"/>
      <c r="J72" s="6">
        <f t="shared" si="1"/>
        <v>15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36</v>
      </c>
      <c r="D73" s="6"/>
      <c r="E73" s="6"/>
      <c r="F73" s="6"/>
      <c r="G73" s="6"/>
      <c r="H73" s="6"/>
      <c r="I73" s="6"/>
      <c r="J73" s="6">
        <f t="shared" si="1"/>
        <v>36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459</v>
      </c>
      <c r="D74" s="6"/>
      <c r="E74" s="6"/>
      <c r="F74" s="6">
        <v>76</v>
      </c>
      <c r="G74" s="6"/>
      <c r="H74" s="6">
        <v>14</v>
      </c>
      <c r="I74" s="6">
        <v>24</v>
      </c>
      <c r="J74" s="6">
        <f t="shared" si="1"/>
        <v>345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96</v>
      </c>
      <c r="C75" s="6">
        <v>348</v>
      </c>
      <c r="D75" s="6"/>
      <c r="E75" s="6"/>
      <c r="F75" s="6"/>
      <c r="G75" s="6"/>
      <c r="H75" s="6"/>
      <c r="I75" s="6">
        <v>20</v>
      </c>
      <c r="J75" s="6">
        <f t="shared" si="1"/>
        <v>328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62</v>
      </c>
      <c r="D76" s="6"/>
      <c r="E76" s="6"/>
      <c r="F76" s="6"/>
      <c r="G76" s="6"/>
      <c r="H76" s="6"/>
      <c r="I76" s="6"/>
      <c r="J76" s="6">
        <f t="shared" si="1"/>
        <v>62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6">
        <v>45</v>
      </c>
      <c r="D77" s="6"/>
      <c r="E77" s="6"/>
      <c r="F77" s="6">
        <v>0</v>
      </c>
      <c r="G77" s="6"/>
      <c r="H77" s="6"/>
      <c r="I77" s="6"/>
      <c r="J77" s="6">
        <f t="shared" si="1"/>
        <v>45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6">
        <v>100</v>
      </c>
      <c r="D78" s="6"/>
      <c r="E78" s="6"/>
      <c r="F78" s="6"/>
      <c r="G78" s="6">
        <v>23</v>
      </c>
      <c r="H78" s="6"/>
      <c r="I78" s="6"/>
      <c r="J78" s="6">
        <f t="shared" si="1"/>
        <v>77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8"/>
  <sheetViews>
    <sheetView topLeftCell="A56" zoomScaleNormal="100" workbookViewId="0">
      <selection activeCell="I78" sqref="I78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99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44914</v>
      </c>
      <c r="F2" s="4">
        <v>44915</v>
      </c>
      <c r="G2" s="4">
        <v>44916</v>
      </c>
      <c r="H2" s="4">
        <v>44917</v>
      </c>
      <c r="I2" s="4">
        <v>44918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4</v>
      </c>
      <c r="C3" s="6">
        <f>'KASIM 3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  <c r="K3" s="13">
        <v>0</v>
      </c>
      <c r="L3" s="14"/>
    </row>
    <row r="4" spans="1:12" x14ac:dyDescent="0.25">
      <c r="A4" s="6">
        <v>2</v>
      </c>
      <c r="B4" s="7" t="s">
        <v>5</v>
      </c>
      <c r="C4" s="6">
        <v>0</v>
      </c>
      <c r="D4" s="6"/>
      <c r="E4" s="6"/>
      <c r="F4" s="6"/>
      <c r="G4" s="6"/>
      <c r="H4" s="6"/>
      <c r="I4" s="6"/>
      <c r="J4" s="6">
        <f t="shared" ref="J4:J67" si="0">+C4-E4-F4-G4-H4-I4+D4</f>
        <v>0</v>
      </c>
      <c r="K4" s="13">
        <v>0</v>
      </c>
      <c r="L4" s="14"/>
    </row>
    <row r="5" spans="1:12" x14ac:dyDescent="0.25">
      <c r="A5" s="6">
        <v>3</v>
      </c>
      <c r="B5" s="7" t="s">
        <v>69</v>
      </c>
      <c r="C5" s="6">
        <v>78</v>
      </c>
      <c r="D5" s="6"/>
      <c r="E5" s="6"/>
      <c r="F5" s="6"/>
      <c r="G5" s="6"/>
      <c r="H5" s="6"/>
      <c r="I5" s="6"/>
      <c r="J5" s="6">
        <f t="shared" si="0"/>
        <v>78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v>94</v>
      </c>
      <c r="D6" s="6"/>
      <c r="E6" s="6"/>
      <c r="F6" s="6"/>
      <c r="G6" s="6"/>
      <c r="H6" s="6"/>
      <c r="I6" s="6"/>
      <c r="J6" s="6">
        <f t="shared" si="0"/>
        <v>94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41</v>
      </c>
      <c r="D7" s="6"/>
      <c r="E7" s="6">
        <v>12</v>
      </c>
      <c r="F7" s="6"/>
      <c r="G7" s="6"/>
      <c r="H7" s="6">
        <v>1</v>
      </c>
      <c r="I7" s="6">
        <v>5</v>
      </c>
      <c r="J7" s="6">
        <f t="shared" si="0"/>
        <v>23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17</v>
      </c>
      <c r="D8" s="6"/>
      <c r="E8" s="6"/>
      <c r="F8" s="6"/>
      <c r="G8" s="6"/>
      <c r="H8" s="6"/>
      <c r="I8" s="6">
        <v>4</v>
      </c>
      <c r="J8" s="6">
        <f t="shared" si="0"/>
        <v>13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f>'KASIM 3 HAFTA '!J9</f>
        <v>12</v>
      </c>
      <c r="D9" s="6"/>
      <c r="E9" s="6"/>
      <c r="F9" s="6"/>
      <c r="G9" s="6"/>
      <c r="H9" s="6"/>
      <c r="I9" s="6"/>
      <c r="J9" s="6">
        <f t="shared" si="0"/>
        <v>12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75</v>
      </c>
      <c r="D10" s="6"/>
      <c r="E10" s="6"/>
      <c r="F10" s="6"/>
      <c r="G10" s="6"/>
      <c r="H10" s="6"/>
      <c r="I10" s="6"/>
      <c r="J10" s="6">
        <f t="shared" si="0"/>
        <v>75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179</v>
      </c>
      <c r="D11" s="6"/>
      <c r="E11" s="6">
        <v>54</v>
      </c>
      <c r="F11" s="6">
        <v>0</v>
      </c>
      <c r="G11" s="6"/>
      <c r="H11" s="6"/>
      <c r="I11" s="6">
        <v>45</v>
      </c>
      <c r="J11" s="6">
        <f t="shared" si="0"/>
        <v>80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572</v>
      </c>
      <c r="D12" s="6"/>
      <c r="E12" s="6"/>
      <c r="F12" s="6">
        <v>80</v>
      </c>
      <c r="G12" s="6">
        <v>50</v>
      </c>
      <c r="H12" s="6"/>
      <c r="I12" s="6"/>
      <c r="J12" s="6">
        <f t="shared" si="0"/>
        <v>442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f>'KASIM 3 HAFTA '!J13</f>
        <v>78</v>
      </c>
      <c r="D13" s="6"/>
      <c r="E13" s="6"/>
      <c r="F13" s="6"/>
      <c r="G13" s="6"/>
      <c r="H13" s="6"/>
      <c r="I13" s="6"/>
      <c r="J13" s="6">
        <f t="shared" si="0"/>
        <v>78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f>'KASIM 3 HAFTA '!J14</f>
        <v>42</v>
      </c>
      <c r="D14" s="6"/>
      <c r="E14" s="6"/>
      <c r="F14" s="6"/>
      <c r="G14" s="6"/>
      <c r="H14" s="6"/>
      <c r="I14" s="6"/>
      <c r="J14" s="6">
        <f t="shared" si="0"/>
        <v>42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93</v>
      </c>
      <c r="D15" s="6"/>
      <c r="E15" s="6"/>
      <c r="F15" s="6"/>
      <c r="G15" s="6"/>
      <c r="H15" s="6"/>
      <c r="I15" s="6"/>
      <c r="J15" s="6">
        <f t="shared" si="0"/>
        <v>93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f>'KASIM 3 HAFTA '!J16</f>
        <v>0</v>
      </c>
      <c r="D16" s="6"/>
      <c r="E16" s="6"/>
      <c r="F16" s="6"/>
      <c r="G16" s="6"/>
      <c r="H16" s="6"/>
      <c r="I16" s="6"/>
      <c r="J16" s="6">
        <f t="shared" si="0"/>
        <v>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233</v>
      </c>
      <c r="D17" s="6">
        <v>42</v>
      </c>
      <c r="E17" s="6">
        <v>4</v>
      </c>
      <c r="F17" s="6"/>
      <c r="G17" s="6">
        <v>13</v>
      </c>
      <c r="H17" s="6">
        <v>1</v>
      </c>
      <c r="I17" s="6"/>
      <c r="J17" s="6">
        <f t="shared" si="0"/>
        <v>257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66</v>
      </c>
      <c r="D18" s="6">
        <v>102</v>
      </c>
      <c r="E18" s="6">
        <v>2</v>
      </c>
      <c r="F18" s="6"/>
      <c r="G18" s="6">
        <v>6</v>
      </c>
      <c r="H18" s="6">
        <v>4</v>
      </c>
      <c r="I18" s="6"/>
      <c r="J18" s="6">
        <f t="shared" si="0"/>
        <v>156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18</v>
      </c>
      <c r="C19" s="6">
        <v>80</v>
      </c>
      <c r="D19" s="6"/>
      <c r="E19" s="6"/>
      <c r="F19" s="6"/>
      <c r="G19" s="6"/>
      <c r="H19" s="6"/>
      <c r="I19" s="6"/>
      <c r="J19" s="6">
        <f t="shared" si="0"/>
        <v>80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56</v>
      </c>
      <c r="D20" s="6"/>
      <c r="E20" s="6"/>
      <c r="F20" s="6"/>
      <c r="G20" s="6"/>
      <c r="H20" s="6"/>
      <c r="I20" s="6"/>
      <c r="J20" s="6">
        <f t="shared" si="0"/>
        <v>56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30</v>
      </c>
      <c r="D21" s="6"/>
      <c r="E21" s="6">
        <v>6</v>
      </c>
      <c r="F21" s="6"/>
      <c r="G21" s="6"/>
      <c r="H21" s="6"/>
      <c r="I21" s="6"/>
      <c r="J21" s="6">
        <f t="shared" si="0"/>
        <v>24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95</v>
      </c>
      <c r="C22" s="6">
        <v>458</v>
      </c>
      <c r="D22" s="6"/>
      <c r="E22" s="6"/>
      <c r="F22" s="6"/>
      <c r="G22" s="6"/>
      <c r="H22" s="6">
        <v>13</v>
      </c>
      <c r="I22" s="6"/>
      <c r="J22" s="6">
        <f t="shared" si="0"/>
        <v>445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v>125</v>
      </c>
      <c r="D23" s="6"/>
      <c r="E23" s="6"/>
      <c r="F23" s="6"/>
      <c r="G23" s="6"/>
      <c r="H23" s="6">
        <v>1</v>
      </c>
      <c r="I23" s="6"/>
      <c r="J23" s="6">
        <f t="shared" si="0"/>
        <v>124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f>'KASIM 3 HAFTA '!J24</f>
        <v>38</v>
      </c>
      <c r="D24" s="6"/>
      <c r="E24" s="6"/>
      <c r="F24" s="6"/>
      <c r="G24" s="6"/>
      <c r="H24" s="6"/>
      <c r="I24" s="6"/>
      <c r="J24" s="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f>'KASIM 3 HAFTA '!J25</f>
        <v>7</v>
      </c>
      <c r="D25" s="6"/>
      <c r="E25" s="6"/>
      <c r="F25" s="6"/>
      <c r="G25" s="6"/>
      <c r="H25" s="6"/>
      <c r="I25" s="6"/>
      <c r="J25" s="6">
        <f t="shared" si="0"/>
        <v>7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f>'KASIM 3 HAFTA '!J26</f>
        <v>223</v>
      </c>
      <c r="D26" s="6"/>
      <c r="E26" s="6"/>
      <c r="F26" s="6"/>
      <c r="G26" s="6"/>
      <c r="H26" s="6"/>
      <c r="I26" s="6"/>
      <c r="J26" s="6">
        <f t="shared" si="0"/>
        <v>223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f>'KASIM 3 HAFTA '!J29</f>
        <v>13</v>
      </c>
      <c r="D29" s="6"/>
      <c r="E29" s="6"/>
      <c r="F29" s="6"/>
      <c r="G29" s="6"/>
      <c r="H29" s="6"/>
      <c r="I29" s="6"/>
      <c r="J29" s="6">
        <f t="shared" si="0"/>
        <v>13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f>'KASIM 3 HAFTA '!J30</f>
        <v>60</v>
      </c>
      <c r="D30" s="6"/>
      <c r="E30" s="6"/>
      <c r="F30" s="6"/>
      <c r="G30" s="6"/>
      <c r="H30" s="6"/>
      <c r="I30" s="6"/>
      <c r="J30" s="6">
        <f t="shared" si="0"/>
        <v>60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f>'KASIM 3 HAFTA '!J31</f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597</v>
      </c>
      <c r="D32" s="6"/>
      <c r="E32" s="6"/>
      <c r="F32" s="6"/>
      <c r="G32" s="6">
        <v>5</v>
      </c>
      <c r="H32" s="6">
        <v>50</v>
      </c>
      <c r="I32" s="6"/>
      <c r="J32" s="6">
        <f t="shared" si="0"/>
        <v>542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533</v>
      </c>
      <c r="D36" s="6"/>
      <c r="E36" s="6"/>
      <c r="F36" s="6"/>
      <c r="G36" s="6"/>
      <c r="H36" s="6"/>
      <c r="I36" s="6"/>
      <c r="J36" s="6">
        <f t="shared" si="0"/>
        <v>533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119</v>
      </c>
      <c r="D37" s="6"/>
      <c r="E37" s="6"/>
      <c r="F37" s="6"/>
      <c r="G37" s="6"/>
      <c r="H37" s="6"/>
      <c r="I37" s="6"/>
      <c r="J37" s="6">
        <f t="shared" si="0"/>
        <v>119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f>'KASIM 3 HAFTA '!J39</f>
        <v>24</v>
      </c>
      <c r="D39" s="6"/>
      <c r="E39" s="6"/>
      <c r="F39" s="6"/>
      <c r="G39" s="6"/>
      <c r="H39" s="6"/>
      <c r="I39" s="6"/>
      <c r="J39" s="6">
        <f t="shared" si="0"/>
        <v>24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9</v>
      </c>
      <c r="D40" s="6"/>
      <c r="E40" s="6"/>
      <c r="F40" s="6"/>
      <c r="G40" s="6"/>
      <c r="H40" s="6"/>
      <c r="I40" s="6"/>
      <c r="J40" s="6">
        <f t="shared" si="0"/>
        <v>9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5</v>
      </c>
      <c r="D41" s="6"/>
      <c r="E41" s="6"/>
      <c r="F41" s="6"/>
      <c r="G41" s="6"/>
      <c r="H41" s="6">
        <v>4</v>
      </c>
      <c r="I41" s="6"/>
      <c r="J41" s="6">
        <f t="shared" si="0"/>
        <v>1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63</v>
      </c>
      <c r="D42" s="6"/>
      <c r="E42" s="6"/>
      <c r="F42" s="6"/>
      <c r="G42" s="6"/>
      <c r="H42" s="6">
        <v>10</v>
      </c>
      <c r="I42" s="6">
        <v>2</v>
      </c>
      <c r="J42" s="6">
        <f t="shared" si="0"/>
        <v>51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92</v>
      </c>
      <c r="D43" s="6"/>
      <c r="E43" s="6"/>
      <c r="F43" s="6"/>
      <c r="G43" s="6"/>
      <c r="H43" s="6"/>
      <c r="I43" s="6"/>
      <c r="J43" s="6">
        <f t="shared" si="0"/>
        <v>92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60</v>
      </c>
      <c r="C44" s="6">
        <f>'KASIM 3 HAFTA '!J44</f>
        <v>149</v>
      </c>
      <c r="D44" s="6"/>
      <c r="E44" s="6"/>
      <c r="F44" s="6">
        <v>4</v>
      </c>
      <c r="G44" s="6"/>
      <c r="H44" s="6"/>
      <c r="I44" s="6"/>
      <c r="J44" s="6">
        <f t="shared" si="0"/>
        <v>145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f>'KASIM 3 HAFTA '!J45</f>
        <v>42</v>
      </c>
      <c r="D45" s="6"/>
      <c r="E45" s="6"/>
      <c r="F45" s="6"/>
      <c r="G45" s="6"/>
      <c r="H45" s="6"/>
      <c r="I45" s="6"/>
      <c r="J45" s="6">
        <f t="shared" si="0"/>
        <v>42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60</v>
      </c>
      <c r="D46" s="6"/>
      <c r="E46" s="6"/>
      <c r="F46" s="6"/>
      <c r="G46" s="6"/>
      <c r="H46" s="6"/>
      <c r="I46" s="6"/>
      <c r="J46" s="6">
        <f t="shared" si="0"/>
        <v>60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21</v>
      </c>
      <c r="D47" s="6"/>
      <c r="E47" s="6"/>
      <c r="F47" s="6"/>
      <c r="G47" s="6"/>
      <c r="H47" s="6"/>
      <c r="I47" s="6"/>
      <c r="J47" s="6">
        <f t="shared" si="0"/>
        <v>21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f>'KASIM 3 HAFTA '!J49</f>
        <v>38</v>
      </c>
      <c r="D49" s="6"/>
      <c r="E49" s="6"/>
      <c r="F49" s="6"/>
      <c r="G49" s="6"/>
      <c r="H49" s="6"/>
      <c r="I49" s="6"/>
      <c r="J49" s="6">
        <f t="shared" si="0"/>
        <v>38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v>12</v>
      </c>
      <c r="D50" s="6"/>
      <c r="E50" s="6"/>
      <c r="F50" s="6"/>
      <c r="G50" s="6"/>
      <c r="H50" s="6"/>
      <c r="I50" s="6"/>
      <c r="J50" s="6">
        <f t="shared" si="0"/>
        <v>12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225</v>
      </c>
      <c r="D51" s="6"/>
      <c r="E51" s="6"/>
      <c r="F51" s="6"/>
      <c r="G51" s="6"/>
      <c r="H51" s="6"/>
      <c r="I51" s="6"/>
      <c r="J51" s="6">
        <f t="shared" si="0"/>
        <v>225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63</v>
      </c>
      <c r="D52" s="6"/>
      <c r="E52" s="6"/>
      <c r="F52" s="6"/>
      <c r="G52" s="6"/>
      <c r="H52" s="6"/>
      <c r="I52" s="6"/>
      <c r="J52" s="6">
        <f t="shared" si="0"/>
        <v>63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24</v>
      </c>
      <c r="D53" s="6"/>
      <c r="E53" s="6"/>
      <c r="F53" s="6"/>
      <c r="G53" s="6"/>
      <c r="H53" s="6"/>
      <c r="I53" s="6"/>
      <c r="J53" s="6">
        <f t="shared" si="0"/>
        <v>24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3 HAFTA '!J54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3 HAFTA '!J56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14</v>
      </c>
      <c r="D58" s="6"/>
      <c r="E58" s="6"/>
      <c r="F58" s="6"/>
      <c r="G58" s="6"/>
      <c r="H58" s="6"/>
      <c r="I58" s="6"/>
      <c r="J58" s="6">
        <f t="shared" si="0"/>
        <v>14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3 HAFTA '!J59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f>'KASIM 3 HAFTA '!J60</f>
        <v>2</v>
      </c>
      <c r="D60" s="6"/>
      <c r="E60" s="6"/>
      <c r="F60" s="6"/>
      <c r="G60" s="6"/>
      <c r="H60" s="6"/>
      <c r="I60" s="6"/>
      <c r="J60" s="6">
        <f t="shared" si="0"/>
        <v>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f>'KASIM 3 HAFTA '!J61</f>
        <v>3</v>
      </c>
      <c r="D61" s="6"/>
      <c r="E61" s="6"/>
      <c r="F61" s="6"/>
      <c r="G61" s="6"/>
      <c r="H61" s="6"/>
      <c r="I61" s="6"/>
      <c r="J61" s="6">
        <f t="shared" si="0"/>
        <v>3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3 HAFTA '!J62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3 HAFTA '!J63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126</v>
      </c>
      <c r="D64" s="6"/>
      <c r="E64" s="6"/>
      <c r="F64" s="6"/>
      <c r="G64" s="6"/>
      <c r="H64" s="6">
        <v>20</v>
      </c>
      <c r="I64" s="6"/>
      <c r="J64" s="6">
        <f t="shared" si="0"/>
        <v>106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v>136</v>
      </c>
      <c r="D65" s="6"/>
      <c r="E65" s="6"/>
      <c r="F65" s="6"/>
      <c r="G65" s="6"/>
      <c r="H65" s="6"/>
      <c r="I65" s="6"/>
      <c r="J65" s="6">
        <f t="shared" si="0"/>
        <v>136</v>
      </c>
      <c r="K65" s="13"/>
      <c r="L65" s="14"/>
    </row>
    <row r="66" spans="1:12" x14ac:dyDescent="0.25">
      <c r="A66" s="6">
        <v>64</v>
      </c>
      <c r="B66" s="8" t="s">
        <v>74</v>
      </c>
      <c r="C66" s="6">
        <v>53</v>
      </c>
      <c r="D66" s="6"/>
      <c r="E66" s="6"/>
      <c r="F66" s="6"/>
      <c r="G66" s="6"/>
      <c r="H66" s="6"/>
      <c r="I66" s="6"/>
      <c r="J66" s="6">
        <f t="shared" si="0"/>
        <v>53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86</v>
      </c>
      <c r="D67" s="6"/>
      <c r="E67" s="6"/>
      <c r="F67" s="6"/>
      <c r="G67" s="6"/>
      <c r="H67" s="6"/>
      <c r="I67" s="6"/>
      <c r="J67" s="6">
        <f t="shared" si="0"/>
        <v>86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19</v>
      </c>
      <c r="D68" s="6">
        <v>50</v>
      </c>
      <c r="E68" s="6"/>
      <c r="F68" s="6"/>
      <c r="G68" s="6"/>
      <c r="H68" s="6"/>
      <c r="I68" s="6"/>
      <c r="J68" s="6">
        <f t="shared" ref="J68:J78" si="1">+C68-E68-F68-G68-H68-I68+D68</f>
        <v>69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86</v>
      </c>
      <c r="D69" s="6"/>
      <c r="E69" s="6"/>
      <c r="F69" s="6"/>
      <c r="G69" s="6"/>
      <c r="H69" s="6"/>
      <c r="I69" s="6"/>
      <c r="J69" s="6">
        <f t="shared" si="1"/>
        <v>86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6</v>
      </c>
      <c r="D70" s="6">
        <v>8</v>
      </c>
      <c r="E70" s="6"/>
      <c r="F70" s="6"/>
      <c r="G70" s="6"/>
      <c r="H70" s="6"/>
      <c r="I70" s="6"/>
      <c r="J70" s="6">
        <f t="shared" si="1"/>
        <v>14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85</v>
      </c>
      <c r="D71" s="6"/>
      <c r="E71" s="6"/>
      <c r="F71" s="6"/>
      <c r="G71" s="6"/>
      <c r="H71" s="6"/>
      <c r="I71" s="6"/>
      <c r="J71" s="6">
        <f t="shared" si="1"/>
        <v>85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15</v>
      </c>
      <c r="D72" s="6"/>
      <c r="E72" s="6"/>
      <c r="F72" s="6"/>
      <c r="G72" s="6"/>
      <c r="H72" s="6">
        <v>6</v>
      </c>
      <c r="I72" s="6"/>
      <c r="J72" s="6">
        <f t="shared" si="1"/>
        <v>9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36</v>
      </c>
      <c r="D73" s="6"/>
      <c r="E73" s="6"/>
      <c r="F73" s="6"/>
      <c r="G73" s="6"/>
      <c r="H73" s="6"/>
      <c r="I73" s="6"/>
      <c r="J73" s="6">
        <f t="shared" si="1"/>
        <v>36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345</v>
      </c>
      <c r="D74" s="6"/>
      <c r="E74" s="6"/>
      <c r="F74" s="6">
        <v>20</v>
      </c>
      <c r="G74" s="6"/>
      <c r="H74" s="6"/>
      <c r="I74" s="6">
        <v>10</v>
      </c>
      <c r="J74" s="6">
        <f t="shared" si="1"/>
        <v>315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96</v>
      </c>
      <c r="C75" s="6">
        <v>328</v>
      </c>
      <c r="D75" s="6"/>
      <c r="E75" s="6"/>
      <c r="F75" s="6"/>
      <c r="G75" s="6"/>
      <c r="H75" s="6"/>
      <c r="I75" s="6"/>
      <c r="J75" s="6">
        <f t="shared" si="1"/>
        <v>328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62</v>
      </c>
      <c r="D76" s="6"/>
      <c r="E76" s="6"/>
      <c r="F76" s="6">
        <v>0</v>
      </c>
      <c r="G76" s="6"/>
      <c r="H76" s="6"/>
      <c r="I76" s="6">
        <v>4</v>
      </c>
      <c r="J76" s="6">
        <f t="shared" si="1"/>
        <v>58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6">
        <v>45</v>
      </c>
      <c r="D77" s="6"/>
      <c r="E77" s="6"/>
      <c r="F77" s="6">
        <v>0</v>
      </c>
      <c r="G77" s="6"/>
      <c r="H77" s="6"/>
      <c r="I77" s="6">
        <v>2</v>
      </c>
      <c r="J77" s="6">
        <f t="shared" si="1"/>
        <v>43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6">
        <v>77</v>
      </c>
      <c r="D78" s="6"/>
      <c r="E78" s="6"/>
      <c r="F78" s="6">
        <v>20</v>
      </c>
      <c r="G78" s="6"/>
      <c r="H78" s="6"/>
      <c r="I78" s="6">
        <v>6</v>
      </c>
      <c r="J78" s="6">
        <f t="shared" si="1"/>
        <v>51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8"/>
  <sheetViews>
    <sheetView zoomScaleNormal="100" workbookViewId="0">
      <selection activeCell="H10" sqref="H10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100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44921</v>
      </c>
      <c r="F2" s="4">
        <v>44922</v>
      </c>
      <c r="G2" s="4">
        <v>44923</v>
      </c>
      <c r="H2" s="4">
        <v>44924</v>
      </c>
      <c r="I2" s="4">
        <v>44925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4</v>
      </c>
      <c r="C3" s="6">
        <f>'KASIM 3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  <c r="K3" s="13">
        <v>0</v>
      </c>
      <c r="L3" s="14"/>
    </row>
    <row r="4" spans="1:12" x14ac:dyDescent="0.25">
      <c r="A4" s="6">
        <v>2</v>
      </c>
      <c r="B4" s="7" t="s">
        <v>5</v>
      </c>
      <c r="C4" s="6">
        <v>0</v>
      </c>
      <c r="D4" s="6"/>
      <c r="E4" s="6"/>
      <c r="F4" s="6"/>
      <c r="G4" s="6"/>
      <c r="H4" s="6"/>
      <c r="I4" s="6"/>
      <c r="J4" s="6">
        <f t="shared" ref="J4:J67" si="0">+C4-E4-F4-G4-H4-I4+D4</f>
        <v>0</v>
      </c>
      <c r="K4" s="13">
        <v>0</v>
      </c>
      <c r="L4" s="14"/>
    </row>
    <row r="5" spans="1:12" x14ac:dyDescent="0.25">
      <c r="A5" s="6">
        <v>3</v>
      </c>
      <c r="B5" s="7" t="s">
        <v>69</v>
      </c>
      <c r="C5" s="6">
        <v>78</v>
      </c>
      <c r="D5" s="6"/>
      <c r="E5" s="6"/>
      <c r="F5" s="6"/>
      <c r="G5" s="6"/>
      <c r="H5" s="6"/>
      <c r="I5" s="6"/>
      <c r="J5" s="6">
        <f t="shared" si="0"/>
        <v>78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v>94</v>
      </c>
      <c r="D6" s="6"/>
      <c r="E6" s="6"/>
      <c r="F6" s="6"/>
      <c r="G6" s="6"/>
      <c r="H6" s="6"/>
      <c r="I6" s="6"/>
      <c r="J6" s="6">
        <f t="shared" si="0"/>
        <v>94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23</v>
      </c>
      <c r="D7" s="6"/>
      <c r="E7" s="6">
        <v>4</v>
      </c>
      <c r="F7" s="6"/>
      <c r="G7" s="6"/>
      <c r="H7" s="6"/>
      <c r="I7" s="6">
        <v>16</v>
      </c>
      <c r="J7" s="6">
        <f t="shared" si="0"/>
        <v>3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0</v>
      </c>
      <c r="D8" s="6"/>
      <c r="E8" s="6"/>
      <c r="F8" s="6"/>
      <c r="G8" s="6"/>
      <c r="H8" s="6"/>
      <c r="I8" s="6"/>
      <c r="J8" s="6">
        <f t="shared" si="0"/>
        <v>0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/>
      <c r="E9" s="6"/>
      <c r="F9" s="6"/>
      <c r="G9" s="6"/>
      <c r="H9" s="6"/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5</v>
      </c>
      <c r="D10" s="6"/>
      <c r="E10" s="6"/>
      <c r="F10" s="6"/>
      <c r="G10" s="6"/>
      <c r="H10" s="6"/>
      <c r="I10" s="6"/>
      <c r="J10" s="6">
        <f t="shared" si="0"/>
        <v>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80</v>
      </c>
      <c r="D11" s="6">
        <v>62</v>
      </c>
      <c r="E11" s="6"/>
      <c r="F11" s="6"/>
      <c r="G11" s="6"/>
      <c r="H11" s="6"/>
      <c r="I11" s="6"/>
      <c r="J11" s="6">
        <f t="shared" si="0"/>
        <v>142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442</v>
      </c>
      <c r="D12" s="6"/>
      <c r="E12" s="6"/>
      <c r="F12" s="6"/>
      <c r="G12" s="6"/>
      <c r="H12" s="6"/>
      <c r="I12" s="6"/>
      <c r="J12" s="6">
        <f t="shared" si="0"/>
        <v>442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f>'KASIM 3 HAFTA '!J13</f>
        <v>78</v>
      </c>
      <c r="D13" s="6"/>
      <c r="E13" s="6"/>
      <c r="F13" s="6"/>
      <c r="G13" s="6"/>
      <c r="H13" s="6"/>
      <c r="I13" s="6"/>
      <c r="J13" s="6">
        <f t="shared" si="0"/>
        <v>78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f>'KASIM 3 HAFTA '!J14</f>
        <v>42</v>
      </c>
      <c r="D14" s="6"/>
      <c r="E14" s="6"/>
      <c r="F14" s="6"/>
      <c r="G14" s="6"/>
      <c r="H14" s="6"/>
      <c r="I14" s="6"/>
      <c r="J14" s="6">
        <f t="shared" si="0"/>
        <v>42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24</v>
      </c>
      <c r="D15" s="6"/>
      <c r="E15" s="6"/>
      <c r="F15" s="6"/>
      <c r="G15" s="6"/>
      <c r="H15" s="6"/>
      <c r="I15" s="6"/>
      <c r="J15" s="6">
        <f t="shared" si="0"/>
        <v>24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f>'KASIM 3 HAFTA '!J16</f>
        <v>0</v>
      </c>
      <c r="D16" s="6"/>
      <c r="E16" s="6"/>
      <c r="F16" s="6"/>
      <c r="G16" s="6"/>
      <c r="H16" s="6"/>
      <c r="I16" s="6"/>
      <c r="J16" s="6">
        <f t="shared" si="0"/>
        <v>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252</v>
      </c>
      <c r="D17" s="6"/>
      <c r="E17" s="6">
        <v>9</v>
      </c>
      <c r="F17" s="6">
        <v>2</v>
      </c>
      <c r="G17" s="6">
        <v>22</v>
      </c>
      <c r="H17" s="6"/>
      <c r="I17" s="6"/>
      <c r="J17" s="6">
        <f t="shared" si="0"/>
        <v>219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156</v>
      </c>
      <c r="D18" s="6"/>
      <c r="E18" s="6">
        <v>10</v>
      </c>
      <c r="F18" s="6"/>
      <c r="G18" s="6">
        <v>2</v>
      </c>
      <c r="H18" s="6"/>
      <c r="I18" s="6"/>
      <c r="J18" s="6">
        <f t="shared" si="0"/>
        <v>144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18</v>
      </c>
      <c r="C19" s="6">
        <v>80</v>
      </c>
      <c r="D19" s="6"/>
      <c r="E19" s="6"/>
      <c r="F19" s="6">
        <v>2</v>
      </c>
      <c r="G19" s="6"/>
      <c r="H19" s="6"/>
      <c r="I19" s="6"/>
      <c r="J19" s="6">
        <f t="shared" si="0"/>
        <v>78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56</v>
      </c>
      <c r="D20" s="6"/>
      <c r="E20" s="6"/>
      <c r="F20" s="6"/>
      <c r="G20" s="6"/>
      <c r="H20" s="6"/>
      <c r="I20" s="6"/>
      <c r="J20" s="6">
        <f t="shared" si="0"/>
        <v>56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24</v>
      </c>
      <c r="D21" s="6"/>
      <c r="E21" s="6"/>
      <c r="F21" s="6"/>
      <c r="G21" s="6">
        <v>4</v>
      </c>
      <c r="H21" s="6"/>
      <c r="I21" s="6"/>
      <c r="J21" s="6">
        <f t="shared" si="0"/>
        <v>20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95</v>
      </c>
      <c r="C22" s="6">
        <v>445</v>
      </c>
      <c r="D22" s="6"/>
      <c r="E22" s="6"/>
      <c r="F22" s="6"/>
      <c r="G22" s="6"/>
      <c r="H22" s="6"/>
      <c r="I22" s="6"/>
      <c r="J22" s="6">
        <f t="shared" si="0"/>
        <v>445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v>124</v>
      </c>
      <c r="D23" s="6"/>
      <c r="E23" s="6"/>
      <c r="F23" s="6"/>
      <c r="G23" s="6"/>
      <c r="H23" s="6"/>
      <c r="I23" s="6"/>
      <c r="J23" s="6">
        <f t="shared" si="0"/>
        <v>124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f>'KASIM 3 HAFTA '!J24</f>
        <v>38</v>
      </c>
      <c r="D24" s="6"/>
      <c r="E24" s="6"/>
      <c r="F24" s="6"/>
      <c r="G24" s="6"/>
      <c r="H24" s="6"/>
      <c r="I24" s="6"/>
      <c r="J24" s="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f>'KASIM 3 HAFTA '!J25</f>
        <v>7</v>
      </c>
      <c r="D25" s="6"/>
      <c r="E25" s="6"/>
      <c r="F25" s="6"/>
      <c r="G25" s="6"/>
      <c r="H25" s="6"/>
      <c r="I25" s="6"/>
      <c r="J25" s="6">
        <f t="shared" si="0"/>
        <v>7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f>'KASIM 3 HAFTA '!J26</f>
        <v>223</v>
      </c>
      <c r="D26" s="6"/>
      <c r="E26" s="6"/>
      <c r="F26" s="6"/>
      <c r="G26" s="6"/>
      <c r="H26" s="6"/>
      <c r="I26" s="6"/>
      <c r="J26" s="6">
        <f t="shared" si="0"/>
        <v>223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f>'KASIM 3 HAFTA '!J29</f>
        <v>13</v>
      </c>
      <c r="D29" s="6"/>
      <c r="E29" s="6"/>
      <c r="F29" s="6"/>
      <c r="G29" s="6"/>
      <c r="H29" s="6"/>
      <c r="I29" s="6"/>
      <c r="J29" s="6">
        <f t="shared" si="0"/>
        <v>13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f>'KASIM 3 HAFTA '!J30</f>
        <v>60</v>
      </c>
      <c r="D30" s="6"/>
      <c r="E30" s="6"/>
      <c r="F30" s="6"/>
      <c r="G30" s="6"/>
      <c r="H30" s="6"/>
      <c r="I30" s="6"/>
      <c r="J30" s="6">
        <f t="shared" si="0"/>
        <v>60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f>'KASIM 3 HAFTA '!J31</f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542</v>
      </c>
      <c r="D32" s="6"/>
      <c r="E32" s="6"/>
      <c r="F32" s="6"/>
      <c r="G32" s="6"/>
      <c r="H32" s="6"/>
      <c r="I32" s="6">
        <v>10</v>
      </c>
      <c r="J32" s="6">
        <f t="shared" si="0"/>
        <v>532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533</v>
      </c>
      <c r="D36" s="6"/>
      <c r="E36" s="6"/>
      <c r="F36" s="6"/>
      <c r="G36" s="6"/>
      <c r="H36" s="6"/>
      <c r="I36" s="6"/>
      <c r="J36" s="6">
        <f t="shared" si="0"/>
        <v>533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119</v>
      </c>
      <c r="D37" s="6"/>
      <c r="E37" s="6"/>
      <c r="F37" s="6"/>
      <c r="G37" s="6"/>
      <c r="H37" s="6"/>
      <c r="I37" s="6"/>
      <c r="J37" s="6">
        <f t="shared" si="0"/>
        <v>119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0</v>
      </c>
      <c r="D39" s="6">
        <v>15</v>
      </c>
      <c r="E39" s="6"/>
      <c r="F39" s="6"/>
      <c r="G39" s="6"/>
      <c r="H39" s="6"/>
      <c r="I39" s="6"/>
      <c r="J39" s="6">
        <f t="shared" si="0"/>
        <v>15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5</v>
      </c>
      <c r="D40" s="6"/>
      <c r="E40" s="6"/>
      <c r="F40" s="6"/>
      <c r="G40" s="6"/>
      <c r="H40" s="6"/>
      <c r="I40" s="6"/>
      <c r="J40" s="6">
        <f t="shared" si="0"/>
        <v>5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40</v>
      </c>
      <c r="D41" s="6"/>
      <c r="E41" s="6"/>
      <c r="F41" s="6"/>
      <c r="G41" s="6"/>
      <c r="H41" s="6"/>
      <c r="I41" s="6"/>
      <c r="J41" s="6">
        <f t="shared" si="0"/>
        <v>40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35</v>
      </c>
      <c r="D42" s="6"/>
      <c r="E42" s="6"/>
      <c r="F42" s="6">
        <v>2</v>
      </c>
      <c r="G42" s="6"/>
      <c r="H42" s="6"/>
      <c r="I42" s="6"/>
      <c r="J42" s="6">
        <f t="shared" si="0"/>
        <v>33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0</v>
      </c>
      <c r="D43" s="6">
        <v>238</v>
      </c>
      <c r="E43" s="6"/>
      <c r="F43" s="6"/>
      <c r="G43" s="6"/>
      <c r="H43" s="6"/>
      <c r="I43" s="6">
        <v>68</v>
      </c>
      <c r="J43" s="6">
        <f t="shared" si="0"/>
        <v>170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60</v>
      </c>
      <c r="C44" s="6">
        <v>145</v>
      </c>
      <c r="D44" s="6"/>
      <c r="E44" s="6"/>
      <c r="F44" s="6"/>
      <c r="G44" s="6"/>
      <c r="H44" s="6"/>
      <c r="I44" s="6"/>
      <c r="J44" s="6">
        <f t="shared" si="0"/>
        <v>145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f>'KASIM 3 HAFTA '!J45</f>
        <v>42</v>
      </c>
      <c r="D45" s="6"/>
      <c r="E45" s="6"/>
      <c r="F45" s="6"/>
      <c r="G45" s="6"/>
      <c r="H45" s="6"/>
      <c r="I45" s="6"/>
      <c r="J45" s="6">
        <f t="shared" si="0"/>
        <v>42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60</v>
      </c>
      <c r="D46" s="6"/>
      <c r="E46" s="6"/>
      <c r="F46" s="6"/>
      <c r="G46" s="6"/>
      <c r="H46" s="6">
        <v>4</v>
      </c>
      <c r="I46" s="6"/>
      <c r="J46" s="6">
        <f t="shared" si="0"/>
        <v>56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21</v>
      </c>
      <c r="D47" s="6"/>
      <c r="E47" s="6"/>
      <c r="F47" s="6"/>
      <c r="G47" s="6"/>
      <c r="H47" s="6">
        <v>4</v>
      </c>
      <c r="I47" s="6">
        <v>4</v>
      </c>
      <c r="J47" s="6">
        <f t="shared" si="0"/>
        <v>13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f>'KASIM 3 HAFTA '!J49</f>
        <v>38</v>
      </c>
      <c r="D49" s="6"/>
      <c r="E49" s="6"/>
      <c r="F49" s="6"/>
      <c r="G49" s="6"/>
      <c r="H49" s="6"/>
      <c r="I49" s="6"/>
      <c r="J49" s="6">
        <f t="shared" si="0"/>
        <v>38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v>100</v>
      </c>
      <c r="D50" s="6"/>
      <c r="E50" s="6"/>
      <c r="F50" s="6">
        <v>1</v>
      </c>
      <c r="G50" s="6"/>
      <c r="H50" s="6"/>
      <c r="I50" s="6"/>
      <c r="J50" s="6">
        <f t="shared" si="0"/>
        <v>99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225</v>
      </c>
      <c r="D51" s="6"/>
      <c r="E51" s="6"/>
      <c r="F51" s="6"/>
      <c r="G51" s="6"/>
      <c r="H51" s="6"/>
      <c r="I51" s="6"/>
      <c r="J51" s="6">
        <f t="shared" si="0"/>
        <v>225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63</v>
      </c>
      <c r="D52" s="6"/>
      <c r="E52" s="6"/>
      <c r="F52" s="6"/>
      <c r="G52" s="6"/>
      <c r="H52" s="6"/>
      <c r="I52" s="6"/>
      <c r="J52" s="6">
        <f t="shared" si="0"/>
        <v>63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24</v>
      </c>
      <c r="D53" s="6"/>
      <c r="E53" s="6"/>
      <c r="F53" s="6"/>
      <c r="G53" s="6"/>
      <c r="H53" s="6"/>
      <c r="I53" s="6"/>
      <c r="J53" s="6">
        <f t="shared" si="0"/>
        <v>24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3 HAFTA '!J54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3 HAFTA '!J56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14</v>
      </c>
      <c r="D58" s="6"/>
      <c r="E58" s="6"/>
      <c r="F58" s="6"/>
      <c r="G58" s="6"/>
      <c r="H58" s="6"/>
      <c r="I58" s="6"/>
      <c r="J58" s="6">
        <f t="shared" si="0"/>
        <v>14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3 HAFTA '!J59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f>'KASIM 3 HAFTA '!J60</f>
        <v>2</v>
      </c>
      <c r="D60" s="6"/>
      <c r="E60" s="6"/>
      <c r="F60" s="6">
        <v>1</v>
      </c>
      <c r="G60" s="6"/>
      <c r="H60" s="6"/>
      <c r="I60" s="6"/>
      <c r="J60" s="6">
        <f t="shared" si="0"/>
        <v>1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f>'KASIM 3 HAFTA '!J61</f>
        <v>3</v>
      </c>
      <c r="D61" s="6"/>
      <c r="E61" s="6"/>
      <c r="F61" s="6"/>
      <c r="G61" s="6"/>
      <c r="H61" s="6"/>
      <c r="I61" s="6"/>
      <c r="J61" s="6">
        <f t="shared" si="0"/>
        <v>3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3 HAFTA '!J62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3 HAFTA '!J63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106</v>
      </c>
      <c r="D64" s="6"/>
      <c r="E64" s="6">
        <v>20</v>
      </c>
      <c r="F64" s="6"/>
      <c r="G64" s="6"/>
      <c r="H64" s="6"/>
      <c r="I64" s="6">
        <v>8</v>
      </c>
      <c r="J64" s="6">
        <f t="shared" si="0"/>
        <v>78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v>136</v>
      </c>
      <c r="D65" s="6"/>
      <c r="E65" s="6"/>
      <c r="F65" s="6"/>
      <c r="G65" s="6"/>
      <c r="H65" s="6"/>
      <c r="I65" s="6"/>
      <c r="J65" s="6">
        <f t="shared" si="0"/>
        <v>136</v>
      </c>
      <c r="K65" s="13"/>
      <c r="L65" s="14"/>
    </row>
    <row r="66" spans="1:12" x14ac:dyDescent="0.25">
      <c r="A66" s="6">
        <v>64</v>
      </c>
      <c r="B66" s="8" t="s">
        <v>74</v>
      </c>
      <c r="C66" s="6">
        <v>53</v>
      </c>
      <c r="D66" s="6"/>
      <c r="E66" s="6"/>
      <c r="F66" s="6"/>
      <c r="G66" s="6"/>
      <c r="H66" s="6"/>
      <c r="I66" s="6"/>
      <c r="J66" s="6">
        <f t="shared" si="0"/>
        <v>53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86</v>
      </c>
      <c r="D67" s="6"/>
      <c r="E67" s="6"/>
      <c r="F67" s="6"/>
      <c r="G67" s="6"/>
      <c r="H67" s="6"/>
      <c r="I67" s="6"/>
      <c r="J67" s="6">
        <f t="shared" si="0"/>
        <v>86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69</v>
      </c>
      <c r="D68" s="6"/>
      <c r="E68" s="6">
        <v>3</v>
      </c>
      <c r="F68" s="6"/>
      <c r="G68" s="6"/>
      <c r="H68" s="6"/>
      <c r="I68" s="6"/>
      <c r="J68" s="6">
        <f t="shared" ref="J68:J78" si="1">+C68-E68-F68-G68-H68-I68+D68</f>
        <v>66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86</v>
      </c>
      <c r="D69" s="6"/>
      <c r="E69" s="6"/>
      <c r="F69" s="6"/>
      <c r="G69" s="6"/>
      <c r="H69" s="6"/>
      <c r="I69" s="6"/>
      <c r="J69" s="6">
        <f t="shared" si="1"/>
        <v>86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14</v>
      </c>
      <c r="D70" s="6"/>
      <c r="E70" s="6">
        <v>1</v>
      </c>
      <c r="F70" s="6"/>
      <c r="G70" s="6"/>
      <c r="H70" s="6"/>
      <c r="I70" s="6"/>
      <c r="J70" s="6">
        <f t="shared" si="1"/>
        <v>13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85</v>
      </c>
      <c r="D71" s="6"/>
      <c r="E71" s="6"/>
      <c r="F71" s="6"/>
      <c r="G71" s="6"/>
      <c r="H71" s="6"/>
      <c r="I71" s="6"/>
      <c r="J71" s="6">
        <f t="shared" si="1"/>
        <v>85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9</v>
      </c>
      <c r="D72" s="6"/>
      <c r="E72" s="6"/>
      <c r="F72" s="6"/>
      <c r="G72" s="6"/>
      <c r="H72" s="6"/>
      <c r="I72" s="6"/>
      <c r="J72" s="6">
        <f t="shared" si="1"/>
        <v>9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36</v>
      </c>
      <c r="D73" s="6"/>
      <c r="E73" s="6"/>
      <c r="F73" s="6"/>
      <c r="G73" s="6"/>
      <c r="H73" s="6"/>
      <c r="I73" s="6"/>
      <c r="J73" s="6">
        <f t="shared" si="1"/>
        <v>36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315</v>
      </c>
      <c r="D74" s="6"/>
      <c r="E74" s="6"/>
      <c r="F74" s="6"/>
      <c r="G74" s="6"/>
      <c r="H74" s="6"/>
      <c r="I74" s="6"/>
      <c r="J74" s="6">
        <f t="shared" si="1"/>
        <v>315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96</v>
      </c>
      <c r="C75" s="6">
        <v>328</v>
      </c>
      <c r="D75" s="6"/>
      <c r="E75" s="6"/>
      <c r="F75" s="6"/>
      <c r="G75" s="6"/>
      <c r="H75" s="6"/>
      <c r="I75" s="6"/>
      <c r="J75" s="6">
        <f t="shared" si="1"/>
        <v>328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58</v>
      </c>
      <c r="D76" s="6"/>
      <c r="E76" s="6"/>
      <c r="F76" s="6"/>
      <c r="G76" s="6"/>
      <c r="H76" s="6"/>
      <c r="I76" s="6"/>
      <c r="J76" s="6">
        <f t="shared" si="1"/>
        <v>58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6">
        <v>43</v>
      </c>
      <c r="D77" s="6"/>
      <c r="E77" s="6"/>
      <c r="F77" s="6"/>
      <c r="G77" s="6"/>
      <c r="H77" s="6"/>
      <c r="I77" s="6"/>
      <c r="J77" s="6">
        <f t="shared" si="1"/>
        <v>43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6">
        <v>51</v>
      </c>
      <c r="D78" s="6"/>
      <c r="E78" s="6"/>
      <c r="F78" s="6"/>
      <c r="G78" s="6"/>
      <c r="H78" s="6"/>
      <c r="I78" s="6"/>
      <c r="J78" s="6">
        <f t="shared" si="1"/>
        <v>51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8"/>
  <sheetViews>
    <sheetView zoomScaleNormal="100" workbookViewId="0">
      <selection activeCell="I63" sqref="I63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101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44928</v>
      </c>
      <c r="F2" s="4">
        <v>44929</v>
      </c>
      <c r="G2" s="4">
        <v>44930</v>
      </c>
      <c r="H2" s="4">
        <v>44931</v>
      </c>
      <c r="I2" s="4">
        <v>44932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4</v>
      </c>
      <c r="C3" s="6">
        <f>'KASIM 3 HAFTA '!J3</f>
        <v>37</v>
      </c>
      <c r="D3" s="6"/>
      <c r="E3" s="6"/>
      <c r="F3" s="6"/>
      <c r="G3" s="6"/>
      <c r="H3" s="6"/>
      <c r="I3" s="6"/>
      <c r="J3" s="6">
        <f>+C3-E3-F3-G3-H3-I3+D3</f>
        <v>37</v>
      </c>
      <c r="K3" s="13">
        <v>0</v>
      </c>
      <c r="L3" s="14"/>
    </row>
    <row r="4" spans="1:12" x14ac:dyDescent="0.25">
      <c r="A4" s="6">
        <v>2</v>
      </c>
      <c r="B4" s="7" t="s">
        <v>102</v>
      </c>
      <c r="C4" s="6">
        <v>0</v>
      </c>
      <c r="D4" s="6">
        <v>16</v>
      </c>
      <c r="E4" s="6"/>
      <c r="F4" s="6"/>
      <c r="G4" s="6"/>
      <c r="H4" s="6"/>
      <c r="I4" s="6"/>
      <c r="J4" s="6">
        <f t="shared" ref="J4:J67" si="0">+C4-E4-F4-G4-H4-I4+D4</f>
        <v>16</v>
      </c>
      <c r="K4" s="13">
        <v>0</v>
      </c>
      <c r="L4" s="14"/>
    </row>
    <row r="5" spans="1:12" x14ac:dyDescent="0.25">
      <c r="A5" s="6">
        <v>3</v>
      </c>
      <c r="B5" s="7" t="s">
        <v>69</v>
      </c>
      <c r="C5" s="6">
        <v>0</v>
      </c>
      <c r="D5" s="6"/>
      <c r="E5" s="6"/>
      <c r="F5" s="6"/>
      <c r="G5" s="6"/>
      <c r="H5" s="6"/>
      <c r="I5" s="6"/>
      <c r="J5" s="6">
        <f t="shared" si="0"/>
        <v>0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v>144</v>
      </c>
      <c r="D6" s="6"/>
      <c r="E6" s="6"/>
      <c r="F6" s="6"/>
      <c r="G6" s="6"/>
      <c r="H6" s="6">
        <v>4</v>
      </c>
      <c r="I6" s="6"/>
      <c r="J6" s="6">
        <f t="shared" si="0"/>
        <v>140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108</v>
      </c>
      <c r="D7" s="6"/>
      <c r="E7" s="6"/>
      <c r="F7" s="6"/>
      <c r="G7" s="6"/>
      <c r="H7" s="6"/>
      <c r="I7" s="6"/>
      <c r="J7" s="6">
        <f t="shared" si="0"/>
        <v>108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0</v>
      </c>
      <c r="D8" s="6"/>
      <c r="E8" s="6"/>
      <c r="F8" s="6"/>
      <c r="G8" s="6"/>
      <c r="H8" s="6"/>
      <c r="I8" s="6"/>
      <c r="J8" s="6">
        <f t="shared" si="0"/>
        <v>0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/>
      <c r="E9" s="6"/>
      <c r="F9" s="6"/>
      <c r="G9" s="6"/>
      <c r="H9" s="6"/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5</v>
      </c>
      <c r="D10" s="6"/>
      <c r="E10" s="6"/>
      <c r="F10" s="6"/>
      <c r="G10" s="6"/>
      <c r="H10" s="6"/>
      <c r="I10" s="6"/>
      <c r="J10" s="6">
        <f t="shared" si="0"/>
        <v>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204</v>
      </c>
      <c r="D11" s="6"/>
      <c r="E11" s="6"/>
      <c r="F11" s="6">
        <v>70</v>
      </c>
      <c r="G11" s="6"/>
      <c r="H11" s="6"/>
      <c r="I11" s="6"/>
      <c r="J11" s="6">
        <f t="shared" si="0"/>
        <v>134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686</v>
      </c>
      <c r="D12" s="6"/>
      <c r="E12" s="6"/>
      <c r="F12" s="6"/>
      <c r="G12" s="6"/>
      <c r="H12" s="6"/>
      <c r="I12" s="6"/>
      <c r="J12" s="6">
        <f t="shared" si="0"/>
        <v>686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0</v>
      </c>
      <c r="D13" s="6"/>
      <c r="E13" s="6"/>
      <c r="F13" s="6"/>
      <c r="G13" s="6"/>
      <c r="H13" s="6"/>
      <c r="I13" s="6"/>
      <c r="J13" s="6">
        <f t="shared" si="0"/>
        <v>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0</v>
      </c>
      <c r="D14" s="6"/>
      <c r="E14" s="6"/>
      <c r="F14" s="6"/>
      <c r="G14" s="6"/>
      <c r="H14" s="6"/>
      <c r="I14" s="6"/>
      <c r="J14" s="6">
        <f t="shared" si="0"/>
        <v>0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29</v>
      </c>
      <c r="D15" s="6"/>
      <c r="E15" s="6"/>
      <c r="F15" s="6">
        <v>4</v>
      </c>
      <c r="G15" s="6"/>
      <c r="H15" s="6"/>
      <c r="I15" s="6"/>
      <c r="J15" s="6">
        <f t="shared" si="0"/>
        <v>25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63</v>
      </c>
      <c r="D16" s="6"/>
      <c r="E16" s="6"/>
      <c r="F16" s="6"/>
      <c r="G16" s="6"/>
      <c r="H16" s="6"/>
      <c r="I16" s="6"/>
      <c r="J16" s="6">
        <f t="shared" si="0"/>
        <v>63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269</v>
      </c>
      <c r="D17" s="6"/>
      <c r="E17" s="6">
        <v>6</v>
      </c>
      <c r="F17" s="6">
        <v>6</v>
      </c>
      <c r="G17" s="6"/>
      <c r="H17" s="6">
        <v>2</v>
      </c>
      <c r="I17" s="6"/>
      <c r="J17" s="6">
        <f t="shared" si="0"/>
        <v>255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130</v>
      </c>
      <c r="D18" s="6"/>
      <c r="E18" s="6">
        <v>6</v>
      </c>
      <c r="F18" s="6">
        <v>4</v>
      </c>
      <c r="G18" s="6"/>
      <c r="H18" s="6">
        <v>2</v>
      </c>
      <c r="I18" s="6"/>
      <c r="J18" s="6">
        <f t="shared" si="0"/>
        <v>118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73</v>
      </c>
      <c r="D19" s="6"/>
      <c r="E19" s="6"/>
      <c r="F19" s="6"/>
      <c r="G19" s="6">
        <v>2</v>
      </c>
      <c r="H19" s="6"/>
      <c r="I19" s="6"/>
      <c r="J19" s="6">
        <f t="shared" si="0"/>
        <v>71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7</v>
      </c>
      <c r="D20" s="6"/>
      <c r="E20" s="6"/>
      <c r="F20" s="6">
        <v>7</v>
      </c>
      <c r="G20" s="6"/>
      <c r="H20" s="6"/>
      <c r="I20" s="6"/>
      <c r="J20" s="6">
        <f t="shared" si="0"/>
        <v>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78</v>
      </c>
      <c r="D21" s="6"/>
      <c r="E21" s="6"/>
      <c r="F21" s="6">
        <v>2</v>
      </c>
      <c r="G21" s="6">
        <v>8</v>
      </c>
      <c r="H21" s="6"/>
      <c r="I21" s="6"/>
      <c r="J21" s="6">
        <f t="shared" si="0"/>
        <v>68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95</v>
      </c>
      <c r="C22" s="6">
        <v>187</v>
      </c>
      <c r="D22" s="6"/>
      <c r="E22" s="6"/>
      <c r="F22" s="6"/>
      <c r="G22" s="6"/>
      <c r="H22" s="6"/>
      <c r="I22" s="6"/>
      <c r="J22" s="6">
        <f t="shared" si="0"/>
        <v>187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v>124</v>
      </c>
      <c r="D23" s="6"/>
      <c r="E23" s="6"/>
      <c r="F23" s="6"/>
      <c r="G23" s="6"/>
      <c r="H23" s="6"/>
      <c r="I23" s="6"/>
      <c r="J23" s="6">
        <f t="shared" si="0"/>
        <v>124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f>'KASIM 3 HAFTA '!J24</f>
        <v>38</v>
      </c>
      <c r="D24" s="6"/>
      <c r="E24" s="6"/>
      <c r="F24" s="6">
        <v>2</v>
      </c>
      <c r="G24" s="6"/>
      <c r="H24" s="6"/>
      <c r="I24" s="6"/>
      <c r="J24" s="6">
        <f t="shared" si="0"/>
        <v>36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f>'KASIM 3 HAFTA '!J25</f>
        <v>7</v>
      </c>
      <c r="D25" s="6"/>
      <c r="E25" s="6"/>
      <c r="F25" s="6">
        <v>2</v>
      </c>
      <c r="G25" s="6"/>
      <c r="H25" s="6"/>
      <c r="I25" s="6"/>
      <c r="J25" s="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218</v>
      </c>
      <c r="D26" s="6"/>
      <c r="E26" s="6"/>
      <c r="F26" s="6"/>
      <c r="G26" s="6"/>
      <c r="H26" s="6"/>
      <c r="I26" s="6"/>
      <c r="J26" s="6">
        <f t="shared" si="0"/>
        <v>218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58</v>
      </c>
      <c r="D29" s="6"/>
      <c r="E29" s="6"/>
      <c r="F29" s="6"/>
      <c r="G29" s="6"/>
      <c r="H29" s="6"/>
      <c r="I29" s="6"/>
      <c r="J29" s="6">
        <f t="shared" si="0"/>
        <v>58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36</v>
      </c>
      <c r="D30" s="6"/>
      <c r="E30" s="6"/>
      <c r="F30" s="6"/>
      <c r="G30" s="6"/>
      <c r="H30" s="6"/>
      <c r="I30" s="6"/>
      <c r="J30" s="6">
        <f t="shared" si="0"/>
        <v>36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38</v>
      </c>
      <c r="D31" s="6">
        <v>0</v>
      </c>
      <c r="E31" s="6">
        <v>30</v>
      </c>
      <c r="F31" s="6"/>
      <c r="G31" s="6"/>
      <c r="H31" s="6"/>
      <c r="I31" s="6"/>
      <c r="J31" s="6">
        <f t="shared" si="0"/>
        <v>8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318</v>
      </c>
      <c r="D32" s="6"/>
      <c r="E32" s="6"/>
      <c r="F32" s="6"/>
      <c r="G32" s="6">
        <v>2</v>
      </c>
      <c r="H32" s="6"/>
      <c r="I32" s="6"/>
      <c r="J32" s="6">
        <f t="shared" si="0"/>
        <v>316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533</v>
      </c>
      <c r="D36" s="6"/>
      <c r="E36" s="6"/>
      <c r="F36" s="6"/>
      <c r="G36" s="6"/>
      <c r="H36" s="6"/>
      <c r="I36" s="6"/>
      <c r="J36" s="6">
        <f t="shared" si="0"/>
        <v>533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119</v>
      </c>
      <c r="D37" s="6"/>
      <c r="E37" s="6"/>
      <c r="F37" s="6"/>
      <c r="G37" s="6">
        <v>4</v>
      </c>
      <c r="H37" s="6"/>
      <c r="I37" s="6"/>
      <c r="J37" s="6">
        <f t="shared" si="0"/>
        <v>115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15</v>
      </c>
      <c r="D39" s="6"/>
      <c r="E39" s="6"/>
      <c r="F39" s="6"/>
      <c r="G39" s="6"/>
      <c r="H39" s="6">
        <v>2</v>
      </c>
      <c r="I39" s="6"/>
      <c r="J39" s="6">
        <f t="shared" si="0"/>
        <v>13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5</v>
      </c>
      <c r="D40" s="6"/>
      <c r="E40" s="6"/>
      <c r="F40" s="6"/>
      <c r="G40" s="6"/>
      <c r="H40" s="6">
        <v>2</v>
      </c>
      <c r="I40" s="6"/>
      <c r="J40" s="6">
        <f t="shared" si="0"/>
        <v>3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45</v>
      </c>
      <c r="D41" s="6"/>
      <c r="E41" s="6"/>
      <c r="F41" s="6"/>
      <c r="G41" s="6"/>
      <c r="H41" s="6">
        <v>0</v>
      </c>
      <c r="I41" s="6"/>
      <c r="J41" s="6">
        <f t="shared" si="0"/>
        <v>45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45</v>
      </c>
      <c r="D42" s="6"/>
      <c r="E42" s="6"/>
      <c r="F42" s="6"/>
      <c r="G42" s="6"/>
      <c r="H42" s="6">
        <v>8</v>
      </c>
      <c r="I42" s="6"/>
      <c r="J42" s="6">
        <f t="shared" si="0"/>
        <v>37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170</v>
      </c>
      <c r="D43" s="6"/>
      <c r="E43" s="6"/>
      <c r="F43" s="6"/>
      <c r="G43" s="6"/>
      <c r="H43" s="6"/>
      <c r="I43" s="6"/>
      <c r="J43" s="6">
        <f t="shared" si="0"/>
        <v>170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60</v>
      </c>
      <c r="C44" s="6">
        <v>145</v>
      </c>
      <c r="D44" s="6"/>
      <c r="E44" s="6"/>
      <c r="F44" s="6"/>
      <c r="G44" s="6"/>
      <c r="H44" s="6"/>
      <c r="I44" s="6"/>
      <c r="J44" s="6">
        <f t="shared" si="0"/>
        <v>145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v>20</v>
      </c>
      <c r="D45" s="6"/>
      <c r="E45" s="6">
        <v>4</v>
      </c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53</v>
      </c>
      <c r="D46" s="6"/>
      <c r="E46" s="6"/>
      <c r="F46" s="6"/>
      <c r="G46" s="6"/>
      <c r="H46" s="6"/>
      <c r="I46" s="6"/>
      <c r="J46" s="6">
        <f t="shared" si="0"/>
        <v>53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16</v>
      </c>
      <c r="D47" s="6"/>
      <c r="E47" s="6"/>
      <c r="F47" s="6"/>
      <c r="G47" s="6"/>
      <c r="H47" s="6"/>
      <c r="I47" s="6"/>
      <c r="J47" s="6">
        <f t="shared" si="0"/>
        <v>16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v>53</v>
      </c>
      <c r="D49" s="6"/>
      <c r="E49" s="6"/>
      <c r="F49" s="6"/>
      <c r="G49" s="6"/>
      <c r="H49" s="6"/>
      <c r="I49" s="6"/>
      <c r="J49" s="6">
        <f t="shared" si="0"/>
        <v>53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v>99</v>
      </c>
      <c r="D50" s="6"/>
      <c r="E50" s="6">
        <v>4</v>
      </c>
      <c r="F50" s="6"/>
      <c r="G50" s="6"/>
      <c r="H50" s="6"/>
      <c r="I50" s="6"/>
      <c r="J50" s="6">
        <f t="shared" si="0"/>
        <v>95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34</v>
      </c>
      <c r="D51" s="6"/>
      <c r="E51" s="6"/>
      <c r="F51" s="6"/>
      <c r="G51" s="6"/>
      <c r="H51" s="6"/>
      <c r="I51" s="6"/>
      <c r="J51" s="6">
        <f t="shared" si="0"/>
        <v>34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17</v>
      </c>
      <c r="D52" s="6"/>
      <c r="E52" s="6">
        <v>2</v>
      </c>
      <c r="F52" s="6"/>
      <c r="G52" s="6"/>
      <c r="H52" s="6"/>
      <c r="I52" s="6"/>
      <c r="J52" s="6">
        <f t="shared" si="0"/>
        <v>15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37</v>
      </c>
      <c r="D53" s="6">
        <v>48</v>
      </c>
      <c r="E53" s="6">
        <v>8</v>
      </c>
      <c r="F53" s="6"/>
      <c r="G53" s="6"/>
      <c r="H53" s="6"/>
      <c r="I53" s="6"/>
      <c r="J53" s="6">
        <f t="shared" si="0"/>
        <v>77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3 HAFTA '!J54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3 HAFTA '!J56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33</v>
      </c>
      <c r="D58" s="6"/>
      <c r="E58" s="6"/>
      <c r="F58" s="6"/>
      <c r="G58" s="6"/>
      <c r="H58" s="6"/>
      <c r="I58" s="6"/>
      <c r="J58" s="6">
        <f t="shared" si="0"/>
        <v>33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3 HAFTA '!J59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40</v>
      </c>
      <c r="D60" s="6"/>
      <c r="E60" s="6"/>
      <c r="F60" s="6"/>
      <c r="G60" s="6"/>
      <c r="H60" s="6"/>
      <c r="I60" s="6">
        <v>4</v>
      </c>
      <c r="J60" s="6">
        <f t="shared" si="0"/>
        <v>36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1</v>
      </c>
      <c r="D61" s="6"/>
      <c r="E61" s="6"/>
      <c r="F61" s="6"/>
      <c r="G61" s="6"/>
      <c r="H61" s="6"/>
      <c r="I61" s="6"/>
      <c r="J61" s="6">
        <f t="shared" si="0"/>
        <v>1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3 HAFTA '!J62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3 HAFTA '!J63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40</v>
      </c>
      <c r="D64" s="6"/>
      <c r="E64" s="6"/>
      <c r="F64" s="6"/>
      <c r="G64" s="6"/>
      <c r="H64" s="6"/>
      <c r="I64" s="6">
        <v>13</v>
      </c>
      <c r="J64" s="6">
        <f t="shared" si="0"/>
        <v>27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v>136</v>
      </c>
      <c r="D65" s="6"/>
      <c r="E65" s="6"/>
      <c r="F65" s="6"/>
      <c r="G65" s="6"/>
      <c r="H65" s="6"/>
      <c r="I65" s="6"/>
      <c r="J65" s="6">
        <f t="shared" si="0"/>
        <v>136</v>
      </c>
      <c r="K65" s="13"/>
      <c r="L65" s="14"/>
    </row>
    <row r="66" spans="1:12" x14ac:dyDescent="0.25">
      <c r="A66" s="6">
        <v>64</v>
      </c>
      <c r="B66" s="8" t="s">
        <v>74</v>
      </c>
      <c r="C66" s="6">
        <v>53</v>
      </c>
      <c r="D66" s="6"/>
      <c r="E66" s="6"/>
      <c r="F66" s="6"/>
      <c r="G66" s="6">
        <v>2</v>
      </c>
      <c r="H66" s="6"/>
      <c r="I66" s="6"/>
      <c r="J66" s="6">
        <f t="shared" si="0"/>
        <v>51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86</v>
      </c>
      <c r="D67" s="6"/>
      <c r="E67" s="6"/>
      <c r="F67" s="6"/>
      <c r="G67" s="6">
        <v>4</v>
      </c>
      <c r="H67" s="6"/>
      <c r="I67" s="6"/>
      <c r="J67" s="6">
        <f t="shared" si="0"/>
        <v>82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47</v>
      </c>
      <c r="D68" s="6"/>
      <c r="E68" s="6"/>
      <c r="F68" s="6"/>
      <c r="G68" s="6"/>
      <c r="H68" s="6">
        <v>2</v>
      </c>
      <c r="I68" s="6"/>
      <c r="J68" s="6">
        <f t="shared" ref="J68:J78" si="1">+C68-E68-F68-G68-H68-I68+D68</f>
        <v>45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22</v>
      </c>
      <c r="D69" s="6"/>
      <c r="E69" s="6"/>
      <c r="F69" s="6"/>
      <c r="G69" s="6"/>
      <c r="H69" s="6"/>
      <c r="I69" s="6"/>
      <c r="J69" s="6">
        <f t="shared" si="1"/>
        <v>22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7</v>
      </c>
      <c r="D70" s="6"/>
      <c r="E70" s="6"/>
      <c r="F70" s="6"/>
      <c r="G70" s="6"/>
      <c r="H70" s="6">
        <v>2</v>
      </c>
      <c r="I70" s="6"/>
      <c r="J70" s="6">
        <f t="shared" si="1"/>
        <v>5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19</v>
      </c>
      <c r="D71" s="6"/>
      <c r="E71" s="6"/>
      <c r="F71" s="6">
        <v>2</v>
      </c>
      <c r="G71" s="6"/>
      <c r="H71" s="6"/>
      <c r="I71" s="6"/>
      <c r="J71" s="6">
        <f t="shared" si="1"/>
        <v>17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7</v>
      </c>
      <c r="D72" s="6"/>
      <c r="E72" s="6"/>
      <c r="F72" s="6"/>
      <c r="G72" s="6"/>
      <c r="H72" s="6">
        <v>2</v>
      </c>
      <c r="I72" s="6"/>
      <c r="J72" s="6">
        <f t="shared" si="1"/>
        <v>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48</v>
      </c>
      <c r="D73" s="6"/>
      <c r="E73" s="6"/>
      <c r="F73" s="6"/>
      <c r="G73" s="6"/>
      <c r="H73" s="6">
        <v>2</v>
      </c>
      <c r="I73" s="6"/>
      <c r="J73" s="6">
        <f t="shared" si="1"/>
        <v>46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457</v>
      </c>
      <c r="D74" s="6"/>
      <c r="E74" s="6"/>
      <c r="F74" s="6"/>
      <c r="G74" s="6">
        <v>2</v>
      </c>
      <c r="H74" s="6"/>
      <c r="I74" s="6">
        <v>2</v>
      </c>
      <c r="J74" s="6">
        <f t="shared" si="1"/>
        <v>453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312</v>
      </c>
      <c r="D75" s="6"/>
      <c r="E75" s="6"/>
      <c r="F75" s="6"/>
      <c r="G75" s="6">
        <v>2</v>
      </c>
      <c r="H75" s="6"/>
      <c r="I75" s="6">
        <v>9</v>
      </c>
      <c r="J75" s="6">
        <f t="shared" si="1"/>
        <v>301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123</v>
      </c>
      <c r="D76" s="6"/>
      <c r="E76" s="6"/>
      <c r="F76" s="6"/>
      <c r="G76" s="6"/>
      <c r="H76" s="6"/>
      <c r="I76" s="6">
        <v>2</v>
      </c>
      <c r="J76" s="6">
        <f t="shared" si="1"/>
        <v>121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6">
        <v>33</v>
      </c>
      <c r="D77" s="6"/>
      <c r="E77" s="6"/>
      <c r="F77" s="6"/>
      <c r="G77" s="6"/>
      <c r="H77" s="6"/>
      <c r="I77" s="6">
        <v>2</v>
      </c>
      <c r="J77" s="6">
        <f t="shared" si="1"/>
        <v>31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78"/>
  <sheetViews>
    <sheetView zoomScaleNormal="100" workbookViewId="0">
      <selection activeCell="I32" sqref="I32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105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44935</v>
      </c>
      <c r="F2" s="4">
        <v>44936</v>
      </c>
      <c r="G2" s="4">
        <v>44937</v>
      </c>
      <c r="H2" s="4">
        <v>44938</v>
      </c>
      <c r="I2" s="4">
        <v>44939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145</v>
      </c>
      <c r="D3" s="6"/>
      <c r="E3" s="6"/>
      <c r="F3" s="6">
        <v>8</v>
      </c>
      <c r="G3" s="6"/>
      <c r="H3" s="6"/>
      <c r="I3" s="6"/>
      <c r="J3" s="6">
        <f>+C3-E3-F3-G3-H3-I3+D3</f>
        <v>137</v>
      </c>
      <c r="K3" s="13">
        <v>10</v>
      </c>
      <c r="L3" s="14">
        <v>50</v>
      </c>
    </row>
    <row r="4" spans="1:12" x14ac:dyDescent="0.25">
      <c r="A4" s="6">
        <v>2</v>
      </c>
      <c r="B4" s="7" t="s">
        <v>102</v>
      </c>
      <c r="C4" s="6">
        <v>16</v>
      </c>
      <c r="D4" s="6"/>
      <c r="E4" s="6"/>
      <c r="F4" s="6">
        <v>8</v>
      </c>
      <c r="G4" s="6"/>
      <c r="H4" s="6"/>
      <c r="I4" s="6"/>
      <c r="J4" s="6">
        <f t="shared" ref="J4:J67" si="0">+C4-E4-F4-G4-H4-I4+D4</f>
        <v>8</v>
      </c>
      <c r="K4" s="13">
        <v>10</v>
      </c>
      <c r="L4" s="14">
        <v>50</v>
      </c>
    </row>
    <row r="5" spans="1:12" x14ac:dyDescent="0.25">
      <c r="A5" s="6">
        <v>3</v>
      </c>
      <c r="B5" s="7" t="s">
        <v>69</v>
      </c>
      <c r="C5" s="6">
        <v>0</v>
      </c>
      <c r="D5" s="6"/>
      <c r="E5" s="6"/>
      <c r="F5" s="6"/>
      <c r="G5" s="6"/>
      <c r="H5" s="6"/>
      <c r="I5" s="6"/>
      <c r="J5" s="6">
        <f t="shared" si="0"/>
        <v>0</v>
      </c>
      <c r="K5" s="13">
        <v>0</v>
      </c>
      <c r="L5" s="14"/>
    </row>
    <row r="6" spans="1:12" x14ac:dyDescent="0.25">
      <c r="A6" s="6">
        <v>4</v>
      </c>
      <c r="B6" s="7" t="s">
        <v>6</v>
      </c>
      <c r="C6" s="6">
        <v>140</v>
      </c>
      <c r="D6" s="6"/>
      <c r="E6" s="6"/>
      <c r="F6" s="6"/>
      <c r="G6" s="6"/>
      <c r="H6" s="6"/>
      <c r="I6" s="6"/>
      <c r="J6" s="6">
        <f t="shared" si="0"/>
        <v>140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108</v>
      </c>
      <c r="D7" s="6"/>
      <c r="E7" s="6">
        <v>12</v>
      </c>
      <c r="F7" s="6"/>
      <c r="G7" s="6"/>
      <c r="H7" s="6"/>
      <c r="I7" s="6"/>
      <c r="J7" s="6">
        <f t="shared" si="0"/>
        <v>96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0</v>
      </c>
      <c r="D8" s="6"/>
      <c r="E8" s="6"/>
      <c r="F8" s="6"/>
      <c r="G8" s="6"/>
      <c r="H8" s="6"/>
      <c r="I8" s="6"/>
      <c r="J8" s="6">
        <f t="shared" si="0"/>
        <v>0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/>
      <c r="E9" s="6"/>
      <c r="F9" s="6"/>
      <c r="G9" s="6"/>
      <c r="H9" s="6"/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5</v>
      </c>
      <c r="D10" s="6"/>
      <c r="E10" s="6"/>
      <c r="F10" s="6"/>
      <c r="G10" s="6"/>
      <c r="H10" s="6"/>
      <c r="I10" s="6"/>
      <c r="J10" s="6">
        <f t="shared" si="0"/>
        <v>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134</v>
      </c>
      <c r="D11" s="6"/>
      <c r="E11" s="6"/>
      <c r="F11" s="6"/>
      <c r="G11" s="6"/>
      <c r="H11" s="6"/>
      <c r="I11" s="6"/>
      <c r="J11" s="6">
        <f t="shared" si="0"/>
        <v>134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686</v>
      </c>
      <c r="D12" s="6"/>
      <c r="E12" s="6"/>
      <c r="F12" s="6"/>
      <c r="G12" s="6"/>
      <c r="H12" s="6"/>
      <c r="I12" s="6"/>
      <c r="J12" s="6">
        <f t="shared" si="0"/>
        <v>686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0</v>
      </c>
      <c r="D13" s="6"/>
      <c r="E13" s="6"/>
      <c r="F13" s="6"/>
      <c r="G13" s="6"/>
      <c r="H13" s="6"/>
      <c r="I13" s="6"/>
      <c r="J13" s="6">
        <f t="shared" si="0"/>
        <v>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0</v>
      </c>
      <c r="D14" s="6"/>
      <c r="E14" s="6"/>
      <c r="F14" s="6"/>
      <c r="G14" s="6"/>
      <c r="H14" s="6"/>
      <c r="I14" s="6"/>
      <c r="J14" s="6">
        <f t="shared" si="0"/>
        <v>0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25</v>
      </c>
      <c r="D15" s="6"/>
      <c r="E15" s="6"/>
      <c r="F15" s="6"/>
      <c r="G15" s="6"/>
      <c r="H15" s="6"/>
      <c r="I15" s="6"/>
      <c r="J15" s="6">
        <f t="shared" si="0"/>
        <v>25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63</v>
      </c>
      <c r="D16" s="6"/>
      <c r="E16" s="6"/>
      <c r="F16" s="6"/>
      <c r="G16" s="6"/>
      <c r="H16" s="6"/>
      <c r="I16" s="6"/>
      <c r="J16" s="6">
        <f t="shared" si="0"/>
        <v>63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255</v>
      </c>
      <c r="D17" s="6"/>
      <c r="E17" s="6"/>
      <c r="F17" s="6">
        <v>2</v>
      </c>
      <c r="G17" s="6"/>
      <c r="H17" s="6">
        <v>7</v>
      </c>
      <c r="I17" s="6">
        <v>4</v>
      </c>
      <c r="J17" s="6">
        <f t="shared" si="0"/>
        <v>242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118</v>
      </c>
      <c r="D18" s="6"/>
      <c r="E18" s="6"/>
      <c r="F18" s="6"/>
      <c r="G18" s="6"/>
      <c r="H18" s="6">
        <v>10</v>
      </c>
      <c r="I18" s="6">
        <v>2</v>
      </c>
      <c r="J18" s="6">
        <f t="shared" si="0"/>
        <v>106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71</v>
      </c>
      <c r="D19" s="6"/>
      <c r="E19" s="6"/>
      <c r="F19" s="6"/>
      <c r="G19" s="6"/>
      <c r="H19" s="6"/>
      <c r="I19" s="6">
        <v>10</v>
      </c>
      <c r="J19" s="6">
        <f t="shared" si="0"/>
        <v>61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0</v>
      </c>
      <c r="D20" s="6"/>
      <c r="E20" s="6"/>
      <c r="F20" s="6"/>
      <c r="G20" s="6"/>
      <c r="H20" s="6"/>
      <c r="I20" s="6"/>
      <c r="J20" s="6">
        <f t="shared" si="0"/>
        <v>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68</v>
      </c>
      <c r="D21" s="6"/>
      <c r="E21" s="6"/>
      <c r="F21" s="6"/>
      <c r="G21" s="6"/>
      <c r="H21" s="6"/>
      <c r="I21" s="6"/>
      <c r="J21" s="6">
        <f t="shared" si="0"/>
        <v>68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95</v>
      </c>
      <c r="C22" s="6">
        <v>187</v>
      </c>
      <c r="D22" s="6"/>
      <c r="E22" s="6"/>
      <c r="F22" s="6"/>
      <c r="G22" s="6"/>
      <c r="H22" s="6"/>
      <c r="I22" s="6"/>
      <c r="J22" s="6">
        <f t="shared" si="0"/>
        <v>187</v>
      </c>
      <c r="K22" s="13">
        <v>100</v>
      </c>
      <c r="L22" s="14">
        <v>300</v>
      </c>
    </row>
    <row r="23" spans="1:12" x14ac:dyDescent="0.25">
      <c r="A23" s="6">
        <v>21</v>
      </c>
      <c r="B23" s="7" t="s">
        <v>59</v>
      </c>
      <c r="C23" s="6">
        <v>124</v>
      </c>
      <c r="D23" s="6"/>
      <c r="E23" s="6"/>
      <c r="F23" s="6"/>
      <c r="G23" s="6"/>
      <c r="H23" s="6"/>
      <c r="I23" s="6"/>
      <c r="J23" s="6">
        <f t="shared" si="0"/>
        <v>124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36</v>
      </c>
      <c r="D24" s="6"/>
      <c r="E24" s="6"/>
      <c r="F24" s="6"/>
      <c r="G24" s="6"/>
      <c r="H24" s="6"/>
      <c r="I24" s="6"/>
      <c r="J24" s="6">
        <f t="shared" si="0"/>
        <v>36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5</v>
      </c>
      <c r="D25" s="6"/>
      <c r="E25" s="6"/>
      <c r="F25" s="6"/>
      <c r="G25" s="6"/>
      <c r="H25" s="6"/>
      <c r="I25" s="6"/>
      <c r="J25" s="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218</v>
      </c>
      <c r="D26" s="6"/>
      <c r="E26" s="6"/>
      <c r="F26" s="6"/>
      <c r="G26" s="6"/>
      <c r="H26" s="6"/>
      <c r="I26" s="6"/>
      <c r="J26" s="6">
        <f t="shared" si="0"/>
        <v>218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58</v>
      </c>
      <c r="D29" s="6"/>
      <c r="E29" s="6"/>
      <c r="F29" s="6"/>
      <c r="G29" s="6"/>
      <c r="H29" s="6"/>
      <c r="I29" s="6"/>
      <c r="J29" s="6">
        <f t="shared" si="0"/>
        <v>58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36</v>
      </c>
      <c r="D30" s="6"/>
      <c r="E30" s="6"/>
      <c r="F30" s="6"/>
      <c r="G30" s="6"/>
      <c r="H30" s="6"/>
      <c r="I30" s="6"/>
      <c r="J30" s="6">
        <f t="shared" si="0"/>
        <v>36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8</v>
      </c>
      <c r="D31" s="6"/>
      <c r="E31" s="6"/>
      <c r="F31" s="6"/>
      <c r="G31" s="6"/>
      <c r="H31" s="6"/>
      <c r="I31" s="6"/>
      <c r="J31" s="6">
        <f t="shared" si="0"/>
        <v>8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316</v>
      </c>
      <c r="D32" s="6"/>
      <c r="E32" s="6"/>
      <c r="F32" s="6"/>
      <c r="G32" s="6"/>
      <c r="H32" s="6"/>
      <c r="I32" s="6">
        <v>6</v>
      </c>
      <c r="J32" s="6">
        <f t="shared" si="0"/>
        <v>310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533</v>
      </c>
      <c r="D36" s="6"/>
      <c r="E36" s="6"/>
      <c r="F36" s="6"/>
      <c r="G36" s="6"/>
      <c r="H36" s="6">
        <v>26</v>
      </c>
      <c r="I36" s="6"/>
      <c r="J36" s="6">
        <f t="shared" si="0"/>
        <v>507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115</v>
      </c>
      <c r="D37" s="6"/>
      <c r="E37" s="6"/>
      <c r="F37" s="6"/>
      <c r="G37" s="6"/>
      <c r="H37" s="6"/>
      <c r="I37" s="6"/>
      <c r="J37" s="6">
        <f t="shared" si="0"/>
        <v>115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13</v>
      </c>
      <c r="D39" s="6"/>
      <c r="E39" s="6"/>
      <c r="F39" s="6"/>
      <c r="G39" s="6"/>
      <c r="H39" s="6">
        <v>6</v>
      </c>
      <c r="I39" s="6"/>
      <c r="J39" s="6">
        <f t="shared" si="0"/>
        <v>7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</v>
      </c>
      <c r="D40" s="6"/>
      <c r="E40" s="6"/>
      <c r="F40" s="6"/>
      <c r="G40" s="6"/>
      <c r="H40" s="6">
        <v>1</v>
      </c>
      <c r="I40" s="6"/>
      <c r="J40" s="6">
        <f t="shared" si="0"/>
        <v>2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45</v>
      </c>
      <c r="D41" s="6"/>
      <c r="E41" s="6"/>
      <c r="F41" s="6"/>
      <c r="G41" s="6"/>
      <c r="H41" s="6"/>
      <c r="I41" s="6">
        <v>2</v>
      </c>
      <c r="J41" s="6">
        <f t="shared" si="0"/>
        <v>43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37</v>
      </c>
      <c r="D42" s="6"/>
      <c r="E42" s="6"/>
      <c r="F42" s="6"/>
      <c r="G42" s="6"/>
      <c r="H42" s="6"/>
      <c r="I42" s="6">
        <v>4</v>
      </c>
      <c r="J42" s="6">
        <f t="shared" si="0"/>
        <v>33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170</v>
      </c>
      <c r="D43" s="6"/>
      <c r="E43" s="6">
        <v>1</v>
      </c>
      <c r="F43" s="6"/>
      <c r="G43" s="6"/>
      <c r="H43" s="6"/>
      <c r="I43" s="6"/>
      <c r="J43" s="6">
        <f t="shared" si="0"/>
        <v>169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106</v>
      </c>
      <c r="C44" s="6">
        <v>0</v>
      </c>
      <c r="D44" s="6"/>
      <c r="E44" s="6"/>
      <c r="F44" s="6">
        <v>0</v>
      </c>
      <c r="G44" s="6"/>
      <c r="H44" s="6"/>
      <c r="I44" s="6"/>
      <c r="J44" s="6">
        <f t="shared" si="0"/>
        <v>0</v>
      </c>
      <c r="K44" s="13">
        <v>5</v>
      </c>
      <c r="L44" s="14">
        <v>10</v>
      </c>
    </row>
    <row r="45" spans="1:12" x14ac:dyDescent="0.25">
      <c r="A45" s="6">
        <v>43</v>
      </c>
      <c r="B45" s="7" t="s">
        <v>36</v>
      </c>
      <c r="C45" s="6">
        <v>16</v>
      </c>
      <c r="D45" s="6"/>
      <c r="E45" s="6"/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53</v>
      </c>
      <c r="D46" s="6"/>
      <c r="E46" s="6"/>
      <c r="F46" s="6"/>
      <c r="G46" s="6"/>
      <c r="H46" s="6"/>
      <c r="I46" s="6"/>
      <c r="J46" s="6">
        <f t="shared" si="0"/>
        <v>53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16</v>
      </c>
      <c r="D47" s="6"/>
      <c r="E47" s="6"/>
      <c r="F47" s="6"/>
      <c r="G47" s="6"/>
      <c r="H47" s="6"/>
      <c r="I47" s="6"/>
      <c r="J47" s="6">
        <f t="shared" si="0"/>
        <v>16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39</v>
      </c>
      <c r="C49" s="6">
        <v>53</v>
      </c>
      <c r="D49" s="6"/>
      <c r="E49" s="6"/>
      <c r="F49" s="6"/>
      <c r="G49" s="6"/>
      <c r="H49" s="6"/>
      <c r="I49" s="6"/>
      <c r="J49" s="6">
        <f t="shared" si="0"/>
        <v>53</v>
      </c>
      <c r="K49" s="13">
        <v>10</v>
      </c>
      <c r="L49" s="14">
        <v>20</v>
      </c>
    </row>
    <row r="50" spans="1:12" x14ac:dyDescent="0.25">
      <c r="A50" s="6">
        <v>48</v>
      </c>
      <c r="B50" s="7" t="s">
        <v>40</v>
      </c>
      <c r="C50" s="6">
        <v>95</v>
      </c>
      <c r="D50" s="6"/>
      <c r="E50" s="6"/>
      <c r="F50" s="6">
        <v>4</v>
      </c>
      <c r="G50" s="6">
        <v>4</v>
      </c>
      <c r="H50" s="6"/>
      <c r="I50" s="6"/>
      <c r="J50" s="6">
        <f t="shared" si="0"/>
        <v>87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34</v>
      </c>
      <c r="D51" s="6"/>
      <c r="E51" s="6"/>
      <c r="F51" s="6"/>
      <c r="G51" s="6">
        <v>2</v>
      </c>
      <c r="H51" s="6"/>
      <c r="I51" s="6"/>
      <c r="J51" s="6">
        <f t="shared" si="0"/>
        <v>32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15</v>
      </c>
      <c r="D52" s="6"/>
      <c r="E52" s="6"/>
      <c r="F52" s="6"/>
      <c r="G52" s="6"/>
      <c r="H52" s="6"/>
      <c r="I52" s="6"/>
      <c r="J52" s="6">
        <f t="shared" si="0"/>
        <v>15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77</v>
      </c>
      <c r="D53" s="6"/>
      <c r="E53" s="6"/>
      <c r="F53" s="6"/>
      <c r="G53" s="6"/>
      <c r="H53" s="6"/>
      <c r="I53" s="6"/>
      <c r="J53" s="6">
        <f t="shared" si="0"/>
        <v>77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f>'KASIM 3 HAFTA '!J54</f>
        <v>43</v>
      </c>
      <c r="D54" s="6"/>
      <c r="E54" s="6"/>
      <c r="F54" s="6"/>
      <c r="G54" s="6"/>
      <c r="H54" s="6"/>
      <c r="I54" s="6"/>
      <c r="J54" s="6">
        <f t="shared" si="0"/>
        <v>43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3 HAFTA '!J56</f>
        <v>230</v>
      </c>
      <c r="D56" s="6"/>
      <c r="E56" s="6"/>
      <c r="F56" s="6"/>
      <c r="G56" s="6"/>
      <c r="H56" s="6"/>
      <c r="I56" s="6"/>
      <c r="J56" s="6">
        <f t="shared" si="0"/>
        <v>230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33</v>
      </c>
      <c r="D58" s="6"/>
      <c r="E58" s="6"/>
      <c r="F58" s="6"/>
      <c r="G58" s="6"/>
      <c r="H58" s="6"/>
      <c r="I58" s="6"/>
      <c r="J58" s="6">
        <f t="shared" si="0"/>
        <v>33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f>'KASIM 3 HAFTA '!J59</f>
        <v>3</v>
      </c>
      <c r="D59" s="6"/>
      <c r="E59" s="6"/>
      <c r="F59" s="6"/>
      <c r="G59" s="6"/>
      <c r="H59" s="6"/>
      <c r="I59" s="6"/>
      <c r="J59" s="6">
        <f t="shared" si="0"/>
        <v>3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36</v>
      </c>
      <c r="D60" s="6"/>
      <c r="E60" s="6"/>
      <c r="F60" s="6"/>
      <c r="G60" s="6"/>
      <c r="H60" s="6">
        <v>2</v>
      </c>
      <c r="I60" s="6"/>
      <c r="J60" s="6">
        <f t="shared" si="0"/>
        <v>34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1</v>
      </c>
      <c r="D61" s="6"/>
      <c r="E61" s="6"/>
      <c r="F61" s="6"/>
      <c r="G61" s="6"/>
      <c r="H61" s="6"/>
      <c r="I61" s="6"/>
      <c r="J61" s="6">
        <f t="shared" si="0"/>
        <v>1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f>'KASIM 3 HAFTA '!J62</f>
        <v>47</v>
      </c>
      <c r="D62" s="6"/>
      <c r="E62" s="6"/>
      <c r="F62" s="6"/>
      <c r="G62" s="6"/>
      <c r="H62" s="6"/>
      <c r="I62" s="6"/>
      <c r="J62" s="6">
        <f t="shared" si="0"/>
        <v>47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f>'KASIM 3 HAFTA '!J63</f>
        <v>49</v>
      </c>
      <c r="D63" s="6"/>
      <c r="E63" s="6"/>
      <c r="F63" s="6"/>
      <c r="G63" s="6"/>
      <c r="H63" s="6"/>
      <c r="I63" s="6"/>
      <c r="J63" s="6">
        <f t="shared" si="0"/>
        <v>49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27</v>
      </c>
      <c r="D64" s="6"/>
      <c r="E64" s="6"/>
      <c r="F64" s="6"/>
      <c r="G64" s="6"/>
      <c r="H64" s="6"/>
      <c r="I64" s="6"/>
      <c r="J64" s="6">
        <f t="shared" si="0"/>
        <v>27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68</v>
      </c>
      <c r="C65" s="6">
        <v>136</v>
      </c>
      <c r="D65" s="6"/>
      <c r="E65" s="6"/>
      <c r="F65" s="6"/>
      <c r="G65" s="6"/>
      <c r="H65" s="6"/>
      <c r="I65" s="6"/>
      <c r="J65" s="6">
        <f t="shared" si="0"/>
        <v>136</v>
      </c>
      <c r="K65" s="13"/>
      <c r="L65" s="14"/>
    </row>
    <row r="66" spans="1:12" x14ac:dyDescent="0.25">
      <c r="A66" s="6">
        <v>64</v>
      </c>
      <c r="B66" s="8" t="s">
        <v>74</v>
      </c>
      <c r="C66" s="6">
        <v>51</v>
      </c>
      <c r="D66" s="6"/>
      <c r="E66" s="6"/>
      <c r="F66" s="6"/>
      <c r="G66" s="6"/>
      <c r="H66" s="6"/>
      <c r="I66" s="6"/>
      <c r="J66" s="6">
        <f t="shared" si="0"/>
        <v>51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82</v>
      </c>
      <c r="D67" s="6"/>
      <c r="E67" s="6"/>
      <c r="F67" s="6"/>
      <c r="G67" s="6"/>
      <c r="H67" s="6"/>
      <c r="I67" s="6"/>
      <c r="J67" s="6">
        <f t="shared" si="0"/>
        <v>82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45</v>
      </c>
      <c r="D68" s="6"/>
      <c r="E68" s="6"/>
      <c r="F68" s="6"/>
      <c r="G68" s="6">
        <v>1</v>
      </c>
      <c r="H68" s="6"/>
      <c r="I68" s="6"/>
      <c r="J68" s="6">
        <f t="shared" ref="J68:J78" si="1">+C68-E68-F68-G68-H68-I68+D68</f>
        <v>44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22</v>
      </c>
      <c r="D69" s="6"/>
      <c r="E69" s="6"/>
      <c r="F69" s="6"/>
      <c r="G69" s="6"/>
      <c r="H69" s="6"/>
      <c r="I69" s="6"/>
      <c r="J69" s="6">
        <f t="shared" si="1"/>
        <v>22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5</v>
      </c>
      <c r="D70" s="6"/>
      <c r="E70" s="6"/>
      <c r="F70" s="6"/>
      <c r="G70" s="6">
        <v>2</v>
      </c>
      <c r="H70" s="6"/>
      <c r="I70" s="6"/>
      <c r="J70" s="6">
        <f t="shared" si="1"/>
        <v>3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17</v>
      </c>
      <c r="D71" s="6"/>
      <c r="E71" s="6"/>
      <c r="F71" s="6"/>
      <c r="G71" s="6"/>
      <c r="H71" s="6"/>
      <c r="I71" s="6"/>
      <c r="J71" s="6">
        <f t="shared" si="1"/>
        <v>17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5</v>
      </c>
      <c r="D72" s="6"/>
      <c r="E72" s="6"/>
      <c r="F72" s="6"/>
      <c r="G72" s="6"/>
      <c r="H72" s="6"/>
      <c r="I72" s="6"/>
      <c r="J72" s="6">
        <f t="shared" si="1"/>
        <v>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46</v>
      </c>
      <c r="D73" s="6"/>
      <c r="E73" s="6"/>
      <c r="F73" s="6"/>
      <c r="G73" s="6"/>
      <c r="H73" s="6"/>
      <c r="I73" s="6"/>
      <c r="J73" s="6">
        <f t="shared" si="1"/>
        <v>46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453</v>
      </c>
      <c r="D74" s="6"/>
      <c r="E74" s="6"/>
      <c r="F74" s="6">
        <v>17</v>
      </c>
      <c r="G74" s="6">
        <v>5</v>
      </c>
      <c r="H74" s="6"/>
      <c r="I74" s="6"/>
      <c r="J74" s="6">
        <f t="shared" si="1"/>
        <v>431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301</v>
      </c>
      <c r="D75" s="6"/>
      <c r="E75" s="6"/>
      <c r="F75" s="6"/>
      <c r="G75" s="6"/>
      <c r="H75" s="6"/>
      <c r="I75" s="6"/>
      <c r="J75" s="6">
        <f t="shared" si="1"/>
        <v>301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121</v>
      </c>
      <c r="D76" s="6"/>
      <c r="E76" s="6"/>
      <c r="F76" s="6">
        <v>3</v>
      </c>
      <c r="G76" s="6"/>
      <c r="H76" s="6">
        <v>2</v>
      </c>
      <c r="I76" s="6"/>
      <c r="J76" s="6">
        <f t="shared" si="1"/>
        <v>116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83</v>
      </c>
      <c r="C77" s="6">
        <v>31</v>
      </c>
      <c r="D77" s="6"/>
      <c r="E77" s="6"/>
      <c r="F77" s="6"/>
      <c r="G77" s="6">
        <v>2</v>
      </c>
      <c r="H77" s="6"/>
      <c r="I77" s="6"/>
      <c r="J77" s="6">
        <f t="shared" si="1"/>
        <v>29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85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8"/>
  <sheetViews>
    <sheetView zoomScaleNormal="100" workbookViewId="0">
      <selection activeCell="I12" sqref="I12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107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44942</v>
      </c>
      <c r="F2" s="4">
        <v>44943</v>
      </c>
      <c r="G2" s="4">
        <v>44944</v>
      </c>
      <c r="H2" s="4">
        <v>44945</v>
      </c>
      <c r="I2" s="4">
        <v>44946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130</v>
      </c>
      <c r="D3" s="6"/>
      <c r="E3" s="6"/>
      <c r="F3" s="6"/>
      <c r="G3" s="6"/>
      <c r="H3" s="6"/>
      <c r="I3" s="6"/>
      <c r="J3" s="6">
        <f>+C3-E3-F3-G3-H3-I3+D3</f>
        <v>130</v>
      </c>
      <c r="K3" s="13">
        <v>10</v>
      </c>
      <c r="L3" s="14">
        <v>50</v>
      </c>
    </row>
    <row r="4" spans="1:12" x14ac:dyDescent="0.25">
      <c r="A4" s="6">
        <v>2</v>
      </c>
      <c r="B4" s="7" t="s">
        <v>102</v>
      </c>
      <c r="C4" s="6">
        <v>12</v>
      </c>
      <c r="D4" s="6">
        <v>20</v>
      </c>
      <c r="E4" s="6"/>
      <c r="F4" s="6"/>
      <c r="G4" s="6"/>
      <c r="H4" s="6"/>
      <c r="I4" s="6"/>
      <c r="J4" s="6">
        <f t="shared" ref="J4:J67" si="0">+C4-E4-F4-G4-H4-I4+D4</f>
        <v>32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42</v>
      </c>
      <c r="D5" s="6"/>
      <c r="E5" s="6"/>
      <c r="F5" s="6"/>
      <c r="G5" s="6"/>
      <c r="H5" s="6"/>
      <c r="I5" s="6"/>
      <c r="J5" s="6">
        <f t="shared" si="0"/>
        <v>42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0</v>
      </c>
      <c r="D6" s="6"/>
      <c r="E6" s="6"/>
      <c r="F6" s="6"/>
      <c r="G6" s="6"/>
      <c r="H6" s="6"/>
      <c r="I6" s="6"/>
      <c r="J6" s="6">
        <f t="shared" si="0"/>
        <v>0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47</v>
      </c>
      <c r="D7" s="6"/>
      <c r="E7" s="6"/>
      <c r="F7" s="6"/>
      <c r="G7" s="6"/>
      <c r="H7" s="6"/>
      <c r="I7" s="6"/>
      <c r="J7" s="6">
        <f t="shared" si="0"/>
        <v>47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35</v>
      </c>
      <c r="D8" s="6"/>
      <c r="E8" s="6"/>
      <c r="F8" s="6"/>
      <c r="G8" s="6"/>
      <c r="H8" s="6"/>
      <c r="I8" s="6"/>
      <c r="J8" s="6">
        <f t="shared" si="0"/>
        <v>35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/>
      <c r="E9" s="6"/>
      <c r="F9" s="6"/>
      <c r="G9" s="6"/>
      <c r="H9" s="6"/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0</v>
      </c>
      <c r="D10" s="6"/>
      <c r="E10" s="6"/>
      <c r="F10" s="6"/>
      <c r="G10" s="6"/>
      <c r="H10" s="6"/>
      <c r="I10" s="6"/>
      <c r="J10" s="6">
        <f t="shared" si="0"/>
        <v>0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64</v>
      </c>
      <c r="D11" s="6">
        <v>154</v>
      </c>
      <c r="E11" s="6"/>
      <c r="F11" s="6"/>
      <c r="G11" s="6"/>
      <c r="H11" s="6"/>
      <c r="I11" s="6"/>
      <c r="J11" s="6">
        <f t="shared" si="0"/>
        <v>218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541</v>
      </c>
      <c r="D12" s="6"/>
      <c r="E12" s="6"/>
      <c r="F12" s="6"/>
      <c r="G12" s="6"/>
      <c r="H12" s="6"/>
      <c r="I12" s="6">
        <v>24</v>
      </c>
      <c r="J12" s="6">
        <f t="shared" si="0"/>
        <v>517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14</v>
      </c>
      <c r="D13" s="6"/>
      <c r="E13" s="6"/>
      <c r="F13" s="6"/>
      <c r="G13" s="6"/>
      <c r="H13" s="6"/>
      <c r="I13" s="6"/>
      <c r="J13" s="6">
        <f t="shared" si="0"/>
        <v>14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0</v>
      </c>
      <c r="D14" s="6"/>
      <c r="E14" s="6"/>
      <c r="F14" s="6"/>
      <c r="G14" s="6"/>
      <c r="H14" s="6"/>
      <c r="I14" s="6"/>
      <c r="J14" s="6">
        <f t="shared" si="0"/>
        <v>0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25</v>
      </c>
      <c r="D15" s="6">
        <v>50</v>
      </c>
      <c r="E15" s="6"/>
      <c r="F15" s="6"/>
      <c r="G15" s="6"/>
      <c r="H15" s="6"/>
      <c r="I15" s="6"/>
      <c r="J15" s="6">
        <f t="shared" si="0"/>
        <v>75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51</v>
      </c>
      <c r="D16" s="6">
        <v>100</v>
      </c>
      <c r="E16" s="6"/>
      <c r="F16" s="6"/>
      <c r="G16" s="6"/>
      <c r="H16" s="6"/>
      <c r="I16" s="6"/>
      <c r="J16" s="6">
        <f t="shared" si="0"/>
        <v>151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231</v>
      </c>
      <c r="D17" s="6">
        <v>244</v>
      </c>
      <c r="E17" s="6">
        <v>13</v>
      </c>
      <c r="F17" s="6">
        <v>44</v>
      </c>
      <c r="G17" s="6">
        <v>11</v>
      </c>
      <c r="H17" s="6"/>
      <c r="I17" s="6">
        <v>8</v>
      </c>
      <c r="J17" s="6">
        <f t="shared" si="0"/>
        <v>399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101</v>
      </c>
      <c r="D18" s="6"/>
      <c r="E18" s="6">
        <v>22</v>
      </c>
      <c r="F18" s="6">
        <v>39</v>
      </c>
      <c r="G18" s="6"/>
      <c r="H18" s="6"/>
      <c r="I18" s="6">
        <v>3</v>
      </c>
      <c r="J18" s="6">
        <f t="shared" si="0"/>
        <v>37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58</v>
      </c>
      <c r="D19" s="6"/>
      <c r="E19" s="6"/>
      <c r="F19" s="6">
        <v>25</v>
      </c>
      <c r="G19" s="6"/>
      <c r="H19" s="6"/>
      <c r="I19" s="6"/>
      <c r="J19" s="6">
        <f t="shared" si="0"/>
        <v>33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10</v>
      </c>
      <c r="D20" s="6"/>
      <c r="E20" s="6"/>
      <c r="F20" s="6"/>
      <c r="G20" s="6"/>
      <c r="H20" s="6"/>
      <c r="I20" s="6"/>
      <c r="J20" s="6">
        <f t="shared" si="0"/>
        <v>10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66</v>
      </c>
      <c r="D21" s="6"/>
      <c r="E21" s="6">
        <v>5</v>
      </c>
      <c r="F21" s="6">
        <v>2</v>
      </c>
      <c r="G21" s="6"/>
      <c r="H21" s="6"/>
      <c r="I21" s="6"/>
      <c r="J21" s="6">
        <f t="shared" si="0"/>
        <v>59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36</v>
      </c>
      <c r="D22" s="6"/>
      <c r="E22" s="6"/>
      <c r="F22" s="6"/>
      <c r="G22" s="6"/>
      <c r="H22" s="6"/>
      <c r="I22" s="6"/>
      <c r="J22" s="6">
        <f t="shared" si="0"/>
        <v>36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</v>
      </c>
      <c r="D23" s="6"/>
      <c r="E23" s="6"/>
      <c r="F23" s="6"/>
      <c r="G23" s="6"/>
      <c r="H23" s="6"/>
      <c r="I23" s="6"/>
      <c r="J23" s="6">
        <f t="shared" si="0"/>
        <v>1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0</v>
      </c>
      <c r="D24" s="6"/>
      <c r="E24" s="6"/>
      <c r="F24" s="6"/>
      <c r="G24" s="6"/>
      <c r="H24" s="6"/>
      <c r="I24" s="6"/>
      <c r="J24" s="6">
        <f t="shared" si="0"/>
        <v>0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36</v>
      </c>
      <c r="D25" s="6"/>
      <c r="E25" s="6"/>
      <c r="F25" s="6"/>
      <c r="G25" s="6"/>
      <c r="H25" s="6"/>
      <c r="I25" s="6"/>
      <c r="J25" s="6">
        <f t="shared" si="0"/>
        <v>36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220</v>
      </c>
      <c r="D26" s="6"/>
      <c r="E26" s="6"/>
      <c r="F26" s="6"/>
      <c r="G26" s="6"/>
      <c r="H26" s="6"/>
      <c r="I26" s="6"/>
      <c r="J26" s="6">
        <f t="shared" si="0"/>
        <v>220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45</v>
      </c>
      <c r="D29" s="6"/>
      <c r="E29" s="6"/>
      <c r="F29" s="6"/>
      <c r="G29" s="6"/>
      <c r="H29" s="6"/>
      <c r="I29" s="6"/>
      <c r="J29" s="6">
        <f t="shared" si="0"/>
        <v>45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30</v>
      </c>
      <c r="D30" s="6"/>
      <c r="E30" s="6"/>
      <c r="F30" s="6"/>
      <c r="G30" s="6"/>
      <c r="H30" s="6"/>
      <c r="I30" s="6"/>
      <c r="J30" s="6">
        <f t="shared" si="0"/>
        <v>30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8</v>
      </c>
      <c r="D31" s="6"/>
      <c r="E31" s="6"/>
      <c r="F31" s="6"/>
      <c r="G31" s="6"/>
      <c r="H31" s="6"/>
      <c r="I31" s="6"/>
      <c r="J31" s="6">
        <f t="shared" si="0"/>
        <v>8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266</v>
      </c>
      <c r="D32" s="6"/>
      <c r="E32" s="6"/>
      <c r="F32" s="6"/>
      <c r="G32" s="6"/>
      <c r="H32" s="6"/>
      <c r="I32" s="6"/>
      <c r="J32" s="6">
        <f t="shared" si="0"/>
        <v>266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507</v>
      </c>
      <c r="D36" s="6"/>
      <c r="E36" s="6"/>
      <c r="F36" s="6"/>
      <c r="G36" s="6"/>
      <c r="H36" s="6"/>
      <c r="I36" s="6"/>
      <c r="J36" s="6">
        <f t="shared" si="0"/>
        <v>507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115</v>
      </c>
      <c r="D37" s="6"/>
      <c r="E37" s="6"/>
      <c r="F37" s="6"/>
      <c r="G37" s="6">
        <v>4</v>
      </c>
      <c r="H37" s="6"/>
      <c r="I37" s="6"/>
      <c r="J37" s="6">
        <f t="shared" si="0"/>
        <v>111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7</v>
      </c>
      <c r="D39" s="6"/>
      <c r="E39" s="6"/>
      <c r="F39" s="6"/>
      <c r="G39" s="6"/>
      <c r="H39" s="6"/>
      <c r="I39" s="6"/>
      <c r="J39" s="6">
        <f t="shared" si="0"/>
        <v>7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0</v>
      </c>
      <c r="D40" s="6"/>
      <c r="E40" s="6"/>
      <c r="F40" s="6"/>
      <c r="G40" s="6"/>
      <c r="H40" s="6"/>
      <c r="I40" s="6"/>
      <c r="J40" s="6">
        <f t="shared" si="0"/>
        <v>0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37</v>
      </c>
      <c r="D41" s="6"/>
      <c r="E41" s="6"/>
      <c r="F41" s="6"/>
      <c r="G41" s="6"/>
      <c r="H41" s="6"/>
      <c r="I41" s="6"/>
      <c r="J41" s="6">
        <f t="shared" si="0"/>
        <v>37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39</v>
      </c>
      <c r="D42" s="6"/>
      <c r="E42" s="6"/>
      <c r="F42" s="6">
        <v>5</v>
      </c>
      <c r="G42" s="6"/>
      <c r="H42" s="6"/>
      <c r="I42" s="6"/>
      <c r="J42" s="6">
        <f t="shared" si="0"/>
        <v>34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173</v>
      </c>
      <c r="D43" s="6"/>
      <c r="E43" s="6">
        <v>52</v>
      </c>
      <c r="F43" s="6">
        <v>20</v>
      </c>
      <c r="G43" s="6"/>
      <c r="H43" s="6">
        <v>40</v>
      </c>
      <c r="I43" s="6"/>
      <c r="J43" s="6">
        <f t="shared" si="0"/>
        <v>61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58</v>
      </c>
      <c r="D44" s="6"/>
      <c r="E44" s="6"/>
      <c r="F44" s="6"/>
      <c r="G44" s="6"/>
      <c r="H44" s="6"/>
      <c r="I44" s="6"/>
      <c r="J44" s="6">
        <f t="shared" si="0"/>
        <v>58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16</v>
      </c>
      <c r="D45" s="6"/>
      <c r="E45" s="6"/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60</v>
      </c>
      <c r="D46" s="6"/>
      <c r="E46" s="6"/>
      <c r="F46" s="6"/>
      <c r="G46" s="6"/>
      <c r="H46" s="6"/>
      <c r="I46" s="6"/>
      <c r="J46" s="6">
        <f t="shared" si="0"/>
        <v>60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15</v>
      </c>
      <c r="D47" s="6"/>
      <c r="E47" s="6"/>
      <c r="F47" s="6"/>
      <c r="G47" s="6"/>
      <c r="H47" s="6"/>
      <c r="I47" s="6"/>
      <c r="J47" s="6">
        <f t="shared" si="0"/>
        <v>15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160</v>
      </c>
      <c r="D49" s="6"/>
      <c r="E49" s="6"/>
      <c r="F49" s="6"/>
      <c r="G49" s="6"/>
      <c r="H49" s="6">
        <v>87</v>
      </c>
      <c r="I49" s="6">
        <v>4</v>
      </c>
      <c r="J49" s="6">
        <f t="shared" ref="J49" si="1">+C49-E49-F49-G49-H49-I49+D49</f>
        <v>69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100</v>
      </c>
      <c r="D50" s="6"/>
      <c r="E50" s="6"/>
      <c r="F50" s="6"/>
      <c r="G50" s="6"/>
      <c r="H50" s="6"/>
      <c r="I50" s="6"/>
      <c r="J50" s="6">
        <f t="shared" si="0"/>
        <v>100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35</v>
      </c>
      <c r="D51" s="6"/>
      <c r="E51" s="6"/>
      <c r="F51" s="6"/>
      <c r="G51" s="6"/>
      <c r="H51" s="6"/>
      <c r="I51" s="6"/>
      <c r="J51" s="6">
        <f t="shared" si="0"/>
        <v>35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15</v>
      </c>
      <c r="D52" s="6"/>
      <c r="E52" s="6"/>
      <c r="F52" s="6"/>
      <c r="G52" s="6"/>
      <c r="H52" s="6"/>
      <c r="I52" s="6"/>
      <c r="J52" s="6">
        <f t="shared" si="0"/>
        <v>15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20</v>
      </c>
      <c r="D53" s="6"/>
      <c r="E53" s="6"/>
      <c r="F53" s="6"/>
      <c r="G53" s="6"/>
      <c r="H53" s="6"/>
      <c r="I53" s="6"/>
      <c r="J53" s="6">
        <f t="shared" si="0"/>
        <v>20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85</v>
      </c>
      <c r="D54" s="6"/>
      <c r="E54" s="6"/>
      <c r="F54" s="6"/>
      <c r="G54" s="6"/>
      <c r="H54" s="6"/>
      <c r="I54" s="6"/>
      <c r="J54" s="6">
        <f t="shared" si="0"/>
        <v>85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f>'KASIM 3 HAFTA '!J56</f>
        <v>230</v>
      </c>
      <c r="D56" s="6"/>
      <c r="E56" s="6"/>
      <c r="F56" s="6">
        <v>5</v>
      </c>
      <c r="G56" s="6"/>
      <c r="H56" s="6"/>
      <c r="I56" s="6"/>
      <c r="J56" s="6">
        <f t="shared" si="0"/>
        <v>225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25</v>
      </c>
      <c r="D58" s="6"/>
      <c r="E58" s="6"/>
      <c r="F58" s="6"/>
      <c r="G58" s="6"/>
      <c r="H58" s="6"/>
      <c r="I58" s="6"/>
      <c r="J58" s="6">
        <f t="shared" si="0"/>
        <v>25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34</v>
      </c>
      <c r="D60" s="6"/>
      <c r="E60" s="6">
        <v>1</v>
      </c>
      <c r="F60" s="6"/>
      <c r="G60" s="6"/>
      <c r="H60" s="6"/>
      <c r="I60" s="6"/>
      <c r="J60" s="6">
        <f t="shared" si="0"/>
        <v>33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1</v>
      </c>
      <c r="D61" s="6"/>
      <c r="E61" s="6"/>
      <c r="F61" s="6"/>
      <c r="G61" s="6"/>
      <c r="H61" s="6"/>
      <c r="I61" s="6"/>
      <c r="J61" s="6">
        <f t="shared" si="0"/>
        <v>1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1</v>
      </c>
      <c r="D63" s="6"/>
      <c r="E63" s="6"/>
      <c r="F63" s="6"/>
      <c r="G63" s="6"/>
      <c r="H63" s="6"/>
      <c r="I63" s="6"/>
      <c r="J63" s="6">
        <f t="shared" si="0"/>
        <v>1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76</v>
      </c>
      <c r="D64" s="6"/>
      <c r="E64" s="6"/>
      <c r="F64" s="6"/>
      <c r="G64" s="6"/>
      <c r="H64" s="6"/>
      <c r="I64" s="6"/>
      <c r="J64" s="6">
        <f t="shared" si="0"/>
        <v>76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108</v>
      </c>
      <c r="C65" s="6">
        <v>12</v>
      </c>
      <c r="D65" s="6"/>
      <c r="E65" s="6"/>
      <c r="F65" s="6"/>
      <c r="G65" s="6"/>
      <c r="H65" s="6">
        <v>3</v>
      </c>
      <c r="I65" s="6"/>
      <c r="J65" s="6">
        <f t="shared" si="0"/>
        <v>9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7</v>
      </c>
      <c r="D66" s="6"/>
      <c r="E66" s="6">
        <v>7</v>
      </c>
      <c r="F66" s="6"/>
      <c r="G66" s="6"/>
      <c r="H66" s="6"/>
      <c r="I66" s="6"/>
      <c r="J66" s="6">
        <f t="shared" si="0"/>
        <v>0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17</v>
      </c>
      <c r="D67" s="6"/>
      <c r="E67" s="6"/>
      <c r="F67" s="6"/>
      <c r="G67" s="6"/>
      <c r="H67" s="6"/>
      <c r="I67" s="6"/>
      <c r="J67" s="6">
        <f t="shared" si="0"/>
        <v>17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43</v>
      </c>
      <c r="D68" s="6"/>
      <c r="E68" s="6"/>
      <c r="F68" s="6"/>
      <c r="G68" s="6"/>
      <c r="H68" s="6"/>
      <c r="I68" s="6"/>
      <c r="J68" s="6">
        <f t="shared" ref="J68:J78" si="2">+C68-E68-F68-G68-H68-I68+D68</f>
        <v>43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25</v>
      </c>
      <c r="D69" s="6"/>
      <c r="E69" s="6"/>
      <c r="F69" s="6"/>
      <c r="G69" s="6"/>
      <c r="H69" s="6"/>
      <c r="I69" s="6"/>
      <c r="J69" s="6">
        <f t="shared" si="2"/>
        <v>25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3</v>
      </c>
      <c r="D70" s="6"/>
      <c r="E70" s="6"/>
      <c r="F70" s="6"/>
      <c r="G70" s="6"/>
      <c r="H70" s="6"/>
      <c r="I70" s="6"/>
      <c r="J70" s="6">
        <f t="shared" si="2"/>
        <v>3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17</v>
      </c>
      <c r="D71" s="6"/>
      <c r="E71" s="6"/>
      <c r="F71" s="6"/>
      <c r="G71" s="6"/>
      <c r="H71" s="6"/>
      <c r="I71" s="6"/>
      <c r="J71" s="6">
        <f t="shared" si="2"/>
        <v>17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</v>
      </c>
      <c r="D72" s="6"/>
      <c r="E72" s="6"/>
      <c r="F72" s="6"/>
      <c r="G72" s="6"/>
      <c r="H72" s="6"/>
      <c r="I72" s="6"/>
      <c r="J72" s="6">
        <f t="shared" si="2"/>
        <v>3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36</v>
      </c>
      <c r="D73" s="6"/>
      <c r="E73" s="6"/>
      <c r="F73" s="6"/>
      <c r="G73" s="6"/>
      <c r="H73" s="6"/>
      <c r="I73" s="6"/>
      <c r="J73" s="6">
        <f t="shared" si="2"/>
        <v>36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392</v>
      </c>
      <c r="D74" s="6"/>
      <c r="E74" s="6"/>
      <c r="F74" s="6"/>
      <c r="G74" s="6"/>
      <c r="H74" s="6">
        <v>16</v>
      </c>
      <c r="I74" s="6"/>
      <c r="J74" s="6">
        <f t="shared" si="2"/>
        <v>376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332</v>
      </c>
      <c r="D75" s="6"/>
      <c r="E75" s="6"/>
      <c r="F75" s="6"/>
      <c r="G75" s="6"/>
      <c r="H75" s="6"/>
      <c r="I75" s="6"/>
      <c r="J75" s="6">
        <f t="shared" si="2"/>
        <v>332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84</v>
      </c>
      <c r="D76" s="6"/>
      <c r="E76" s="6"/>
      <c r="F76" s="6"/>
      <c r="G76" s="6"/>
      <c r="H76" s="6"/>
      <c r="I76" s="6"/>
      <c r="J76" s="6">
        <f t="shared" si="2"/>
        <v>84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35</v>
      </c>
      <c r="D77" s="6"/>
      <c r="E77" s="6"/>
      <c r="F77" s="6"/>
      <c r="G77" s="6"/>
      <c r="H77" s="6">
        <v>3</v>
      </c>
      <c r="I77" s="6"/>
      <c r="J77" s="6">
        <f t="shared" si="2"/>
        <v>32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92</v>
      </c>
      <c r="C78" s="6">
        <v>0</v>
      </c>
      <c r="D78" s="6"/>
      <c r="E78" s="6"/>
      <c r="F78" s="6"/>
      <c r="G78" s="6"/>
      <c r="H78" s="6"/>
      <c r="I78" s="6"/>
      <c r="J78" s="6">
        <f t="shared" si="2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8"/>
  <sheetViews>
    <sheetView zoomScaleNormal="100" workbookViewId="0">
      <selection activeCell="I74" sqref="I74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107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44949</v>
      </c>
      <c r="F2" s="4">
        <v>44950</v>
      </c>
      <c r="G2" s="4">
        <v>44951</v>
      </c>
      <c r="H2" s="4">
        <v>44952</v>
      </c>
      <c r="I2" s="4">
        <v>44953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130</v>
      </c>
      <c r="D3" s="6"/>
      <c r="E3" s="6"/>
      <c r="F3" s="6"/>
      <c r="G3" s="6"/>
      <c r="H3" s="6"/>
      <c r="I3" s="6"/>
      <c r="J3" s="6">
        <f>+C3-E3-F3-G3-H3-I3+D3</f>
        <v>130</v>
      </c>
      <c r="K3" s="13">
        <v>10</v>
      </c>
      <c r="L3" s="14">
        <v>50</v>
      </c>
    </row>
    <row r="4" spans="1:12" x14ac:dyDescent="0.25">
      <c r="A4" s="6">
        <v>2</v>
      </c>
      <c r="B4" s="7" t="s">
        <v>102</v>
      </c>
      <c r="C4" s="6">
        <v>32</v>
      </c>
      <c r="D4" s="6"/>
      <c r="E4" s="6"/>
      <c r="F4" s="6"/>
      <c r="G4" s="6"/>
      <c r="H4" s="6"/>
      <c r="I4" s="6">
        <v>1</v>
      </c>
      <c r="J4" s="6">
        <f t="shared" ref="J4:J67" si="0">+C4-E4-F4-G4-H4-I4+D4</f>
        <v>31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42</v>
      </c>
      <c r="D5" s="6"/>
      <c r="E5" s="6"/>
      <c r="F5" s="6"/>
      <c r="G5" s="6"/>
      <c r="H5" s="6"/>
      <c r="I5" s="6"/>
      <c r="J5" s="6">
        <f t="shared" si="0"/>
        <v>42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0</v>
      </c>
      <c r="D6" s="6"/>
      <c r="E6" s="6"/>
      <c r="F6" s="6"/>
      <c r="G6" s="6"/>
      <c r="H6" s="6"/>
      <c r="I6" s="6"/>
      <c r="J6" s="6">
        <f t="shared" si="0"/>
        <v>0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47</v>
      </c>
      <c r="D7" s="6"/>
      <c r="E7" s="6"/>
      <c r="F7" s="6"/>
      <c r="G7" s="6"/>
      <c r="H7" s="6"/>
      <c r="I7" s="6">
        <v>2</v>
      </c>
      <c r="J7" s="6">
        <f t="shared" si="0"/>
        <v>45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35</v>
      </c>
      <c r="D8" s="6"/>
      <c r="E8" s="6"/>
      <c r="F8" s="6">
        <v>2</v>
      </c>
      <c r="G8" s="6"/>
      <c r="H8" s="6"/>
      <c r="I8" s="6"/>
      <c r="J8" s="6">
        <f t="shared" si="0"/>
        <v>33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/>
      <c r="E9" s="6"/>
      <c r="F9" s="6"/>
      <c r="G9" s="6"/>
      <c r="H9" s="6"/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0</v>
      </c>
      <c r="D10" s="6"/>
      <c r="E10" s="6"/>
      <c r="F10" s="6"/>
      <c r="G10" s="6"/>
      <c r="H10" s="6"/>
      <c r="I10" s="6"/>
      <c r="J10" s="6">
        <f t="shared" si="0"/>
        <v>0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218</v>
      </c>
      <c r="D11" s="6"/>
      <c r="E11" s="6"/>
      <c r="F11" s="6"/>
      <c r="G11" s="6"/>
      <c r="H11" s="6"/>
      <c r="I11" s="6"/>
      <c r="J11" s="6">
        <f t="shared" si="0"/>
        <v>218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517</v>
      </c>
      <c r="D12" s="6"/>
      <c r="E12" s="6"/>
      <c r="F12" s="6">
        <v>10</v>
      </c>
      <c r="G12" s="6"/>
      <c r="H12" s="6"/>
      <c r="I12" s="6">
        <v>50</v>
      </c>
      <c r="J12" s="6">
        <f t="shared" si="0"/>
        <v>457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14</v>
      </c>
      <c r="D13" s="6"/>
      <c r="E13" s="6"/>
      <c r="F13" s="6"/>
      <c r="G13" s="6"/>
      <c r="H13" s="6"/>
      <c r="I13" s="6"/>
      <c r="J13" s="6">
        <f t="shared" si="0"/>
        <v>14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0</v>
      </c>
      <c r="D14" s="6"/>
      <c r="E14" s="6"/>
      <c r="F14" s="6"/>
      <c r="G14" s="6"/>
      <c r="H14" s="6"/>
      <c r="I14" s="6"/>
      <c r="J14" s="6">
        <f t="shared" si="0"/>
        <v>0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75</v>
      </c>
      <c r="D15" s="6"/>
      <c r="E15" s="6"/>
      <c r="F15" s="6"/>
      <c r="G15" s="6"/>
      <c r="H15" s="6"/>
      <c r="I15" s="6"/>
      <c r="J15" s="6">
        <f t="shared" si="0"/>
        <v>75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151</v>
      </c>
      <c r="D16" s="6"/>
      <c r="E16" s="6"/>
      <c r="F16" s="6"/>
      <c r="G16" s="6"/>
      <c r="H16" s="6"/>
      <c r="I16" s="6"/>
      <c r="J16" s="6">
        <f t="shared" si="0"/>
        <v>151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399</v>
      </c>
      <c r="D17" s="6"/>
      <c r="E17" s="6">
        <v>1</v>
      </c>
      <c r="F17" s="6"/>
      <c r="G17" s="6">
        <v>1</v>
      </c>
      <c r="H17" s="6">
        <v>4</v>
      </c>
      <c r="I17" s="6"/>
      <c r="J17" s="6">
        <f t="shared" si="0"/>
        <v>393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37</v>
      </c>
      <c r="D18" s="6"/>
      <c r="E18" s="6"/>
      <c r="F18" s="6"/>
      <c r="G18" s="6"/>
      <c r="H18" s="6"/>
      <c r="I18" s="6"/>
      <c r="J18" s="6">
        <f t="shared" si="0"/>
        <v>37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33</v>
      </c>
      <c r="D19" s="6"/>
      <c r="E19" s="6">
        <v>7</v>
      </c>
      <c r="F19" s="6"/>
      <c r="G19" s="6"/>
      <c r="H19" s="6"/>
      <c r="I19" s="6"/>
      <c r="J19" s="6">
        <f t="shared" si="0"/>
        <v>26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10</v>
      </c>
      <c r="D20" s="6">
        <v>41</v>
      </c>
      <c r="E20" s="6"/>
      <c r="F20" s="6"/>
      <c r="G20" s="6"/>
      <c r="H20" s="6"/>
      <c r="I20" s="6"/>
      <c r="J20" s="6">
        <f t="shared" si="0"/>
        <v>51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59</v>
      </c>
      <c r="D21" s="6"/>
      <c r="E21" s="6"/>
      <c r="F21" s="6"/>
      <c r="G21" s="6"/>
      <c r="H21" s="6"/>
      <c r="I21" s="6"/>
      <c r="J21" s="6">
        <f t="shared" si="0"/>
        <v>59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36</v>
      </c>
      <c r="D22" s="6"/>
      <c r="E22" s="6"/>
      <c r="F22" s="6"/>
      <c r="G22" s="6"/>
      <c r="H22" s="6"/>
      <c r="I22" s="6"/>
      <c r="J22" s="6">
        <f t="shared" si="0"/>
        <v>36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</v>
      </c>
      <c r="D23" s="6"/>
      <c r="E23" s="6"/>
      <c r="F23" s="6"/>
      <c r="G23" s="6"/>
      <c r="H23" s="6"/>
      <c r="I23" s="6"/>
      <c r="J23" s="6">
        <f t="shared" si="0"/>
        <v>1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0</v>
      </c>
      <c r="D24" s="6"/>
      <c r="E24" s="6"/>
      <c r="F24" s="6"/>
      <c r="G24" s="6"/>
      <c r="H24" s="6"/>
      <c r="I24" s="6"/>
      <c r="J24" s="6">
        <f t="shared" si="0"/>
        <v>0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36</v>
      </c>
      <c r="D25" s="6"/>
      <c r="E25" s="6"/>
      <c r="F25" s="6"/>
      <c r="G25" s="6"/>
      <c r="H25" s="6"/>
      <c r="I25" s="6"/>
      <c r="J25" s="6">
        <f t="shared" si="0"/>
        <v>36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220</v>
      </c>
      <c r="D26" s="6"/>
      <c r="E26" s="6"/>
      <c r="F26" s="6"/>
      <c r="G26" s="6"/>
      <c r="H26" s="6"/>
      <c r="I26" s="6"/>
      <c r="J26" s="6">
        <f t="shared" si="0"/>
        <v>220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45</v>
      </c>
      <c r="D29" s="6"/>
      <c r="E29" s="6"/>
      <c r="F29" s="6"/>
      <c r="G29" s="6"/>
      <c r="H29" s="6"/>
      <c r="I29" s="6"/>
      <c r="J29" s="6">
        <f t="shared" si="0"/>
        <v>45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30</v>
      </c>
      <c r="D30" s="6"/>
      <c r="E30" s="6"/>
      <c r="F30" s="6"/>
      <c r="G30" s="6"/>
      <c r="H30" s="6"/>
      <c r="I30" s="6"/>
      <c r="J30" s="6">
        <f t="shared" si="0"/>
        <v>30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8</v>
      </c>
      <c r="D31" s="6"/>
      <c r="E31" s="6"/>
      <c r="F31" s="6"/>
      <c r="G31" s="6"/>
      <c r="H31" s="6"/>
      <c r="I31" s="6"/>
      <c r="J31" s="6">
        <f t="shared" si="0"/>
        <v>8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266</v>
      </c>
      <c r="D32" s="6">
        <v>160</v>
      </c>
      <c r="E32" s="6"/>
      <c r="F32" s="6">
        <v>8</v>
      </c>
      <c r="G32" s="6"/>
      <c r="H32" s="6"/>
      <c r="I32" s="6"/>
      <c r="J32" s="6">
        <f t="shared" si="0"/>
        <v>418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507</v>
      </c>
      <c r="D36" s="6"/>
      <c r="E36" s="6"/>
      <c r="F36" s="6"/>
      <c r="G36" s="6"/>
      <c r="H36" s="6">
        <v>130</v>
      </c>
      <c r="I36" s="6"/>
      <c r="J36" s="6">
        <f t="shared" si="0"/>
        <v>377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111</v>
      </c>
      <c r="D37" s="6"/>
      <c r="E37" s="6"/>
      <c r="F37" s="6"/>
      <c r="G37" s="6"/>
      <c r="H37" s="6">
        <v>7</v>
      </c>
      <c r="I37" s="6"/>
      <c r="J37" s="6">
        <f t="shared" si="0"/>
        <v>104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7</v>
      </c>
      <c r="D39" s="6">
        <v>50</v>
      </c>
      <c r="E39" s="6"/>
      <c r="F39" s="6"/>
      <c r="G39" s="6"/>
      <c r="H39" s="6"/>
      <c r="I39" s="6"/>
      <c r="J39" s="6">
        <f t="shared" si="0"/>
        <v>57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0</v>
      </c>
      <c r="D40" s="6">
        <v>50</v>
      </c>
      <c r="E40" s="6"/>
      <c r="F40" s="6"/>
      <c r="G40" s="6"/>
      <c r="H40" s="6">
        <v>7</v>
      </c>
      <c r="I40" s="6"/>
      <c r="J40" s="6">
        <f t="shared" si="0"/>
        <v>43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37</v>
      </c>
      <c r="D41" s="6">
        <v>50</v>
      </c>
      <c r="E41" s="6"/>
      <c r="F41" s="6"/>
      <c r="G41" s="6"/>
      <c r="H41" s="6"/>
      <c r="I41" s="6"/>
      <c r="J41" s="6">
        <f t="shared" si="0"/>
        <v>87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34</v>
      </c>
      <c r="D42" s="6"/>
      <c r="E42" s="6"/>
      <c r="F42" s="6"/>
      <c r="G42" s="6"/>
      <c r="H42" s="6"/>
      <c r="I42" s="6"/>
      <c r="J42" s="6">
        <f t="shared" si="0"/>
        <v>34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61</v>
      </c>
      <c r="D43" s="6"/>
      <c r="E43" s="6"/>
      <c r="F43" s="6">
        <v>30</v>
      </c>
      <c r="G43" s="6"/>
      <c r="H43" s="6"/>
      <c r="I43" s="6"/>
      <c r="J43" s="6">
        <f t="shared" si="0"/>
        <v>31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58</v>
      </c>
      <c r="D44" s="6"/>
      <c r="E44" s="6"/>
      <c r="F44" s="6"/>
      <c r="G44" s="6"/>
      <c r="H44" s="6"/>
      <c r="I44" s="6"/>
      <c r="J44" s="6">
        <f t="shared" si="0"/>
        <v>58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16</v>
      </c>
      <c r="D45" s="6"/>
      <c r="E45" s="6"/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60</v>
      </c>
      <c r="D46" s="6"/>
      <c r="E46" s="6"/>
      <c r="F46" s="6"/>
      <c r="G46" s="6"/>
      <c r="H46" s="6"/>
      <c r="I46" s="6"/>
      <c r="J46" s="6">
        <f t="shared" si="0"/>
        <v>60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15</v>
      </c>
      <c r="D47" s="6"/>
      <c r="E47" s="6"/>
      <c r="F47" s="6"/>
      <c r="G47" s="6"/>
      <c r="H47" s="6"/>
      <c r="I47" s="6"/>
      <c r="J47" s="6">
        <f t="shared" si="0"/>
        <v>15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69</v>
      </c>
      <c r="D49" s="6"/>
      <c r="E49" s="6"/>
      <c r="F49" s="6"/>
      <c r="G49" s="6"/>
      <c r="H49" s="6">
        <v>30</v>
      </c>
      <c r="I49" s="6"/>
      <c r="J49" s="6">
        <f t="shared" si="0"/>
        <v>39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100</v>
      </c>
      <c r="D50" s="6"/>
      <c r="E50" s="6">
        <v>4</v>
      </c>
      <c r="F50" s="6"/>
      <c r="G50" s="6"/>
      <c r="H50" s="6">
        <v>7</v>
      </c>
      <c r="I50" s="6"/>
      <c r="J50" s="6">
        <f t="shared" si="0"/>
        <v>89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35</v>
      </c>
      <c r="D51" s="6"/>
      <c r="E51" s="6"/>
      <c r="F51" s="6"/>
      <c r="G51" s="6"/>
      <c r="H51" s="6"/>
      <c r="I51" s="6"/>
      <c r="J51" s="6">
        <f t="shared" si="0"/>
        <v>35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15</v>
      </c>
      <c r="D52" s="6"/>
      <c r="E52" s="6"/>
      <c r="F52" s="6"/>
      <c r="G52" s="6"/>
      <c r="H52" s="6"/>
      <c r="I52" s="6"/>
      <c r="J52" s="6">
        <f t="shared" si="0"/>
        <v>15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20</v>
      </c>
      <c r="D53" s="6"/>
      <c r="E53" s="6">
        <v>1</v>
      </c>
      <c r="F53" s="6"/>
      <c r="G53" s="6"/>
      <c r="H53" s="6"/>
      <c r="I53" s="6"/>
      <c r="J53" s="6">
        <f t="shared" si="0"/>
        <v>19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85</v>
      </c>
      <c r="D54" s="6"/>
      <c r="E54" s="6"/>
      <c r="F54" s="6"/>
      <c r="G54" s="6"/>
      <c r="H54" s="6"/>
      <c r="I54" s="6"/>
      <c r="J54" s="6">
        <f t="shared" si="0"/>
        <v>85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225</v>
      </c>
      <c r="D56" s="6"/>
      <c r="E56" s="6"/>
      <c r="F56" s="6"/>
      <c r="G56" s="6"/>
      <c r="H56" s="6"/>
      <c r="I56" s="6"/>
      <c r="J56" s="6">
        <f t="shared" si="0"/>
        <v>225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25</v>
      </c>
      <c r="D58" s="6"/>
      <c r="E58" s="6"/>
      <c r="F58" s="6"/>
      <c r="G58" s="6"/>
      <c r="H58" s="6"/>
      <c r="I58" s="6"/>
      <c r="J58" s="6">
        <f t="shared" si="0"/>
        <v>25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33</v>
      </c>
      <c r="D60" s="6"/>
      <c r="E60" s="6"/>
      <c r="F60" s="6"/>
      <c r="G60" s="6"/>
      <c r="H60" s="6"/>
      <c r="I60" s="6"/>
      <c r="J60" s="6">
        <f t="shared" si="0"/>
        <v>33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1</v>
      </c>
      <c r="D61" s="6"/>
      <c r="E61" s="6"/>
      <c r="F61" s="6"/>
      <c r="G61" s="6"/>
      <c r="H61" s="6"/>
      <c r="I61" s="6"/>
      <c r="J61" s="6">
        <f t="shared" si="0"/>
        <v>1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1</v>
      </c>
      <c r="D63" s="6"/>
      <c r="E63" s="6"/>
      <c r="F63" s="6"/>
      <c r="G63" s="6"/>
      <c r="H63" s="6"/>
      <c r="I63" s="6"/>
      <c r="J63" s="6">
        <f t="shared" si="0"/>
        <v>1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76</v>
      </c>
      <c r="D64" s="6">
        <v>0</v>
      </c>
      <c r="E64" s="6"/>
      <c r="F64" s="6"/>
      <c r="G64" s="6"/>
      <c r="H64" s="6"/>
      <c r="I64" s="6">
        <v>76</v>
      </c>
      <c r="J64" s="6">
        <f t="shared" si="0"/>
        <v>0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108</v>
      </c>
      <c r="C65" s="6">
        <v>9</v>
      </c>
      <c r="D65" s="6"/>
      <c r="E65" s="6"/>
      <c r="F65" s="6"/>
      <c r="G65" s="6"/>
      <c r="H65" s="6"/>
      <c r="I65" s="6"/>
      <c r="J65" s="6">
        <f t="shared" si="0"/>
        <v>9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0</v>
      </c>
      <c r="D66" s="6"/>
      <c r="E66" s="6"/>
      <c r="F66" s="6"/>
      <c r="G66" s="6"/>
      <c r="H66" s="6"/>
      <c r="I66" s="6"/>
      <c r="J66" s="6">
        <f t="shared" si="0"/>
        <v>0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17</v>
      </c>
      <c r="D67" s="6"/>
      <c r="E67" s="6"/>
      <c r="F67" s="6"/>
      <c r="G67" s="6"/>
      <c r="H67" s="6"/>
      <c r="I67" s="6"/>
      <c r="J67" s="6">
        <f t="shared" si="0"/>
        <v>17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43</v>
      </c>
      <c r="D68" s="6"/>
      <c r="E68" s="6"/>
      <c r="F68" s="6"/>
      <c r="G68" s="6"/>
      <c r="H68" s="6"/>
      <c r="I68" s="6">
        <v>1</v>
      </c>
      <c r="J68" s="6">
        <f t="shared" ref="J68:J78" si="1">+C68-E68-F68-G68-H68-I68+D68</f>
        <v>42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25</v>
      </c>
      <c r="D69" s="6"/>
      <c r="E69" s="6"/>
      <c r="F69" s="6"/>
      <c r="G69" s="6"/>
      <c r="H69" s="6"/>
      <c r="I69" s="6"/>
      <c r="J69" s="6">
        <f t="shared" si="1"/>
        <v>25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3</v>
      </c>
      <c r="D70" s="6"/>
      <c r="E70" s="6"/>
      <c r="F70" s="6"/>
      <c r="G70" s="6"/>
      <c r="H70" s="6"/>
      <c r="I70" s="6">
        <v>1</v>
      </c>
      <c r="J70" s="6">
        <f t="shared" si="1"/>
        <v>2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17</v>
      </c>
      <c r="D71" s="6"/>
      <c r="E71" s="6"/>
      <c r="F71" s="6"/>
      <c r="G71" s="6"/>
      <c r="H71" s="6"/>
      <c r="I71" s="6"/>
      <c r="J71" s="6">
        <f t="shared" si="1"/>
        <v>17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</v>
      </c>
      <c r="D72" s="6"/>
      <c r="E72" s="6"/>
      <c r="F72" s="6"/>
      <c r="G72" s="6"/>
      <c r="H72" s="6"/>
      <c r="I72" s="6"/>
      <c r="J72" s="6">
        <f t="shared" si="1"/>
        <v>3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36</v>
      </c>
      <c r="D73" s="6"/>
      <c r="E73" s="6"/>
      <c r="F73" s="6"/>
      <c r="G73" s="6"/>
      <c r="H73" s="6"/>
      <c r="I73" s="6"/>
      <c r="J73" s="6">
        <f t="shared" si="1"/>
        <v>36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376</v>
      </c>
      <c r="D74" s="6"/>
      <c r="E74" s="6"/>
      <c r="F74" s="6"/>
      <c r="G74" s="6"/>
      <c r="H74" s="6">
        <v>6</v>
      </c>
      <c r="I74" s="6">
        <v>3</v>
      </c>
      <c r="J74" s="6">
        <f t="shared" si="1"/>
        <v>367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332</v>
      </c>
      <c r="D75" s="6"/>
      <c r="E75" s="6"/>
      <c r="F75" s="6"/>
      <c r="G75" s="6"/>
      <c r="H75" s="6">
        <v>4</v>
      </c>
      <c r="I75" s="6"/>
      <c r="J75" s="6">
        <f t="shared" si="1"/>
        <v>328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84</v>
      </c>
      <c r="D76" s="6"/>
      <c r="E76" s="6"/>
      <c r="F76" s="6"/>
      <c r="G76" s="6"/>
      <c r="H76" s="6"/>
      <c r="I76" s="6"/>
      <c r="J76" s="6">
        <f t="shared" si="1"/>
        <v>84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32</v>
      </c>
      <c r="D77" s="6"/>
      <c r="E77" s="6"/>
      <c r="F77" s="6"/>
      <c r="G77" s="6"/>
      <c r="H77" s="6">
        <v>2</v>
      </c>
      <c r="I77" s="6"/>
      <c r="J77" s="6">
        <f t="shared" si="1"/>
        <v>30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92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8"/>
  <sheetViews>
    <sheetView zoomScaleNormal="100" workbookViewId="0">
      <selection activeCell="I22" sqref="I22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111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44956</v>
      </c>
      <c r="F2" s="4">
        <v>44957</v>
      </c>
      <c r="G2" s="4">
        <v>44958</v>
      </c>
      <c r="H2" s="4">
        <v>44959</v>
      </c>
      <c r="I2" s="4">
        <v>44960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130</v>
      </c>
      <c r="D3" s="6"/>
      <c r="E3" s="6"/>
      <c r="F3" s="6"/>
      <c r="G3" s="6"/>
      <c r="H3" s="6"/>
      <c r="I3" s="6"/>
      <c r="J3" s="6">
        <f>+C3-E3-F3-G3-H3-I3+D3</f>
        <v>130</v>
      </c>
      <c r="K3" s="13">
        <v>10</v>
      </c>
      <c r="L3" s="14">
        <v>50</v>
      </c>
    </row>
    <row r="4" spans="1:12" x14ac:dyDescent="0.25">
      <c r="A4" s="6">
        <v>2</v>
      </c>
      <c r="B4" s="7" t="s">
        <v>102</v>
      </c>
      <c r="C4" s="6">
        <v>31</v>
      </c>
      <c r="D4" s="6"/>
      <c r="E4" s="6"/>
      <c r="F4" s="6"/>
      <c r="G4" s="6"/>
      <c r="H4" s="6"/>
      <c r="I4" s="6"/>
      <c r="J4" s="6">
        <f t="shared" ref="J4:J67" si="0">+C4-E4-F4-G4-H4-I4+D4</f>
        <v>31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42</v>
      </c>
      <c r="D5" s="6"/>
      <c r="E5" s="6"/>
      <c r="F5" s="6"/>
      <c r="G5" s="6"/>
      <c r="H5" s="6">
        <v>25</v>
      </c>
      <c r="I5" s="6"/>
      <c r="J5" s="6">
        <f t="shared" si="0"/>
        <v>17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25</v>
      </c>
      <c r="D6" s="6">
        <v>45</v>
      </c>
      <c r="E6" s="6">
        <v>0</v>
      </c>
      <c r="F6" s="6">
        <v>25</v>
      </c>
      <c r="G6" s="6"/>
      <c r="H6" s="6"/>
      <c r="I6" s="6"/>
      <c r="J6" s="6">
        <f t="shared" si="0"/>
        <v>45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45</v>
      </c>
      <c r="D7" s="6"/>
      <c r="E7" s="6">
        <v>3</v>
      </c>
      <c r="F7" s="6">
        <v>3</v>
      </c>
      <c r="G7" s="6">
        <v>2</v>
      </c>
      <c r="H7" s="6"/>
      <c r="I7" s="6"/>
      <c r="J7" s="6">
        <f t="shared" si="0"/>
        <v>37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33</v>
      </c>
      <c r="D8" s="6"/>
      <c r="E8" s="6"/>
      <c r="F8" s="6"/>
      <c r="G8" s="6"/>
      <c r="H8" s="6"/>
      <c r="I8" s="6"/>
      <c r="J8" s="6">
        <f t="shared" si="0"/>
        <v>33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/>
      <c r="E9" s="6"/>
      <c r="F9" s="6"/>
      <c r="G9" s="6"/>
      <c r="H9" s="6"/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0</v>
      </c>
      <c r="D10" s="6"/>
      <c r="E10" s="6"/>
      <c r="F10" s="6"/>
      <c r="G10" s="6"/>
      <c r="H10" s="6"/>
      <c r="I10" s="6"/>
      <c r="J10" s="6">
        <f t="shared" si="0"/>
        <v>0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218</v>
      </c>
      <c r="D11" s="6"/>
      <c r="E11" s="6"/>
      <c r="F11" s="6"/>
      <c r="G11" s="6">
        <v>2</v>
      </c>
      <c r="H11" s="6"/>
      <c r="I11" s="6"/>
      <c r="J11" s="6">
        <f t="shared" si="0"/>
        <v>216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457</v>
      </c>
      <c r="D12" s="6"/>
      <c r="E12" s="6"/>
      <c r="F12" s="6"/>
      <c r="G12" s="6"/>
      <c r="H12" s="6"/>
      <c r="I12" s="6"/>
      <c r="J12" s="6">
        <f t="shared" si="0"/>
        <v>457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14</v>
      </c>
      <c r="D13" s="6"/>
      <c r="E13" s="6"/>
      <c r="F13" s="6"/>
      <c r="G13" s="6"/>
      <c r="H13" s="6"/>
      <c r="I13" s="6"/>
      <c r="J13" s="6">
        <f t="shared" si="0"/>
        <v>14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0</v>
      </c>
      <c r="D14" s="6"/>
      <c r="E14" s="6"/>
      <c r="F14" s="6"/>
      <c r="G14" s="6"/>
      <c r="H14" s="6"/>
      <c r="I14" s="6"/>
      <c r="J14" s="6">
        <f t="shared" si="0"/>
        <v>0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75</v>
      </c>
      <c r="D15" s="6"/>
      <c r="E15" s="6">
        <v>2</v>
      </c>
      <c r="F15" s="6">
        <v>2</v>
      </c>
      <c r="G15" s="6"/>
      <c r="H15" s="6"/>
      <c r="I15" s="6"/>
      <c r="J15" s="6">
        <f t="shared" si="0"/>
        <v>71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151</v>
      </c>
      <c r="D16" s="6"/>
      <c r="E16" s="6"/>
      <c r="F16" s="6"/>
      <c r="G16" s="6"/>
      <c r="H16" s="6"/>
      <c r="I16" s="6"/>
      <c r="J16" s="6">
        <f t="shared" si="0"/>
        <v>151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393</v>
      </c>
      <c r="D17" s="6">
        <v>112</v>
      </c>
      <c r="E17" s="6">
        <v>9</v>
      </c>
      <c r="F17" s="6">
        <v>2</v>
      </c>
      <c r="G17" s="6">
        <v>2</v>
      </c>
      <c r="H17" s="6">
        <v>2</v>
      </c>
      <c r="I17" s="6">
        <v>110</v>
      </c>
      <c r="J17" s="6">
        <f t="shared" si="0"/>
        <v>380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37</v>
      </c>
      <c r="D18" s="6"/>
      <c r="E18" s="6"/>
      <c r="F18" s="6"/>
      <c r="G18" s="6"/>
      <c r="H18" s="6"/>
      <c r="I18" s="6"/>
      <c r="J18" s="6">
        <f t="shared" si="0"/>
        <v>37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26</v>
      </c>
      <c r="D19" s="6"/>
      <c r="E19" s="6">
        <v>4</v>
      </c>
      <c r="F19" s="6"/>
      <c r="G19" s="6"/>
      <c r="H19" s="6"/>
      <c r="I19" s="6"/>
      <c r="J19" s="6">
        <f t="shared" si="0"/>
        <v>22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51</v>
      </c>
      <c r="D20" s="6"/>
      <c r="E20" s="6"/>
      <c r="F20" s="6"/>
      <c r="G20" s="6"/>
      <c r="H20" s="6"/>
      <c r="I20" s="6"/>
      <c r="J20" s="6">
        <f t="shared" si="0"/>
        <v>51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59</v>
      </c>
      <c r="D21" s="6"/>
      <c r="E21" s="6"/>
      <c r="F21" s="6">
        <v>1</v>
      </c>
      <c r="G21" s="6"/>
      <c r="H21" s="6">
        <v>2</v>
      </c>
      <c r="I21" s="6">
        <v>8</v>
      </c>
      <c r="J21" s="6">
        <f t="shared" si="0"/>
        <v>48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36</v>
      </c>
      <c r="D22" s="6"/>
      <c r="E22" s="6"/>
      <c r="F22" s="6"/>
      <c r="G22" s="6"/>
      <c r="H22" s="6"/>
      <c r="I22" s="6"/>
      <c r="J22" s="6">
        <f t="shared" si="0"/>
        <v>36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</v>
      </c>
      <c r="D23" s="6"/>
      <c r="E23" s="6"/>
      <c r="F23" s="6"/>
      <c r="G23" s="6"/>
      <c r="H23" s="6"/>
      <c r="I23" s="6"/>
      <c r="J23" s="6">
        <f t="shared" si="0"/>
        <v>1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0</v>
      </c>
      <c r="D24" s="6"/>
      <c r="E24" s="6"/>
      <c r="F24" s="6"/>
      <c r="G24" s="6"/>
      <c r="H24" s="6"/>
      <c r="I24" s="6"/>
      <c r="J24" s="6">
        <f t="shared" si="0"/>
        <v>0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36</v>
      </c>
      <c r="D25" s="6"/>
      <c r="E25" s="6"/>
      <c r="F25" s="6"/>
      <c r="G25" s="6"/>
      <c r="H25" s="6"/>
      <c r="I25" s="6"/>
      <c r="J25" s="6">
        <f t="shared" si="0"/>
        <v>36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220</v>
      </c>
      <c r="D26" s="6"/>
      <c r="E26" s="6"/>
      <c r="F26" s="6"/>
      <c r="G26" s="6"/>
      <c r="H26" s="6"/>
      <c r="I26" s="6"/>
      <c r="J26" s="6">
        <f t="shared" si="0"/>
        <v>220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45</v>
      </c>
      <c r="D29" s="6"/>
      <c r="E29" s="6"/>
      <c r="F29" s="6"/>
      <c r="G29" s="6"/>
      <c r="H29" s="6"/>
      <c r="I29" s="6"/>
      <c r="J29" s="6">
        <f t="shared" si="0"/>
        <v>45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30</v>
      </c>
      <c r="D30" s="6"/>
      <c r="E30" s="6"/>
      <c r="F30" s="6"/>
      <c r="G30" s="6"/>
      <c r="H30" s="6"/>
      <c r="I30" s="6"/>
      <c r="J30" s="6">
        <f t="shared" si="0"/>
        <v>30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8</v>
      </c>
      <c r="D31" s="6"/>
      <c r="E31" s="6"/>
      <c r="F31" s="6"/>
      <c r="G31" s="6"/>
      <c r="H31" s="6"/>
      <c r="I31" s="6"/>
      <c r="J31" s="6">
        <f t="shared" si="0"/>
        <v>8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418</v>
      </c>
      <c r="D32" s="6"/>
      <c r="E32" s="6">
        <v>100</v>
      </c>
      <c r="F32" s="6"/>
      <c r="G32" s="6"/>
      <c r="H32" s="6"/>
      <c r="I32" s="6"/>
      <c r="J32" s="6">
        <f t="shared" si="0"/>
        <v>318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377</v>
      </c>
      <c r="D36" s="6"/>
      <c r="E36" s="6"/>
      <c r="F36" s="6"/>
      <c r="G36" s="6"/>
      <c r="H36" s="6"/>
      <c r="I36" s="6"/>
      <c r="J36" s="6">
        <f t="shared" si="0"/>
        <v>377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104</v>
      </c>
      <c r="D37" s="6"/>
      <c r="E37" s="6"/>
      <c r="F37" s="6"/>
      <c r="G37" s="6"/>
      <c r="H37" s="6"/>
      <c r="I37" s="6"/>
      <c r="J37" s="6">
        <f t="shared" si="0"/>
        <v>104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57</v>
      </c>
      <c r="D39" s="6"/>
      <c r="E39" s="6"/>
      <c r="F39" s="6"/>
      <c r="G39" s="6"/>
      <c r="H39" s="6"/>
      <c r="I39" s="6"/>
      <c r="J39" s="6">
        <f t="shared" si="0"/>
        <v>57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43</v>
      </c>
      <c r="D40" s="6"/>
      <c r="E40" s="6"/>
      <c r="F40" s="6"/>
      <c r="G40" s="6"/>
      <c r="H40" s="6"/>
      <c r="I40" s="6"/>
      <c r="J40" s="6">
        <f t="shared" si="0"/>
        <v>43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87</v>
      </c>
      <c r="D41" s="6"/>
      <c r="E41" s="6"/>
      <c r="F41" s="6"/>
      <c r="G41" s="6"/>
      <c r="H41" s="6"/>
      <c r="I41" s="6"/>
      <c r="J41" s="6">
        <f t="shared" si="0"/>
        <v>87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34</v>
      </c>
      <c r="D42" s="6"/>
      <c r="E42" s="6">
        <v>3</v>
      </c>
      <c r="F42" s="6"/>
      <c r="G42" s="6"/>
      <c r="H42" s="6"/>
      <c r="I42" s="6"/>
      <c r="J42" s="6">
        <f t="shared" si="0"/>
        <v>31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31</v>
      </c>
      <c r="D43" s="6">
        <v>322</v>
      </c>
      <c r="E43" s="6"/>
      <c r="F43" s="6"/>
      <c r="G43" s="6"/>
      <c r="H43" s="6"/>
      <c r="I43" s="6">
        <v>34</v>
      </c>
      <c r="J43" s="6">
        <f t="shared" si="0"/>
        <v>319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58</v>
      </c>
      <c r="D44" s="6"/>
      <c r="E44" s="6"/>
      <c r="F44" s="6"/>
      <c r="G44" s="6"/>
      <c r="H44" s="6"/>
      <c r="I44" s="6"/>
      <c r="J44" s="6">
        <f t="shared" si="0"/>
        <v>58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16</v>
      </c>
      <c r="D45" s="6"/>
      <c r="E45" s="6"/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60</v>
      </c>
      <c r="D46" s="6"/>
      <c r="E46" s="6">
        <v>5</v>
      </c>
      <c r="F46" s="6"/>
      <c r="G46" s="6"/>
      <c r="H46" s="6"/>
      <c r="I46" s="6"/>
      <c r="J46" s="6">
        <f t="shared" si="0"/>
        <v>55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15</v>
      </c>
      <c r="D47" s="6"/>
      <c r="E47" s="6"/>
      <c r="F47" s="6"/>
      <c r="G47" s="6"/>
      <c r="H47" s="6"/>
      <c r="I47" s="6"/>
      <c r="J47" s="6">
        <f t="shared" si="0"/>
        <v>15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39</v>
      </c>
      <c r="D49" s="6"/>
      <c r="E49" s="6"/>
      <c r="F49" s="6"/>
      <c r="G49" s="6"/>
      <c r="H49" s="6"/>
      <c r="I49" s="6"/>
      <c r="J49" s="6">
        <f t="shared" si="0"/>
        <v>39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89</v>
      </c>
      <c r="D50" s="6"/>
      <c r="E50" s="6">
        <v>12</v>
      </c>
      <c r="F50" s="6"/>
      <c r="G50" s="6"/>
      <c r="H50" s="6"/>
      <c r="I50" s="6">
        <v>7</v>
      </c>
      <c r="J50" s="6">
        <f t="shared" si="0"/>
        <v>70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35</v>
      </c>
      <c r="D51" s="6"/>
      <c r="E51" s="6">
        <v>1</v>
      </c>
      <c r="F51" s="6"/>
      <c r="G51" s="6"/>
      <c r="H51" s="6"/>
      <c r="I51" s="6"/>
      <c r="J51" s="6">
        <f t="shared" si="0"/>
        <v>34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15</v>
      </c>
      <c r="D52" s="6"/>
      <c r="E52" s="6"/>
      <c r="F52" s="6"/>
      <c r="G52" s="6"/>
      <c r="H52" s="6"/>
      <c r="I52" s="6"/>
      <c r="J52" s="6">
        <f t="shared" si="0"/>
        <v>15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19</v>
      </c>
      <c r="D53" s="6"/>
      <c r="E53" s="6"/>
      <c r="F53" s="6"/>
      <c r="G53" s="6"/>
      <c r="H53" s="6"/>
      <c r="I53" s="6"/>
      <c r="J53" s="6">
        <f t="shared" si="0"/>
        <v>19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85</v>
      </c>
      <c r="D54" s="6"/>
      <c r="E54" s="6"/>
      <c r="F54" s="6"/>
      <c r="G54" s="6"/>
      <c r="H54" s="6"/>
      <c r="I54" s="6"/>
      <c r="J54" s="6">
        <f t="shared" si="0"/>
        <v>85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225</v>
      </c>
      <c r="D56" s="6"/>
      <c r="E56" s="6"/>
      <c r="F56" s="6"/>
      <c r="G56" s="6"/>
      <c r="H56" s="6"/>
      <c r="I56" s="6"/>
      <c r="J56" s="6">
        <f t="shared" si="0"/>
        <v>225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25</v>
      </c>
      <c r="D58" s="6"/>
      <c r="E58" s="6"/>
      <c r="F58" s="6"/>
      <c r="G58" s="6"/>
      <c r="H58" s="6"/>
      <c r="I58" s="6"/>
      <c r="J58" s="6">
        <f t="shared" si="0"/>
        <v>25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33</v>
      </c>
      <c r="D60" s="6"/>
      <c r="E60" s="6"/>
      <c r="F60" s="6"/>
      <c r="G60" s="6"/>
      <c r="H60" s="6"/>
      <c r="I60" s="6"/>
      <c r="J60" s="6">
        <f t="shared" si="0"/>
        <v>33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1</v>
      </c>
      <c r="D61" s="6"/>
      <c r="E61" s="6"/>
      <c r="F61" s="6"/>
      <c r="G61" s="6"/>
      <c r="H61" s="6"/>
      <c r="I61" s="6"/>
      <c r="J61" s="6">
        <f t="shared" si="0"/>
        <v>1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1</v>
      </c>
      <c r="D63" s="6"/>
      <c r="E63" s="6"/>
      <c r="F63" s="6"/>
      <c r="G63" s="6"/>
      <c r="H63" s="6"/>
      <c r="I63" s="6"/>
      <c r="J63" s="6">
        <f t="shared" si="0"/>
        <v>1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0</v>
      </c>
      <c r="D64" s="6">
        <v>250</v>
      </c>
      <c r="E64" s="6"/>
      <c r="F64" s="6"/>
      <c r="G64" s="6">
        <v>154</v>
      </c>
      <c r="H64" s="6"/>
      <c r="I64" s="6"/>
      <c r="J64" s="6">
        <f t="shared" si="0"/>
        <v>96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108</v>
      </c>
      <c r="C65" s="6">
        <v>9</v>
      </c>
      <c r="D65" s="6"/>
      <c r="E65" s="6"/>
      <c r="F65" s="6"/>
      <c r="G65" s="6"/>
      <c r="H65" s="6"/>
      <c r="I65" s="6"/>
      <c r="J65" s="6">
        <f t="shared" si="0"/>
        <v>9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0</v>
      </c>
      <c r="D66" s="6"/>
      <c r="E66" s="6"/>
      <c r="F66" s="6"/>
      <c r="G66" s="6"/>
      <c r="H66" s="6"/>
      <c r="I66" s="6"/>
      <c r="J66" s="6">
        <f t="shared" si="0"/>
        <v>0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17</v>
      </c>
      <c r="D67" s="6"/>
      <c r="E67" s="6"/>
      <c r="F67" s="6"/>
      <c r="G67" s="6">
        <v>8</v>
      </c>
      <c r="H67" s="6"/>
      <c r="I67" s="6"/>
      <c r="J67" s="6">
        <f t="shared" si="0"/>
        <v>9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42</v>
      </c>
      <c r="D68" s="6"/>
      <c r="E68" s="6"/>
      <c r="F68" s="6"/>
      <c r="G68" s="6"/>
      <c r="H68" s="6"/>
      <c r="I68" s="6"/>
      <c r="J68" s="6">
        <f t="shared" ref="J68:J78" si="1">+C68-E68-F68-G68-H68-I68+D68</f>
        <v>42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25</v>
      </c>
      <c r="D69" s="6"/>
      <c r="E69" s="6"/>
      <c r="F69" s="6"/>
      <c r="G69" s="6"/>
      <c r="H69" s="6"/>
      <c r="I69" s="6"/>
      <c r="J69" s="6">
        <f t="shared" si="1"/>
        <v>25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2</v>
      </c>
      <c r="D70" s="6"/>
      <c r="E70" s="6"/>
      <c r="F70" s="6"/>
      <c r="G70" s="6"/>
      <c r="H70" s="6"/>
      <c r="I70" s="6">
        <v>1</v>
      </c>
      <c r="J70" s="6">
        <f t="shared" si="1"/>
        <v>1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17</v>
      </c>
      <c r="D71" s="6"/>
      <c r="E71" s="6"/>
      <c r="F71" s="6"/>
      <c r="G71" s="6"/>
      <c r="H71" s="6"/>
      <c r="I71" s="6"/>
      <c r="J71" s="6">
        <f t="shared" si="1"/>
        <v>17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</v>
      </c>
      <c r="D72" s="6"/>
      <c r="E72" s="6"/>
      <c r="F72" s="6"/>
      <c r="G72" s="6"/>
      <c r="H72" s="6"/>
      <c r="I72" s="6"/>
      <c r="J72" s="6">
        <f t="shared" si="1"/>
        <v>3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36</v>
      </c>
      <c r="D73" s="6"/>
      <c r="E73" s="6"/>
      <c r="F73" s="6"/>
      <c r="G73" s="6"/>
      <c r="H73" s="6"/>
      <c r="I73" s="6"/>
      <c r="J73" s="6">
        <f t="shared" si="1"/>
        <v>36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367</v>
      </c>
      <c r="D74" s="6"/>
      <c r="E74" s="6"/>
      <c r="F74" s="6"/>
      <c r="G74" s="6"/>
      <c r="H74" s="6"/>
      <c r="I74" s="6"/>
      <c r="J74" s="6">
        <f t="shared" si="1"/>
        <v>367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328</v>
      </c>
      <c r="D75" s="6"/>
      <c r="E75" s="6"/>
      <c r="F75" s="6"/>
      <c r="G75" s="6"/>
      <c r="H75" s="6"/>
      <c r="I75" s="6"/>
      <c r="J75" s="6">
        <f t="shared" si="1"/>
        <v>328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84</v>
      </c>
      <c r="D76" s="6"/>
      <c r="E76" s="6"/>
      <c r="F76" s="6"/>
      <c r="G76" s="6">
        <v>8</v>
      </c>
      <c r="H76" s="6"/>
      <c r="I76" s="6"/>
      <c r="J76" s="6">
        <f t="shared" si="1"/>
        <v>76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30</v>
      </c>
      <c r="D77" s="6"/>
      <c r="E77" s="6"/>
      <c r="F77" s="6"/>
      <c r="G77" s="6"/>
      <c r="H77" s="6"/>
      <c r="I77" s="6"/>
      <c r="J77" s="6">
        <f t="shared" si="1"/>
        <v>30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92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78"/>
  <sheetViews>
    <sheetView zoomScaleNormal="100" workbookViewId="0">
      <selection activeCell="H2" sqref="H2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t="s">
        <v>112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45005</v>
      </c>
      <c r="F2" s="4">
        <v>45006</v>
      </c>
      <c r="G2" s="4">
        <v>45007</v>
      </c>
      <c r="H2" s="4">
        <v>45008</v>
      </c>
      <c r="I2" s="4">
        <v>45077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130</v>
      </c>
      <c r="D3" s="6"/>
      <c r="E3" s="6"/>
      <c r="F3" s="6"/>
      <c r="G3" s="6"/>
      <c r="H3" s="6"/>
      <c r="I3" s="6"/>
      <c r="J3" s="6">
        <f>+C3-E3-F3-G3-H3-I3+D3</f>
        <v>130</v>
      </c>
      <c r="K3" s="13">
        <v>10</v>
      </c>
      <c r="L3" s="14">
        <v>50</v>
      </c>
    </row>
    <row r="4" spans="1:12" x14ac:dyDescent="0.25">
      <c r="A4" s="6">
        <v>2</v>
      </c>
      <c r="B4" s="7" t="s">
        <v>102</v>
      </c>
      <c r="C4" s="6">
        <v>31</v>
      </c>
      <c r="D4" s="6"/>
      <c r="E4" s="6"/>
      <c r="F4" s="6"/>
      <c r="G4" s="6"/>
      <c r="H4" s="6"/>
      <c r="I4" s="6"/>
      <c r="J4" s="6">
        <f t="shared" ref="J4:J67" si="0">+C4-E4-F4-G4-H4-I4+D4</f>
        <v>31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17</v>
      </c>
      <c r="D5" s="6"/>
      <c r="E5" s="6"/>
      <c r="F5" s="6"/>
      <c r="G5" s="6"/>
      <c r="H5" s="6"/>
      <c r="I5" s="6"/>
      <c r="J5" s="6">
        <f t="shared" si="0"/>
        <v>17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35</v>
      </c>
      <c r="D6" s="6">
        <v>20</v>
      </c>
      <c r="E6" s="6">
        <v>2</v>
      </c>
      <c r="F6" s="6"/>
      <c r="G6" s="6"/>
      <c r="H6" s="6">
        <v>2</v>
      </c>
      <c r="I6" s="6"/>
      <c r="J6" s="6">
        <f t="shared" si="0"/>
        <v>51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37</v>
      </c>
      <c r="D7" s="6">
        <v>30</v>
      </c>
      <c r="E7" s="6">
        <v>2</v>
      </c>
      <c r="F7" s="6"/>
      <c r="G7" s="6"/>
      <c r="H7" s="6">
        <v>2</v>
      </c>
      <c r="I7" s="6"/>
      <c r="J7" s="6">
        <f t="shared" si="0"/>
        <v>63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33</v>
      </c>
      <c r="D8" s="6"/>
      <c r="E8" s="6"/>
      <c r="F8" s="6">
        <v>1</v>
      </c>
      <c r="G8" s="6"/>
      <c r="H8" s="6"/>
      <c r="I8" s="6"/>
      <c r="J8" s="6">
        <f t="shared" si="0"/>
        <v>32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>
        <v>6</v>
      </c>
      <c r="E9" s="6"/>
      <c r="F9" s="6"/>
      <c r="G9" s="6"/>
      <c r="H9" s="6"/>
      <c r="I9" s="6"/>
      <c r="J9" s="6">
        <f t="shared" si="0"/>
        <v>6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0</v>
      </c>
      <c r="D10" s="6"/>
      <c r="E10" s="6"/>
      <c r="F10" s="6"/>
      <c r="G10" s="6"/>
      <c r="H10" s="6"/>
      <c r="I10" s="6"/>
      <c r="J10" s="6">
        <f t="shared" si="0"/>
        <v>0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216</v>
      </c>
      <c r="D11" s="6"/>
      <c r="E11" s="6">
        <v>120</v>
      </c>
      <c r="F11" s="6"/>
      <c r="G11" s="6"/>
      <c r="H11" s="6">
        <v>60</v>
      </c>
      <c r="I11" s="6"/>
      <c r="J11" s="6">
        <f t="shared" si="0"/>
        <v>36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571</v>
      </c>
      <c r="D12" s="6">
        <v>505</v>
      </c>
      <c r="E12" s="6">
        <v>100</v>
      </c>
      <c r="F12" s="6">
        <v>0</v>
      </c>
      <c r="G12" s="6">
        <v>221</v>
      </c>
      <c r="H12" s="6">
        <v>250</v>
      </c>
      <c r="I12" s="6">
        <v>0</v>
      </c>
      <c r="J12" s="6">
        <f t="shared" si="0"/>
        <v>505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14</v>
      </c>
      <c r="D13" s="6"/>
      <c r="E13" s="6"/>
      <c r="F13" s="6"/>
      <c r="G13" s="6"/>
      <c r="H13" s="6"/>
      <c r="I13" s="6"/>
      <c r="J13" s="6">
        <f t="shared" si="0"/>
        <v>14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0</v>
      </c>
      <c r="D14" s="6"/>
      <c r="E14" s="6"/>
      <c r="F14" s="6"/>
      <c r="G14" s="6"/>
      <c r="H14" s="6"/>
      <c r="I14" s="6"/>
      <c r="J14" s="6">
        <f t="shared" si="0"/>
        <v>0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71</v>
      </c>
      <c r="D15" s="6"/>
      <c r="E15" s="6"/>
      <c r="F15" s="6"/>
      <c r="G15" s="6"/>
      <c r="H15" s="6"/>
      <c r="I15" s="6"/>
      <c r="J15" s="6">
        <f t="shared" si="0"/>
        <v>71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151</v>
      </c>
      <c r="D16" s="6"/>
      <c r="E16" s="6"/>
      <c r="F16" s="6"/>
      <c r="G16" s="6"/>
      <c r="H16" s="6"/>
      <c r="I16" s="6"/>
      <c r="J16" s="6">
        <f t="shared" si="0"/>
        <v>151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380</v>
      </c>
      <c r="D17" s="6"/>
      <c r="E17" s="6"/>
      <c r="F17" s="6"/>
      <c r="G17" s="6"/>
      <c r="H17" s="6">
        <v>43</v>
      </c>
      <c r="I17" s="6"/>
      <c r="J17" s="6">
        <f t="shared" si="0"/>
        <v>337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37</v>
      </c>
      <c r="D18" s="6">
        <v>100</v>
      </c>
      <c r="E18" s="6"/>
      <c r="F18" s="6"/>
      <c r="G18" s="6"/>
      <c r="H18" s="6"/>
      <c r="I18" s="6"/>
      <c r="J18" s="6">
        <f t="shared" si="0"/>
        <v>137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22</v>
      </c>
      <c r="D19" s="6"/>
      <c r="E19" s="6"/>
      <c r="F19" s="6"/>
      <c r="G19" s="6"/>
      <c r="H19" s="6"/>
      <c r="I19" s="6"/>
      <c r="J19" s="6">
        <f t="shared" si="0"/>
        <v>22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51</v>
      </c>
      <c r="D20" s="6"/>
      <c r="E20" s="6"/>
      <c r="F20" s="6"/>
      <c r="G20" s="6"/>
      <c r="H20" s="6"/>
      <c r="I20" s="6"/>
      <c r="J20" s="6">
        <f t="shared" si="0"/>
        <v>51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48</v>
      </c>
      <c r="D21" s="6"/>
      <c r="E21" s="6">
        <v>10</v>
      </c>
      <c r="F21" s="6"/>
      <c r="G21" s="6"/>
      <c r="H21" s="6"/>
      <c r="I21" s="6"/>
      <c r="J21" s="6">
        <f t="shared" si="0"/>
        <v>38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36</v>
      </c>
      <c r="D22" s="6"/>
      <c r="E22" s="6">
        <v>4</v>
      </c>
      <c r="F22" s="6"/>
      <c r="G22" s="6"/>
      <c r="H22" s="6"/>
      <c r="I22" s="6"/>
      <c r="J22" s="6">
        <f t="shared" si="0"/>
        <v>32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</v>
      </c>
      <c r="D23" s="6"/>
      <c r="E23" s="6"/>
      <c r="F23" s="6"/>
      <c r="G23" s="6"/>
      <c r="H23" s="6"/>
      <c r="I23" s="6"/>
      <c r="J23" s="6">
        <f t="shared" si="0"/>
        <v>1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0</v>
      </c>
      <c r="D24" s="6"/>
      <c r="E24" s="6"/>
      <c r="F24" s="6"/>
      <c r="G24" s="6"/>
      <c r="H24" s="6"/>
      <c r="I24" s="6"/>
      <c r="J24" s="6">
        <f t="shared" si="0"/>
        <v>0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36</v>
      </c>
      <c r="D25" s="6"/>
      <c r="E25" s="6"/>
      <c r="F25" s="6"/>
      <c r="G25" s="6"/>
      <c r="H25" s="6"/>
      <c r="I25" s="6"/>
      <c r="J25" s="6">
        <f t="shared" si="0"/>
        <v>36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220</v>
      </c>
      <c r="D26" s="6"/>
      <c r="E26" s="6"/>
      <c r="F26" s="6"/>
      <c r="G26" s="6"/>
      <c r="H26" s="6"/>
      <c r="I26" s="6"/>
      <c r="J26" s="6">
        <f t="shared" si="0"/>
        <v>220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45</v>
      </c>
      <c r="D29" s="6"/>
      <c r="E29" s="6"/>
      <c r="F29" s="6"/>
      <c r="G29" s="6"/>
      <c r="H29" s="6"/>
      <c r="I29" s="6"/>
      <c r="J29" s="6">
        <f t="shared" si="0"/>
        <v>45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30</v>
      </c>
      <c r="D30" s="6"/>
      <c r="E30" s="6"/>
      <c r="F30" s="6"/>
      <c r="G30" s="6"/>
      <c r="H30" s="6"/>
      <c r="I30" s="6"/>
      <c r="J30" s="6">
        <f t="shared" si="0"/>
        <v>30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8</v>
      </c>
      <c r="D31" s="6"/>
      <c r="E31" s="6"/>
      <c r="F31" s="6"/>
      <c r="G31" s="6"/>
      <c r="H31" s="6"/>
      <c r="I31" s="6"/>
      <c r="J31" s="6">
        <f t="shared" si="0"/>
        <v>8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318</v>
      </c>
      <c r="D32" s="6">
        <v>385</v>
      </c>
      <c r="E32" s="6"/>
      <c r="F32" s="6"/>
      <c r="G32" s="6"/>
      <c r="H32" s="6"/>
      <c r="I32" s="6"/>
      <c r="J32" s="6">
        <f t="shared" si="0"/>
        <v>703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377</v>
      </c>
      <c r="D36" s="6"/>
      <c r="E36" s="6"/>
      <c r="F36" s="6"/>
      <c r="G36" s="6"/>
      <c r="H36" s="6"/>
      <c r="I36" s="6"/>
      <c r="J36" s="6">
        <f t="shared" si="0"/>
        <v>377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104</v>
      </c>
      <c r="D37" s="6"/>
      <c r="E37" s="6">
        <v>9</v>
      </c>
      <c r="F37" s="6"/>
      <c r="G37" s="6"/>
      <c r="H37" s="6"/>
      <c r="I37" s="6"/>
      <c r="J37" s="6">
        <f t="shared" si="0"/>
        <v>95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57</v>
      </c>
      <c r="D39" s="6"/>
      <c r="E39" s="6"/>
      <c r="F39" s="6"/>
      <c r="G39" s="6"/>
      <c r="H39" s="6">
        <v>2</v>
      </c>
      <c r="I39" s="6"/>
      <c r="J39" s="6">
        <f t="shared" si="0"/>
        <v>55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43</v>
      </c>
      <c r="D40" s="6"/>
      <c r="E40" s="6"/>
      <c r="F40" s="6">
        <v>6</v>
      </c>
      <c r="G40" s="6"/>
      <c r="H40" s="6">
        <v>2</v>
      </c>
      <c r="I40" s="6"/>
      <c r="J40" s="6">
        <f t="shared" si="0"/>
        <v>35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87</v>
      </c>
      <c r="D41" s="6"/>
      <c r="E41" s="6"/>
      <c r="F41" s="6"/>
      <c r="G41" s="6"/>
      <c r="H41" s="6"/>
      <c r="I41" s="6"/>
      <c r="J41" s="6">
        <f t="shared" si="0"/>
        <v>87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31</v>
      </c>
      <c r="D42" s="6"/>
      <c r="E42" s="6"/>
      <c r="F42" s="6"/>
      <c r="G42" s="6"/>
      <c r="H42" s="6"/>
      <c r="I42" s="6"/>
      <c r="J42" s="6">
        <f t="shared" si="0"/>
        <v>31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319</v>
      </c>
      <c r="D43" s="6"/>
      <c r="E43" s="6"/>
      <c r="F43" s="6"/>
      <c r="G43" s="6"/>
      <c r="H43" s="6"/>
      <c r="I43" s="6"/>
      <c r="J43" s="6">
        <f t="shared" si="0"/>
        <v>319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58</v>
      </c>
      <c r="D44" s="6"/>
      <c r="E44" s="6"/>
      <c r="F44" s="6"/>
      <c r="G44" s="6"/>
      <c r="H44" s="6"/>
      <c r="I44" s="6"/>
      <c r="J44" s="6">
        <f t="shared" si="0"/>
        <v>58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16</v>
      </c>
      <c r="D45" s="6"/>
      <c r="E45" s="6"/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55</v>
      </c>
      <c r="D46" s="6"/>
      <c r="E46" s="6"/>
      <c r="F46" s="6"/>
      <c r="G46" s="6"/>
      <c r="H46" s="6"/>
      <c r="I46" s="6"/>
      <c r="J46" s="6">
        <f t="shared" si="0"/>
        <v>55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15</v>
      </c>
      <c r="D47" s="6"/>
      <c r="E47" s="6"/>
      <c r="F47" s="6"/>
      <c r="G47" s="6"/>
      <c r="H47" s="6"/>
      <c r="I47" s="6"/>
      <c r="J47" s="6">
        <f t="shared" si="0"/>
        <v>15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39</v>
      </c>
      <c r="D49" s="6"/>
      <c r="E49" s="6"/>
      <c r="F49" s="6"/>
      <c r="G49" s="6"/>
      <c r="H49" s="6"/>
      <c r="I49" s="6"/>
      <c r="J49" s="6">
        <f t="shared" si="0"/>
        <v>39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70</v>
      </c>
      <c r="D50" s="6"/>
      <c r="E50" s="6"/>
      <c r="F50" s="6"/>
      <c r="G50" s="6"/>
      <c r="H50" s="6"/>
      <c r="I50" s="6"/>
      <c r="J50" s="6">
        <f t="shared" si="0"/>
        <v>70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34</v>
      </c>
      <c r="D51" s="6"/>
      <c r="E51" s="6"/>
      <c r="F51" s="6"/>
      <c r="G51" s="6"/>
      <c r="H51" s="6"/>
      <c r="I51" s="6"/>
      <c r="J51" s="6">
        <f t="shared" si="0"/>
        <v>34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15</v>
      </c>
      <c r="D52" s="6"/>
      <c r="E52" s="6"/>
      <c r="F52" s="6"/>
      <c r="G52" s="6"/>
      <c r="H52" s="6"/>
      <c r="I52" s="6"/>
      <c r="J52" s="6">
        <f t="shared" si="0"/>
        <v>15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19</v>
      </c>
      <c r="D53" s="6"/>
      <c r="E53" s="6"/>
      <c r="F53" s="6"/>
      <c r="G53" s="6"/>
      <c r="H53" s="6"/>
      <c r="I53" s="6"/>
      <c r="J53" s="6">
        <f t="shared" si="0"/>
        <v>19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85</v>
      </c>
      <c r="D54" s="6"/>
      <c r="E54" s="6"/>
      <c r="F54" s="6"/>
      <c r="G54" s="6"/>
      <c r="H54" s="6"/>
      <c r="I54" s="6"/>
      <c r="J54" s="6">
        <f t="shared" si="0"/>
        <v>85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225</v>
      </c>
      <c r="D56" s="6"/>
      <c r="E56" s="6"/>
      <c r="F56" s="6"/>
      <c r="G56" s="6"/>
      <c r="H56" s="6"/>
      <c r="I56" s="6"/>
      <c r="J56" s="6">
        <f t="shared" si="0"/>
        <v>225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25</v>
      </c>
      <c r="D58" s="6"/>
      <c r="E58" s="6"/>
      <c r="F58" s="6"/>
      <c r="G58" s="6"/>
      <c r="H58" s="6"/>
      <c r="I58" s="6"/>
      <c r="J58" s="6">
        <f t="shared" si="0"/>
        <v>25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33</v>
      </c>
      <c r="D60" s="6">
        <v>20</v>
      </c>
      <c r="E60" s="6"/>
      <c r="F60" s="6"/>
      <c r="G60" s="6"/>
      <c r="H60" s="6"/>
      <c r="I60" s="6"/>
      <c r="J60" s="6">
        <f t="shared" si="0"/>
        <v>53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1</v>
      </c>
      <c r="D61" s="6"/>
      <c r="E61" s="6"/>
      <c r="F61" s="6"/>
      <c r="G61" s="6"/>
      <c r="H61" s="6"/>
      <c r="I61" s="6"/>
      <c r="J61" s="6">
        <f t="shared" si="0"/>
        <v>1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1</v>
      </c>
      <c r="D63" s="6"/>
      <c r="E63" s="6"/>
      <c r="F63" s="6">
        <v>1</v>
      </c>
      <c r="G63" s="6"/>
      <c r="H63" s="6"/>
      <c r="I63" s="6"/>
      <c r="J63" s="6">
        <f t="shared" si="0"/>
        <v>0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96</v>
      </c>
      <c r="D64" s="6">
        <v>100</v>
      </c>
      <c r="E64" s="6">
        <v>96</v>
      </c>
      <c r="F64" s="6"/>
      <c r="G64" s="6"/>
      <c r="H64" s="6"/>
      <c r="I64" s="6"/>
      <c r="J64" s="6">
        <f t="shared" si="0"/>
        <v>100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108</v>
      </c>
      <c r="C65" s="6">
        <v>9</v>
      </c>
      <c r="D65" s="6"/>
      <c r="E65" s="6"/>
      <c r="F65" s="6"/>
      <c r="G65" s="6"/>
      <c r="H65" s="6"/>
      <c r="I65" s="6"/>
      <c r="J65" s="6">
        <f t="shared" si="0"/>
        <v>9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0</v>
      </c>
      <c r="D66" s="6"/>
      <c r="E66" s="6"/>
      <c r="F66" s="6"/>
      <c r="G66" s="6"/>
      <c r="H66" s="6"/>
      <c r="I66" s="6"/>
      <c r="J66" s="6">
        <f t="shared" si="0"/>
        <v>0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9</v>
      </c>
      <c r="D67" s="6"/>
      <c r="E67" s="6"/>
      <c r="F67" s="6"/>
      <c r="G67" s="6"/>
      <c r="H67" s="6"/>
      <c r="I67" s="6"/>
      <c r="J67" s="6">
        <f t="shared" si="0"/>
        <v>9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42</v>
      </c>
      <c r="D68" s="6"/>
      <c r="E68" s="6"/>
      <c r="F68" s="6"/>
      <c r="G68" s="6"/>
      <c r="H68" s="6"/>
      <c r="I68" s="6"/>
      <c r="J68" s="6">
        <f t="shared" ref="J68:J78" si="1">+C68-E68-F68-G68-H68-I68+D68</f>
        <v>42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25</v>
      </c>
      <c r="D69" s="6"/>
      <c r="E69" s="6"/>
      <c r="F69" s="6"/>
      <c r="G69" s="6"/>
      <c r="H69" s="6"/>
      <c r="I69" s="6"/>
      <c r="J69" s="6">
        <f t="shared" si="1"/>
        <v>25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1</v>
      </c>
      <c r="D70" s="6">
        <v>20</v>
      </c>
      <c r="E70" s="6"/>
      <c r="F70" s="6"/>
      <c r="G70" s="6"/>
      <c r="H70" s="6"/>
      <c r="I70" s="6"/>
      <c r="J70" s="6">
        <f t="shared" si="1"/>
        <v>21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17</v>
      </c>
      <c r="D71" s="6"/>
      <c r="E71" s="6"/>
      <c r="F71" s="6"/>
      <c r="G71" s="6"/>
      <c r="H71" s="6"/>
      <c r="I71" s="6"/>
      <c r="J71" s="6">
        <f t="shared" si="1"/>
        <v>17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</v>
      </c>
      <c r="D72" s="6"/>
      <c r="E72" s="6"/>
      <c r="F72" s="6"/>
      <c r="G72" s="6"/>
      <c r="H72" s="6"/>
      <c r="I72" s="6"/>
      <c r="J72" s="6">
        <f t="shared" si="1"/>
        <v>3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36</v>
      </c>
      <c r="D73" s="6"/>
      <c r="E73" s="6"/>
      <c r="F73" s="6"/>
      <c r="G73" s="6"/>
      <c r="H73" s="6"/>
      <c r="I73" s="6"/>
      <c r="J73" s="6">
        <f t="shared" si="1"/>
        <v>36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367</v>
      </c>
      <c r="D74" s="6">
        <v>20</v>
      </c>
      <c r="E74" s="6"/>
      <c r="F74" s="6"/>
      <c r="G74" s="6"/>
      <c r="H74" s="6"/>
      <c r="I74" s="6"/>
      <c r="J74" s="6">
        <f t="shared" si="1"/>
        <v>387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328</v>
      </c>
      <c r="D75" s="6"/>
      <c r="E75" s="6"/>
      <c r="F75" s="6"/>
      <c r="G75" s="6"/>
      <c r="H75" s="6"/>
      <c r="I75" s="6"/>
      <c r="J75" s="6">
        <f t="shared" si="1"/>
        <v>328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76</v>
      </c>
      <c r="D76" s="6"/>
      <c r="E76" s="6"/>
      <c r="F76" s="6"/>
      <c r="G76" s="6"/>
      <c r="H76" s="6"/>
      <c r="I76" s="6"/>
      <c r="J76" s="6">
        <f t="shared" si="1"/>
        <v>76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30</v>
      </c>
      <c r="D77" s="6"/>
      <c r="E77" s="6"/>
      <c r="F77" s="6"/>
      <c r="G77" s="6"/>
      <c r="H77" s="6"/>
      <c r="I77" s="6"/>
      <c r="J77" s="6">
        <f t="shared" si="1"/>
        <v>30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92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78"/>
  <sheetViews>
    <sheetView zoomScaleNormal="100" workbookViewId="0">
      <selection activeCell="G25" sqref="G25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45078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45083</v>
      </c>
      <c r="F2" s="4">
        <v>45096</v>
      </c>
      <c r="G2" s="4">
        <v>45100</v>
      </c>
      <c r="H2" s="4">
        <v>45114</v>
      </c>
      <c r="I2" s="4">
        <v>45122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130</v>
      </c>
      <c r="D3" s="6"/>
      <c r="E3" s="6"/>
      <c r="F3" s="6"/>
      <c r="G3" s="6"/>
      <c r="H3" s="6"/>
      <c r="I3" s="6"/>
      <c r="J3" s="6">
        <f>+C3-E3-F3-G3-H3-I3+D3</f>
        <v>130</v>
      </c>
      <c r="K3" s="13">
        <v>10</v>
      </c>
      <c r="L3" s="14">
        <v>50</v>
      </c>
    </row>
    <row r="4" spans="1:12" x14ac:dyDescent="0.25">
      <c r="A4" s="6">
        <v>2</v>
      </c>
      <c r="B4" s="7" t="s">
        <v>102</v>
      </c>
      <c r="C4" s="6">
        <v>31</v>
      </c>
      <c r="D4" s="6"/>
      <c r="E4" s="6"/>
      <c r="F4" s="6"/>
      <c r="G4" s="6">
        <v>10</v>
      </c>
      <c r="H4" s="6"/>
      <c r="I4" s="6"/>
      <c r="J4" s="6">
        <f t="shared" ref="J4:J67" si="0">+C4-E4-F4-G4-H4-I4+D4</f>
        <v>21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17</v>
      </c>
      <c r="D5" s="6"/>
      <c r="E5" s="6"/>
      <c r="F5" s="6"/>
      <c r="G5" s="6"/>
      <c r="H5" s="6"/>
      <c r="I5" s="6"/>
      <c r="J5" s="6">
        <f t="shared" si="0"/>
        <v>17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45</v>
      </c>
      <c r="D6" s="6"/>
      <c r="E6" s="6"/>
      <c r="F6" s="6"/>
      <c r="G6" s="6">
        <v>4</v>
      </c>
      <c r="H6" s="6"/>
      <c r="I6" s="6"/>
      <c r="J6" s="6">
        <f t="shared" si="0"/>
        <v>41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57</v>
      </c>
      <c r="D7" s="6"/>
      <c r="E7" s="6"/>
      <c r="F7" s="6"/>
      <c r="G7" s="6"/>
      <c r="H7" s="6"/>
      <c r="I7" s="6">
        <v>2</v>
      </c>
      <c r="J7" s="6">
        <f t="shared" si="0"/>
        <v>55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32</v>
      </c>
      <c r="D8" s="6"/>
      <c r="E8" s="6"/>
      <c r="F8" s="6">
        <v>4</v>
      </c>
      <c r="G8" s="6">
        <v>6</v>
      </c>
      <c r="H8" s="6">
        <v>15</v>
      </c>
      <c r="I8" s="6"/>
      <c r="J8" s="6">
        <f t="shared" si="0"/>
        <v>7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6</v>
      </c>
      <c r="D9" s="6"/>
      <c r="E9" s="6"/>
      <c r="F9" s="6"/>
      <c r="G9" s="6"/>
      <c r="H9" s="6">
        <v>6</v>
      </c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0</v>
      </c>
      <c r="D10" s="6"/>
      <c r="E10" s="6"/>
      <c r="F10" s="6"/>
      <c r="G10" s="6"/>
      <c r="H10" s="6"/>
      <c r="I10" s="6"/>
      <c r="J10" s="6">
        <f t="shared" si="0"/>
        <v>0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36</v>
      </c>
      <c r="D11" s="6">
        <v>78</v>
      </c>
      <c r="E11" s="6"/>
      <c r="F11" s="6"/>
      <c r="G11" s="6">
        <v>36</v>
      </c>
      <c r="H11" s="6"/>
      <c r="I11" s="6"/>
      <c r="J11" s="6">
        <f t="shared" si="0"/>
        <v>78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505</v>
      </c>
      <c r="D12" s="6"/>
      <c r="E12" s="6"/>
      <c r="F12" s="6"/>
      <c r="G12" s="6"/>
      <c r="H12" s="6">
        <v>90</v>
      </c>
      <c r="I12" s="6">
        <v>92</v>
      </c>
      <c r="J12" s="6">
        <f t="shared" si="0"/>
        <v>323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14</v>
      </c>
      <c r="D13" s="6"/>
      <c r="E13" s="6"/>
      <c r="F13" s="6"/>
      <c r="G13" s="6"/>
      <c r="H13" s="6"/>
      <c r="I13" s="6"/>
      <c r="J13" s="6">
        <f t="shared" si="0"/>
        <v>14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0</v>
      </c>
      <c r="D14" s="6"/>
      <c r="E14" s="6"/>
      <c r="F14" s="6"/>
      <c r="G14" s="6"/>
      <c r="H14" s="6"/>
      <c r="I14" s="6"/>
      <c r="J14" s="6">
        <f t="shared" si="0"/>
        <v>0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71</v>
      </c>
      <c r="D15" s="6"/>
      <c r="E15" s="6"/>
      <c r="F15" s="6"/>
      <c r="G15" s="6"/>
      <c r="H15" s="6">
        <v>2</v>
      </c>
      <c r="I15" s="6"/>
      <c r="J15" s="6">
        <f t="shared" si="0"/>
        <v>69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151</v>
      </c>
      <c r="D16" s="6"/>
      <c r="E16" s="6"/>
      <c r="F16" s="6"/>
      <c r="G16" s="6"/>
      <c r="H16" s="6">
        <v>2</v>
      </c>
      <c r="I16" s="6"/>
      <c r="J16" s="6">
        <f t="shared" si="0"/>
        <v>149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313</v>
      </c>
      <c r="D17" s="6"/>
      <c r="E17" s="6">
        <v>54</v>
      </c>
      <c r="F17" s="6"/>
      <c r="G17" s="6">
        <v>20</v>
      </c>
      <c r="H17" s="6">
        <v>30</v>
      </c>
      <c r="I17" s="6">
        <v>45</v>
      </c>
      <c r="J17" s="6">
        <f t="shared" si="0"/>
        <v>164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107</v>
      </c>
      <c r="D18" s="6">
        <v>114</v>
      </c>
      <c r="E18" s="6"/>
      <c r="F18" s="6"/>
      <c r="G18" s="6"/>
      <c r="H18" s="6">
        <v>30</v>
      </c>
      <c r="I18" s="6">
        <v>60</v>
      </c>
      <c r="J18" s="6">
        <f t="shared" si="0"/>
        <v>131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22</v>
      </c>
      <c r="D19" s="6"/>
      <c r="E19" s="6"/>
      <c r="F19" s="6"/>
      <c r="G19" s="6">
        <v>6</v>
      </c>
      <c r="H19" s="6"/>
      <c r="I19" s="6"/>
      <c r="J19" s="6">
        <f t="shared" si="0"/>
        <v>16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51</v>
      </c>
      <c r="D20" s="6"/>
      <c r="E20" s="6"/>
      <c r="F20" s="6"/>
      <c r="G20" s="6"/>
      <c r="H20" s="6"/>
      <c r="I20" s="6"/>
      <c r="J20" s="6">
        <f t="shared" si="0"/>
        <v>51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38</v>
      </c>
      <c r="D21" s="6"/>
      <c r="E21" s="6"/>
      <c r="F21" s="6"/>
      <c r="G21" s="6">
        <v>7</v>
      </c>
      <c r="H21" s="6"/>
      <c r="I21" s="6"/>
      <c r="J21" s="6">
        <f t="shared" si="0"/>
        <v>31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32</v>
      </c>
      <c r="D22" s="6"/>
      <c r="E22" s="6"/>
      <c r="F22" s="6"/>
      <c r="G22" s="6"/>
      <c r="H22" s="6"/>
      <c r="I22" s="6"/>
      <c r="J22" s="6">
        <f t="shared" si="0"/>
        <v>32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</v>
      </c>
      <c r="D23" s="6"/>
      <c r="E23" s="6"/>
      <c r="F23" s="6"/>
      <c r="G23" s="6"/>
      <c r="H23" s="6"/>
      <c r="I23" s="6"/>
      <c r="J23" s="6">
        <f t="shared" si="0"/>
        <v>1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0</v>
      </c>
      <c r="D24" s="6"/>
      <c r="E24" s="6"/>
      <c r="F24" s="6"/>
      <c r="G24" s="6"/>
      <c r="H24" s="6"/>
      <c r="I24" s="6"/>
      <c r="J24" s="6">
        <f t="shared" si="0"/>
        <v>0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36</v>
      </c>
      <c r="D25" s="6"/>
      <c r="E25" s="6"/>
      <c r="F25" s="6"/>
      <c r="G25" s="6"/>
      <c r="H25" s="6"/>
      <c r="I25" s="6"/>
      <c r="J25" s="6">
        <f t="shared" si="0"/>
        <v>36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220</v>
      </c>
      <c r="D26" s="6"/>
      <c r="E26" s="6">
        <v>10</v>
      </c>
      <c r="F26" s="6"/>
      <c r="G26" s="6"/>
      <c r="H26" s="6"/>
      <c r="I26" s="6"/>
      <c r="J26" s="6">
        <f t="shared" si="0"/>
        <v>210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45</v>
      </c>
      <c r="D29" s="6"/>
      <c r="E29" s="6"/>
      <c r="F29" s="6"/>
      <c r="G29" s="6"/>
      <c r="H29" s="6"/>
      <c r="I29" s="6"/>
      <c r="J29" s="6">
        <f t="shared" si="0"/>
        <v>45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30</v>
      </c>
      <c r="D30" s="6"/>
      <c r="E30" s="6"/>
      <c r="F30" s="6"/>
      <c r="G30" s="6"/>
      <c r="H30" s="6"/>
      <c r="I30" s="6"/>
      <c r="J30" s="6">
        <f t="shared" si="0"/>
        <v>30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8</v>
      </c>
      <c r="D31" s="6"/>
      <c r="E31" s="6"/>
      <c r="F31" s="6"/>
      <c r="G31" s="6"/>
      <c r="H31" s="6"/>
      <c r="I31" s="6"/>
      <c r="J31" s="6">
        <f t="shared" si="0"/>
        <v>8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703</v>
      </c>
      <c r="D32" s="6"/>
      <c r="E32" s="6"/>
      <c r="F32" s="6"/>
      <c r="G32" s="6"/>
      <c r="H32" s="6"/>
      <c r="I32" s="6">
        <v>132</v>
      </c>
      <c r="J32" s="6">
        <f t="shared" si="0"/>
        <v>571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377</v>
      </c>
      <c r="D36" s="6"/>
      <c r="E36" s="6"/>
      <c r="F36" s="6"/>
      <c r="G36" s="6"/>
      <c r="H36" s="6"/>
      <c r="I36" s="6"/>
      <c r="J36" s="6">
        <f t="shared" si="0"/>
        <v>377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95</v>
      </c>
      <c r="D37" s="6"/>
      <c r="E37" s="6"/>
      <c r="F37" s="6"/>
      <c r="G37" s="6"/>
      <c r="H37" s="6"/>
      <c r="I37" s="6"/>
      <c r="J37" s="6">
        <f t="shared" si="0"/>
        <v>95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51</v>
      </c>
      <c r="D39" s="6"/>
      <c r="E39" s="6"/>
      <c r="F39" s="6"/>
      <c r="G39" s="6"/>
      <c r="H39" s="6"/>
      <c r="I39" s="6"/>
      <c r="J39" s="6">
        <f t="shared" si="0"/>
        <v>51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32</v>
      </c>
      <c r="D40" s="6"/>
      <c r="E40" s="6"/>
      <c r="F40" s="6"/>
      <c r="G40" s="6">
        <v>6</v>
      </c>
      <c r="H40" s="6">
        <v>10</v>
      </c>
      <c r="I40" s="6"/>
      <c r="J40" s="6">
        <f t="shared" si="0"/>
        <v>16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87</v>
      </c>
      <c r="D41" s="6"/>
      <c r="E41" s="6"/>
      <c r="F41" s="6"/>
      <c r="G41" s="6"/>
      <c r="H41" s="6"/>
      <c r="I41" s="6">
        <v>4</v>
      </c>
      <c r="J41" s="6">
        <f t="shared" si="0"/>
        <v>83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31</v>
      </c>
      <c r="D42" s="6"/>
      <c r="E42" s="6"/>
      <c r="F42" s="6"/>
      <c r="G42" s="6"/>
      <c r="H42" s="6"/>
      <c r="I42" s="6"/>
      <c r="J42" s="6">
        <f t="shared" si="0"/>
        <v>31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319</v>
      </c>
      <c r="D43" s="6"/>
      <c r="E43" s="6"/>
      <c r="F43" s="6"/>
      <c r="G43" s="6"/>
      <c r="H43" s="6">
        <v>26</v>
      </c>
      <c r="I43" s="6"/>
      <c r="J43" s="6">
        <f t="shared" si="0"/>
        <v>293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58</v>
      </c>
      <c r="D44" s="6"/>
      <c r="E44" s="6"/>
      <c r="F44" s="6"/>
      <c r="G44" s="6"/>
      <c r="H44" s="6"/>
      <c r="I44" s="6"/>
      <c r="J44" s="6">
        <f t="shared" si="0"/>
        <v>58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16</v>
      </c>
      <c r="D45" s="6"/>
      <c r="E45" s="6"/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53</v>
      </c>
      <c r="D46" s="6"/>
      <c r="E46" s="6"/>
      <c r="F46" s="6"/>
      <c r="G46" s="6"/>
      <c r="H46" s="6"/>
      <c r="I46" s="6"/>
      <c r="J46" s="6">
        <f t="shared" si="0"/>
        <v>53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15</v>
      </c>
      <c r="D47" s="6"/>
      <c r="E47" s="6"/>
      <c r="F47" s="6"/>
      <c r="G47" s="6"/>
      <c r="H47" s="6"/>
      <c r="I47" s="6"/>
      <c r="J47" s="6">
        <f t="shared" si="0"/>
        <v>15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39</v>
      </c>
      <c r="D49" s="6"/>
      <c r="E49" s="6"/>
      <c r="F49" s="6"/>
      <c r="G49" s="6"/>
      <c r="H49" s="6"/>
      <c r="I49" s="6"/>
      <c r="J49" s="6">
        <f t="shared" si="0"/>
        <v>39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70</v>
      </c>
      <c r="D50" s="6"/>
      <c r="E50" s="6">
        <v>2</v>
      </c>
      <c r="F50" s="6">
        <v>10</v>
      </c>
      <c r="G50" s="6"/>
      <c r="H50" s="6"/>
      <c r="I50" s="6"/>
      <c r="J50" s="6">
        <f t="shared" si="0"/>
        <v>58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34</v>
      </c>
      <c r="D51" s="6"/>
      <c r="E51" s="6">
        <v>2</v>
      </c>
      <c r="F51" s="6"/>
      <c r="G51" s="6"/>
      <c r="H51" s="6"/>
      <c r="I51" s="6"/>
      <c r="J51" s="6">
        <f t="shared" si="0"/>
        <v>32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15</v>
      </c>
      <c r="D52" s="6"/>
      <c r="E52" s="6"/>
      <c r="F52" s="6"/>
      <c r="G52" s="6"/>
      <c r="H52" s="6"/>
      <c r="I52" s="6"/>
      <c r="J52" s="6">
        <f t="shared" si="0"/>
        <v>15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19</v>
      </c>
      <c r="D53" s="6"/>
      <c r="E53" s="6">
        <v>2</v>
      </c>
      <c r="F53" s="6"/>
      <c r="G53" s="6"/>
      <c r="H53" s="6"/>
      <c r="I53" s="6"/>
      <c r="J53" s="6">
        <f t="shared" si="0"/>
        <v>17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85</v>
      </c>
      <c r="D54" s="6"/>
      <c r="E54" s="6">
        <v>0</v>
      </c>
      <c r="F54" s="6"/>
      <c r="G54" s="6"/>
      <c r="H54" s="6"/>
      <c r="I54" s="6"/>
      <c r="J54" s="6">
        <f t="shared" si="0"/>
        <v>85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225</v>
      </c>
      <c r="D56" s="6"/>
      <c r="E56" s="6"/>
      <c r="F56" s="6"/>
      <c r="G56" s="6"/>
      <c r="H56" s="6"/>
      <c r="I56" s="6"/>
      <c r="J56" s="6">
        <f t="shared" si="0"/>
        <v>225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25</v>
      </c>
      <c r="D58" s="6"/>
      <c r="E58" s="6"/>
      <c r="F58" s="6"/>
      <c r="G58" s="6">
        <v>6</v>
      </c>
      <c r="H58" s="6"/>
      <c r="I58" s="6"/>
      <c r="J58" s="6">
        <f t="shared" si="0"/>
        <v>19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53</v>
      </c>
      <c r="D60" s="6"/>
      <c r="E60" s="6">
        <v>1</v>
      </c>
      <c r="F60" s="6"/>
      <c r="G60" s="6"/>
      <c r="H60" s="6"/>
      <c r="I60" s="6"/>
      <c r="J60" s="6">
        <f t="shared" si="0"/>
        <v>52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48</v>
      </c>
      <c r="D61" s="6"/>
      <c r="E61" s="6"/>
      <c r="F61" s="6">
        <v>4</v>
      </c>
      <c r="G61" s="6">
        <v>16</v>
      </c>
      <c r="H61" s="6"/>
      <c r="I61" s="6"/>
      <c r="J61" s="6">
        <f t="shared" si="0"/>
        <v>28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0</v>
      </c>
      <c r="D63" s="6"/>
      <c r="E63" s="6"/>
      <c r="F63" s="6"/>
      <c r="G63" s="6"/>
      <c r="H63" s="6"/>
      <c r="I63" s="6"/>
      <c r="J63" s="6">
        <f t="shared" si="0"/>
        <v>0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80</v>
      </c>
      <c r="D64" s="6"/>
      <c r="E64" s="6"/>
      <c r="F64" s="6"/>
      <c r="G64" s="6"/>
      <c r="H64" s="6"/>
      <c r="I64" s="6">
        <v>80</v>
      </c>
      <c r="J64" s="6">
        <f t="shared" si="0"/>
        <v>0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108</v>
      </c>
      <c r="C65" s="6">
        <v>9</v>
      </c>
      <c r="D65" s="6"/>
      <c r="E65" s="6"/>
      <c r="F65" s="6"/>
      <c r="G65" s="6"/>
      <c r="H65" s="6"/>
      <c r="I65" s="6"/>
      <c r="J65" s="6">
        <f t="shared" si="0"/>
        <v>9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0</v>
      </c>
      <c r="D66" s="6"/>
      <c r="E66" s="6"/>
      <c r="F66" s="6"/>
      <c r="G66" s="6"/>
      <c r="H66" s="6"/>
      <c r="I66" s="6"/>
      <c r="J66" s="6">
        <f t="shared" si="0"/>
        <v>0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9</v>
      </c>
      <c r="D67" s="6"/>
      <c r="E67" s="6"/>
      <c r="F67" s="6"/>
      <c r="G67" s="6"/>
      <c r="H67" s="6"/>
      <c r="I67" s="6"/>
      <c r="J67" s="6">
        <f t="shared" si="0"/>
        <v>9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41</v>
      </c>
      <c r="D68" s="6"/>
      <c r="E68" s="6"/>
      <c r="F68" s="6">
        <v>3</v>
      </c>
      <c r="G68" s="6">
        <v>2</v>
      </c>
      <c r="H68" s="6"/>
      <c r="I68" s="6"/>
      <c r="J68" s="6">
        <f t="shared" ref="J68:J78" si="1">+C68-E68-F68-G68-H68-I68+D68</f>
        <v>36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23</v>
      </c>
      <c r="D69" s="6"/>
      <c r="E69" s="6"/>
      <c r="F69" s="6"/>
      <c r="G69" s="6"/>
      <c r="H69" s="6"/>
      <c r="I69" s="6"/>
      <c r="J69" s="6">
        <f t="shared" si="1"/>
        <v>23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21</v>
      </c>
      <c r="D70" s="6"/>
      <c r="E70" s="6"/>
      <c r="F70" s="6"/>
      <c r="G70" s="6"/>
      <c r="H70" s="6"/>
      <c r="I70" s="6"/>
      <c r="J70" s="6">
        <f t="shared" si="1"/>
        <v>21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17</v>
      </c>
      <c r="D71" s="6"/>
      <c r="E71" s="6"/>
      <c r="F71" s="6"/>
      <c r="G71" s="6"/>
      <c r="H71" s="6"/>
      <c r="I71" s="6"/>
      <c r="J71" s="6">
        <f t="shared" si="1"/>
        <v>17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</v>
      </c>
      <c r="D72" s="6">
        <v>31</v>
      </c>
      <c r="E72" s="6"/>
      <c r="F72" s="6"/>
      <c r="G72" s="6"/>
      <c r="H72" s="6"/>
      <c r="I72" s="6"/>
      <c r="J72" s="6">
        <f t="shared" si="1"/>
        <v>34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36</v>
      </c>
      <c r="D73" s="6"/>
      <c r="E73" s="6"/>
      <c r="F73" s="6"/>
      <c r="G73" s="6"/>
      <c r="H73" s="6">
        <v>2</v>
      </c>
      <c r="I73" s="6"/>
      <c r="J73" s="6">
        <f t="shared" si="1"/>
        <v>34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387</v>
      </c>
      <c r="D74" s="6"/>
      <c r="E74" s="6">
        <v>15</v>
      </c>
      <c r="F74" s="6"/>
      <c r="G74" s="6"/>
      <c r="H74" s="6"/>
      <c r="I74" s="6"/>
      <c r="J74" s="6">
        <f t="shared" si="1"/>
        <v>372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328</v>
      </c>
      <c r="D75" s="6"/>
      <c r="E75" s="6"/>
      <c r="F75" s="6"/>
      <c r="G75" s="6"/>
      <c r="H75" s="6"/>
      <c r="I75" s="6"/>
      <c r="J75" s="6">
        <f t="shared" si="1"/>
        <v>328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76</v>
      </c>
      <c r="D76" s="6"/>
      <c r="E76" s="6"/>
      <c r="F76" s="6"/>
      <c r="G76" s="6"/>
      <c r="H76" s="6"/>
      <c r="I76" s="6"/>
      <c r="J76" s="6">
        <f t="shared" si="1"/>
        <v>76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30</v>
      </c>
      <c r="D77" s="6"/>
      <c r="E77" s="6">
        <v>1</v>
      </c>
      <c r="F77" s="6"/>
      <c r="G77" s="6"/>
      <c r="H77" s="6"/>
      <c r="I77" s="6">
        <v>17</v>
      </c>
      <c r="J77" s="6">
        <f t="shared" si="1"/>
        <v>12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92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78"/>
  <sheetViews>
    <sheetView topLeftCell="B1" zoomScaleNormal="100" workbookViewId="0">
      <selection activeCell="H28" sqref="H28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45108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45128</v>
      </c>
      <c r="F2" s="4">
        <v>45133</v>
      </c>
      <c r="G2" s="4">
        <v>45130</v>
      </c>
      <c r="H2" s="4">
        <v>45132</v>
      </c>
      <c r="I2" s="4">
        <v>45138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130</v>
      </c>
      <c r="D3" s="6"/>
      <c r="E3" s="6"/>
      <c r="F3" s="6">
        <v>10</v>
      </c>
      <c r="G3" s="6"/>
      <c r="H3" s="6"/>
      <c r="I3" s="6"/>
      <c r="J3" s="6">
        <f>+C3-E3-F3-G3-H3-I3+D3</f>
        <v>120</v>
      </c>
      <c r="K3" s="13">
        <v>10</v>
      </c>
      <c r="L3" s="14">
        <v>50</v>
      </c>
    </row>
    <row r="4" spans="1:12" x14ac:dyDescent="0.25">
      <c r="A4" s="6">
        <v>2</v>
      </c>
      <c r="B4" s="7" t="s">
        <v>102</v>
      </c>
      <c r="C4" s="6">
        <v>21</v>
      </c>
      <c r="D4" s="6"/>
      <c r="E4" s="6"/>
      <c r="F4" s="6">
        <v>7</v>
      </c>
      <c r="G4" s="6"/>
      <c r="H4" s="6"/>
      <c r="I4" s="6"/>
      <c r="J4" s="6">
        <f t="shared" ref="J4:J67" si="0">+C4-E4-F4-G4-H4-I4+D4</f>
        <v>14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17</v>
      </c>
      <c r="D5" s="6"/>
      <c r="E5" s="6"/>
      <c r="F5" s="6"/>
      <c r="G5" s="6"/>
      <c r="H5" s="6"/>
      <c r="I5" s="6"/>
      <c r="J5" s="6">
        <f t="shared" si="0"/>
        <v>17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41</v>
      </c>
      <c r="D6" s="6"/>
      <c r="E6" s="6"/>
      <c r="F6" s="6"/>
      <c r="G6" s="6"/>
      <c r="H6" s="6"/>
      <c r="I6" s="6"/>
      <c r="J6" s="6">
        <f t="shared" si="0"/>
        <v>41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55</v>
      </c>
      <c r="D7" s="6"/>
      <c r="E7" s="6">
        <v>6</v>
      </c>
      <c r="F7" s="6"/>
      <c r="G7" s="6"/>
      <c r="H7" s="6"/>
      <c r="I7" s="6"/>
      <c r="J7" s="6">
        <f t="shared" si="0"/>
        <v>49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7</v>
      </c>
      <c r="D8" s="6">
        <v>20</v>
      </c>
      <c r="E8" s="6"/>
      <c r="F8" s="6">
        <v>7</v>
      </c>
      <c r="G8" s="6"/>
      <c r="H8" s="6"/>
      <c r="I8" s="6"/>
      <c r="J8" s="6">
        <f t="shared" si="0"/>
        <v>20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>
        <v>20</v>
      </c>
      <c r="E9" s="6"/>
      <c r="F9" s="6">
        <v>20</v>
      </c>
      <c r="G9" s="6"/>
      <c r="H9" s="6"/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0</v>
      </c>
      <c r="D10" s="6"/>
      <c r="E10" s="6"/>
      <c r="F10" s="6"/>
      <c r="G10" s="6"/>
      <c r="H10" s="6"/>
      <c r="I10" s="6"/>
      <c r="J10" s="6">
        <f t="shared" si="0"/>
        <v>0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78</v>
      </c>
      <c r="D11" s="6">
        <v>239</v>
      </c>
      <c r="E11" s="6"/>
      <c r="F11" s="6">
        <v>30</v>
      </c>
      <c r="G11" s="6"/>
      <c r="H11" s="6"/>
      <c r="I11" s="6"/>
      <c r="J11" s="6">
        <f t="shared" si="0"/>
        <v>287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323</v>
      </c>
      <c r="D12" s="6"/>
      <c r="E12" s="6"/>
      <c r="F12" s="6"/>
      <c r="G12" s="6"/>
      <c r="H12" s="6"/>
      <c r="I12" s="6"/>
      <c r="J12" s="6">
        <f t="shared" si="0"/>
        <v>323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14</v>
      </c>
      <c r="D13" s="6"/>
      <c r="E13" s="6"/>
      <c r="F13" s="6"/>
      <c r="G13" s="6"/>
      <c r="H13" s="6"/>
      <c r="I13" s="6"/>
      <c r="J13" s="6">
        <f t="shared" si="0"/>
        <v>14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0</v>
      </c>
      <c r="D14" s="6"/>
      <c r="E14" s="6"/>
      <c r="F14" s="6"/>
      <c r="G14" s="6"/>
      <c r="H14" s="6"/>
      <c r="I14" s="6"/>
      <c r="J14" s="6">
        <f t="shared" si="0"/>
        <v>0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69</v>
      </c>
      <c r="D15" s="6"/>
      <c r="E15" s="6"/>
      <c r="F15" s="6"/>
      <c r="G15" s="6"/>
      <c r="H15" s="6"/>
      <c r="I15" s="6"/>
      <c r="J15" s="6">
        <f t="shared" si="0"/>
        <v>69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149</v>
      </c>
      <c r="D16" s="6"/>
      <c r="E16" s="6"/>
      <c r="F16" s="6"/>
      <c r="G16" s="6"/>
      <c r="H16" s="6"/>
      <c r="I16" s="6"/>
      <c r="J16" s="6">
        <f t="shared" si="0"/>
        <v>149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164</v>
      </c>
      <c r="D17" s="6"/>
      <c r="E17" s="6">
        <v>18</v>
      </c>
      <c r="F17" s="6">
        <v>18</v>
      </c>
      <c r="G17" s="6"/>
      <c r="H17" s="6"/>
      <c r="I17" s="6"/>
      <c r="J17" s="6">
        <f t="shared" si="0"/>
        <v>128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131</v>
      </c>
      <c r="D18" s="6">
        <v>85</v>
      </c>
      <c r="E18" s="6"/>
      <c r="F18" s="6"/>
      <c r="G18" s="6"/>
      <c r="H18" s="6"/>
      <c r="I18" s="6"/>
      <c r="J18" s="6">
        <f t="shared" si="0"/>
        <v>216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3</v>
      </c>
      <c r="D19" s="6"/>
      <c r="E19" s="6"/>
      <c r="F19" s="6"/>
      <c r="G19" s="6"/>
      <c r="H19" s="6"/>
      <c r="I19" s="6"/>
      <c r="J19" s="6">
        <f t="shared" si="0"/>
        <v>3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51</v>
      </c>
      <c r="D20" s="6"/>
      <c r="E20" s="6"/>
      <c r="F20" s="6"/>
      <c r="G20" s="6"/>
      <c r="H20" s="6"/>
      <c r="I20" s="6"/>
      <c r="J20" s="6">
        <f t="shared" si="0"/>
        <v>51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0</v>
      </c>
      <c r="D21" s="6">
        <v>52</v>
      </c>
      <c r="E21" s="6"/>
      <c r="F21" s="6"/>
      <c r="G21" s="6"/>
      <c r="H21" s="6"/>
      <c r="I21" s="6"/>
      <c r="J21" s="6">
        <f t="shared" si="0"/>
        <v>52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32</v>
      </c>
      <c r="D22" s="6"/>
      <c r="E22" s="6"/>
      <c r="F22" s="6"/>
      <c r="G22" s="6"/>
      <c r="H22" s="6"/>
      <c r="I22" s="6"/>
      <c r="J22" s="6">
        <f t="shared" si="0"/>
        <v>32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</v>
      </c>
      <c r="D23" s="6">
        <v>0</v>
      </c>
      <c r="E23" s="6"/>
      <c r="F23" s="6"/>
      <c r="G23" s="6"/>
      <c r="H23" s="6"/>
      <c r="I23" s="6"/>
      <c r="J23" s="6">
        <f t="shared" si="0"/>
        <v>1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0</v>
      </c>
      <c r="D24" s="6">
        <v>3</v>
      </c>
      <c r="E24" s="6"/>
      <c r="F24" s="6"/>
      <c r="G24" s="6"/>
      <c r="H24" s="6"/>
      <c r="I24" s="6"/>
      <c r="J24" s="6">
        <f t="shared" si="0"/>
        <v>3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36</v>
      </c>
      <c r="D25" s="6"/>
      <c r="E25" s="6"/>
      <c r="F25" s="6"/>
      <c r="G25" s="6"/>
      <c r="H25" s="6"/>
      <c r="I25" s="6"/>
      <c r="J25" s="6">
        <f t="shared" si="0"/>
        <v>36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210</v>
      </c>
      <c r="D26" s="6"/>
      <c r="E26" s="6"/>
      <c r="F26" s="6"/>
      <c r="G26" s="6"/>
      <c r="H26" s="6"/>
      <c r="I26" s="6"/>
      <c r="J26" s="6">
        <f t="shared" si="0"/>
        <v>210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45</v>
      </c>
      <c r="D29" s="6"/>
      <c r="E29" s="6"/>
      <c r="F29" s="6"/>
      <c r="G29" s="6"/>
      <c r="H29" s="6"/>
      <c r="I29" s="6"/>
      <c r="J29" s="6">
        <f t="shared" si="0"/>
        <v>45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30</v>
      </c>
      <c r="D30" s="6"/>
      <c r="E30" s="6"/>
      <c r="F30" s="6"/>
      <c r="G30" s="6"/>
      <c r="H30" s="6"/>
      <c r="I30" s="6"/>
      <c r="J30" s="6">
        <f t="shared" si="0"/>
        <v>30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8</v>
      </c>
      <c r="D31" s="6"/>
      <c r="E31" s="6"/>
      <c r="F31" s="6"/>
      <c r="G31" s="6"/>
      <c r="H31" s="6"/>
      <c r="I31" s="6"/>
      <c r="J31" s="6">
        <f t="shared" si="0"/>
        <v>8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571</v>
      </c>
      <c r="D32" s="6"/>
      <c r="E32" s="6">
        <v>70</v>
      </c>
      <c r="F32" s="6"/>
      <c r="G32" s="6"/>
      <c r="H32" s="6"/>
      <c r="I32" s="6"/>
      <c r="J32" s="6">
        <f t="shared" si="0"/>
        <v>501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377</v>
      </c>
      <c r="D36" s="6"/>
      <c r="E36" s="6"/>
      <c r="F36" s="6"/>
      <c r="G36" s="6"/>
      <c r="H36" s="6"/>
      <c r="I36" s="6"/>
      <c r="J36" s="6">
        <f t="shared" si="0"/>
        <v>377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95</v>
      </c>
      <c r="D37" s="6"/>
      <c r="E37" s="6"/>
      <c r="F37" s="6"/>
      <c r="G37" s="6"/>
      <c r="H37" s="6"/>
      <c r="I37" s="6"/>
      <c r="J37" s="6">
        <f t="shared" si="0"/>
        <v>95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51</v>
      </c>
      <c r="D39" s="6"/>
      <c r="E39" s="6"/>
      <c r="F39" s="6"/>
      <c r="G39" s="6"/>
      <c r="H39" s="6"/>
      <c r="I39" s="6"/>
      <c r="J39" s="6">
        <f t="shared" si="0"/>
        <v>51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16</v>
      </c>
      <c r="D40" s="6"/>
      <c r="E40" s="6"/>
      <c r="F40" s="6"/>
      <c r="G40" s="6"/>
      <c r="H40" s="6"/>
      <c r="I40" s="6"/>
      <c r="J40" s="6">
        <f t="shared" si="0"/>
        <v>16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83</v>
      </c>
      <c r="D41" s="6"/>
      <c r="E41" s="6"/>
      <c r="F41" s="6"/>
      <c r="G41" s="6"/>
      <c r="H41" s="6"/>
      <c r="I41" s="6"/>
      <c r="J41" s="6">
        <f t="shared" si="0"/>
        <v>83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31</v>
      </c>
      <c r="D42" s="6"/>
      <c r="E42" s="6"/>
      <c r="F42" s="6"/>
      <c r="G42" s="6"/>
      <c r="H42" s="6"/>
      <c r="I42" s="6"/>
      <c r="J42" s="6">
        <f t="shared" si="0"/>
        <v>31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293</v>
      </c>
      <c r="D43" s="6"/>
      <c r="E43" s="6"/>
      <c r="F43" s="6"/>
      <c r="G43" s="6"/>
      <c r="H43" s="6"/>
      <c r="I43" s="6"/>
      <c r="J43" s="6">
        <f t="shared" si="0"/>
        <v>293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58</v>
      </c>
      <c r="D44" s="6"/>
      <c r="E44" s="6"/>
      <c r="F44" s="6"/>
      <c r="G44" s="6"/>
      <c r="H44" s="6"/>
      <c r="I44" s="6"/>
      <c r="J44" s="6">
        <f t="shared" si="0"/>
        <v>58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16</v>
      </c>
      <c r="D45" s="6"/>
      <c r="E45" s="6"/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53</v>
      </c>
      <c r="D46" s="6"/>
      <c r="E46" s="6"/>
      <c r="F46" s="6"/>
      <c r="G46" s="6"/>
      <c r="H46" s="6"/>
      <c r="I46" s="6"/>
      <c r="J46" s="6">
        <f t="shared" si="0"/>
        <v>53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15</v>
      </c>
      <c r="D47" s="6"/>
      <c r="E47" s="6"/>
      <c r="F47" s="6"/>
      <c r="G47" s="6"/>
      <c r="H47" s="6"/>
      <c r="I47" s="6"/>
      <c r="J47" s="6">
        <f t="shared" si="0"/>
        <v>15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82</v>
      </c>
      <c r="D49" s="6"/>
      <c r="E49" s="6">
        <v>30</v>
      </c>
      <c r="F49" s="6">
        <v>50</v>
      </c>
      <c r="G49" s="6"/>
      <c r="H49" s="6"/>
      <c r="I49" s="6"/>
      <c r="J49" s="6">
        <f t="shared" si="0"/>
        <v>2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58</v>
      </c>
      <c r="D50" s="6"/>
      <c r="E50" s="6"/>
      <c r="F50" s="6"/>
      <c r="G50" s="6"/>
      <c r="H50" s="6"/>
      <c r="I50" s="6"/>
      <c r="J50" s="6">
        <f t="shared" si="0"/>
        <v>58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32</v>
      </c>
      <c r="D51" s="6"/>
      <c r="E51" s="6"/>
      <c r="F51" s="6"/>
      <c r="G51" s="6"/>
      <c r="H51" s="6"/>
      <c r="I51" s="6"/>
      <c r="J51" s="6">
        <f t="shared" si="0"/>
        <v>32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15</v>
      </c>
      <c r="D52" s="6"/>
      <c r="E52" s="6"/>
      <c r="F52" s="6"/>
      <c r="G52" s="6"/>
      <c r="H52" s="6"/>
      <c r="I52" s="6"/>
      <c r="J52" s="6">
        <f t="shared" si="0"/>
        <v>15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17</v>
      </c>
      <c r="D53" s="6"/>
      <c r="E53" s="6"/>
      <c r="F53" s="6"/>
      <c r="G53" s="6"/>
      <c r="H53" s="6"/>
      <c r="I53" s="6"/>
      <c r="J53" s="6">
        <f t="shared" si="0"/>
        <v>17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85</v>
      </c>
      <c r="D54" s="6"/>
      <c r="E54" s="6"/>
      <c r="F54" s="6"/>
      <c r="G54" s="6"/>
      <c r="H54" s="6"/>
      <c r="I54" s="6"/>
      <c r="J54" s="6">
        <f t="shared" si="0"/>
        <v>85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225</v>
      </c>
      <c r="D56" s="6"/>
      <c r="E56" s="6"/>
      <c r="F56" s="6"/>
      <c r="G56" s="6"/>
      <c r="H56" s="6"/>
      <c r="I56" s="6"/>
      <c r="J56" s="6">
        <f t="shared" si="0"/>
        <v>225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0</v>
      </c>
      <c r="D58" s="6">
        <v>41</v>
      </c>
      <c r="E58" s="6"/>
      <c r="F58" s="6"/>
      <c r="G58" s="6"/>
      <c r="H58" s="6"/>
      <c r="I58" s="6"/>
      <c r="J58" s="6">
        <f t="shared" si="0"/>
        <v>41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52</v>
      </c>
      <c r="D60" s="6"/>
      <c r="E60" s="6"/>
      <c r="F60" s="6"/>
      <c r="G60" s="6"/>
      <c r="H60" s="6"/>
      <c r="I60" s="6"/>
      <c r="J60" s="6">
        <f t="shared" si="0"/>
        <v>52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28</v>
      </c>
      <c r="D61" s="6"/>
      <c r="E61" s="6"/>
      <c r="F61" s="6"/>
      <c r="G61" s="6"/>
      <c r="H61" s="6"/>
      <c r="I61" s="6"/>
      <c r="J61" s="6">
        <f t="shared" si="0"/>
        <v>28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0</v>
      </c>
      <c r="D63" s="6"/>
      <c r="E63" s="6"/>
      <c r="F63" s="6"/>
      <c r="G63" s="6"/>
      <c r="H63" s="6"/>
      <c r="I63" s="6"/>
      <c r="J63" s="6">
        <f t="shared" si="0"/>
        <v>0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0</v>
      </c>
      <c r="D64" s="6"/>
      <c r="E64" s="6"/>
      <c r="F64" s="6"/>
      <c r="G64" s="6"/>
      <c r="H64" s="6"/>
      <c r="I64" s="6"/>
      <c r="J64" s="6">
        <f t="shared" si="0"/>
        <v>0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108</v>
      </c>
      <c r="C65" s="6">
        <v>9</v>
      </c>
      <c r="D65" s="6"/>
      <c r="E65" s="6"/>
      <c r="F65" s="6"/>
      <c r="G65" s="6"/>
      <c r="H65" s="6"/>
      <c r="I65" s="6"/>
      <c r="J65" s="6">
        <f t="shared" si="0"/>
        <v>9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0</v>
      </c>
      <c r="D66" s="6"/>
      <c r="E66" s="6"/>
      <c r="F66" s="6"/>
      <c r="G66" s="6"/>
      <c r="H66" s="6"/>
      <c r="I66" s="6"/>
      <c r="J66" s="6">
        <f t="shared" si="0"/>
        <v>0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9</v>
      </c>
      <c r="D67" s="6"/>
      <c r="E67" s="6"/>
      <c r="F67" s="6"/>
      <c r="G67" s="6"/>
      <c r="H67" s="6"/>
      <c r="I67" s="6"/>
      <c r="J67" s="6">
        <f t="shared" si="0"/>
        <v>9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36</v>
      </c>
      <c r="D68" s="6"/>
      <c r="E68" s="6"/>
      <c r="F68" s="6"/>
      <c r="G68" s="6"/>
      <c r="H68" s="6"/>
      <c r="I68" s="6"/>
      <c r="J68" s="6">
        <f t="shared" ref="J68:J78" si="1">+C68-E68-F68-G68-H68-I68+D68</f>
        <v>36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23</v>
      </c>
      <c r="D69" s="6"/>
      <c r="E69" s="6"/>
      <c r="F69" s="6"/>
      <c r="G69" s="6"/>
      <c r="H69" s="6"/>
      <c r="I69" s="6"/>
      <c r="J69" s="6">
        <f t="shared" si="1"/>
        <v>23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21</v>
      </c>
      <c r="D70" s="6"/>
      <c r="E70" s="6"/>
      <c r="F70" s="6">
        <v>2</v>
      </c>
      <c r="G70" s="6"/>
      <c r="H70" s="6"/>
      <c r="I70" s="6"/>
      <c r="J70" s="6">
        <f t="shared" si="1"/>
        <v>19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17</v>
      </c>
      <c r="D71" s="6"/>
      <c r="E71" s="6"/>
      <c r="F71" s="6"/>
      <c r="G71" s="6"/>
      <c r="H71" s="6"/>
      <c r="I71" s="6"/>
      <c r="J71" s="6">
        <f t="shared" si="1"/>
        <v>17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34</v>
      </c>
      <c r="D72" s="6"/>
      <c r="E72" s="6"/>
      <c r="F72" s="6"/>
      <c r="G72" s="6"/>
      <c r="H72" s="6"/>
      <c r="I72" s="6"/>
      <c r="J72" s="6">
        <f t="shared" si="1"/>
        <v>34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34</v>
      </c>
      <c r="D73" s="6"/>
      <c r="E73" s="6"/>
      <c r="F73" s="6"/>
      <c r="G73" s="6"/>
      <c r="H73" s="6"/>
      <c r="I73" s="6"/>
      <c r="J73" s="6">
        <f t="shared" si="1"/>
        <v>34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372</v>
      </c>
      <c r="D74" s="6">
        <v>83</v>
      </c>
      <c r="E74" s="6"/>
      <c r="F74" s="6"/>
      <c r="G74" s="6"/>
      <c r="H74" s="6"/>
      <c r="I74" s="6"/>
      <c r="J74" s="6">
        <f t="shared" si="1"/>
        <v>455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328</v>
      </c>
      <c r="D75" s="6"/>
      <c r="E75" s="6"/>
      <c r="F75" s="6"/>
      <c r="G75" s="6"/>
      <c r="H75" s="6"/>
      <c r="I75" s="6"/>
      <c r="J75" s="6">
        <f t="shared" si="1"/>
        <v>328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76</v>
      </c>
      <c r="D76" s="6"/>
      <c r="E76" s="6"/>
      <c r="F76" s="6"/>
      <c r="G76" s="6"/>
      <c r="H76" s="6"/>
      <c r="I76" s="6"/>
      <c r="J76" s="6">
        <f t="shared" si="1"/>
        <v>76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12</v>
      </c>
      <c r="D77" s="6">
        <v>42</v>
      </c>
      <c r="E77" s="6"/>
      <c r="F77" s="6"/>
      <c r="G77" s="6"/>
      <c r="H77" s="6"/>
      <c r="I77" s="6"/>
      <c r="J77" s="6">
        <f t="shared" si="1"/>
        <v>54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92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78"/>
  <sheetViews>
    <sheetView zoomScaleNormal="100" workbookViewId="0">
      <selection activeCell="I45" sqref="I45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45139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45145</v>
      </c>
      <c r="F2" s="4">
        <v>45152</v>
      </c>
      <c r="G2" s="4">
        <v>45159</v>
      </c>
      <c r="H2" s="4">
        <v>45166</v>
      </c>
      <c r="I2" s="4">
        <v>45169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120</v>
      </c>
      <c r="D3" s="6"/>
      <c r="E3" s="6"/>
      <c r="F3" s="6">
        <v>20</v>
      </c>
      <c r="G3" s="6"/>
      <c r="H3" s="6"/>
      <c r="I3" s="6"/>
      <c r="J3" s="6">
        <f>+C3-E3-F3-G3-H3-I3+D3</f>
        <v>100</v>
      </c>
      <c r="K3" s="13">
        <v>10</v>
      </c>
      <c r="L3" s="14">
        <v>50</v>
      </c>
    </row>
    <row r="4" spans="1:12" x14ac:dyDescent="0.25">
      <c r="A4" s="6">
        <v>2</v>
      </c>
      <c r="B4" s="7" t="s">
        <v>102</v>
      </c>
      <c r="C4" s="6">
        <v>14</v>
      </c>
      <c r="D4" s="6"/>
      <c r="E4" s="6"/>
      <c r="F4" s="6"/>
      <c r="G4" s="6">
        <v>3</v>
      </c>
      <c r="H4" s="6"/>
      <c r="I4" s="6"/>
      <c r="J4" s="6">
        <f t="shared" ref="J4:J67" si="0">+C4-E4-F4-G4-H4-I4+D4</f>
        <v>11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17</v>
      </c>
      <c r="D5" s="6"/>
      <c r="E5" s="6"/>
      <c r="F5" s="6"/>
      <c r="G5" s="6"/>
      <c r="H5" s="6"/>
      <c r="I5" s="6"/>
      <c r="J5" s="6">
        <f t="shared" si="0"/>
        <v>17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41</v>
      </c>
      <c r="D6" s="6"/>
      <c r="E6" s="6"/>
      <c r="F6" s="6"/>
      <c r="G6" s="6"/>
      <c r="H6" s="6"/>
      <c r="I6" s="6"/>
      <c r="J6" s="6">
        <f t="shared" si="0"/>
        <v>41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49</v>
      </c>
      <c r="D7" s="6"/>
      <c r="E7" s="6"/>
      <c r="F7" s="6"/>
      <c r="G7" s="6"/>
      <c r="H7" s="6">
        <v>5</v>
      </c>
      <c r="I7" s="6">
        <v>2</v>
      </c>
      <c r="J7" s="6">
        <f t="shared" si="0"/>
        <v>42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20</v>
      </c>
      <c r="D8" s="6">
        <v>32</v>
      </c>
      <c r="E8" s="6"/>
      <c r="F8" s="6"/>
      <c r="G8" s="6"/>
      <c r="H8" s="6"/>
      <c r="I8" s="6"/>
      <c r="J8" s="6">
        <f t="shared" si="0"/>
        <v>52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>
        <v>30</v>
      </c>
      <c r="E9" s="6"/>
      <c r="F9" s="6"/>
      <c r="G9" s="6"/>
      <c r="H9" s="6"/>
      <c r="I9" s="6"/>
      <c r="J9" s="6">
        <f t="shared" si="0"/>
        <v>30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0</v>
      </c>
      <c r="D10" s="6"/>
      <c r="E10" s="6"/>
      <c r="F10" s="6"/>
      <c r="G10" s="6"/>
      <c r="H10" s="6"/>
      <c r="I10" s="6"/>
      <c r="J10" s="6">
        <f t="shared" si="0"/>
        <v>0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287</v>
      </c>
      <c r="D11" s="6"/>
      <c r="E11" s="6"/>
      <c r="F11" s="6">
        <v>70</v>
      </c>
      <c r="G11" s="6"/>
      <c r="H11" s="6"/>
      <c r="I11" s="6"/>
      <c r="J11" s="6">
        <f t="shared" si="0"/>
        <v>217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323</v>
      </c>
      <c r="D12" s="6"/>
      <c r="E12" s="6"/>
      <c r="F12" s="6">
        <v>50</v>
      </c>
      <c r="G12" s="6"/>
      <c r="H12" s="6"/>
      <c r="I12" s="6"/>
      <c r="J12" s="6">
        <f t="shared" si="0"/>
        <v>273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14</v>
      </c>
      <c r="D13" s="6"/>
      <c r="E13" s="6"/>
      <c r="F13" s="6"/>
      <c r="G13" s="6"/>
      <c r="H13" s="6"/>
      <c r="I13" s="6"/>
      <c r="J13" s="6">
        <f t="shared" si="0"/>
        <v>14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0</v>
      </c>
      <c r="D14" s="6">
        <v>30</v>
      </c>
      <c r="E14" s="6"/>
      <c r="F14" s="6"/>
      <c r="G14" s="6"/>
      <c r="H14" s="6"/>
      <c r="I14" s="6"/>
      <c r="J14" s="6">
        <f t="shared" si="0"/>
        <v>30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69</v>
      </c>
      <c r="D15" s="6"/>
      <c r="E15" s="6"/>
      <c r="F15" s="6"/>
      <c r="G15" s="6"/>
      <c r="H15" s="6"/>
      <c r="I15" s="6"/>
      <c r="J15" s="6">
        <f t="shared" si="0"/>
        <v>69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149</v>
      </c>
      <c r="D16" s="6"/>
      <c r="E16" s="6"/>
      <c r="F16" s="6"/>
      <c r="G16" s="6"/>
      <c r="H16" s="6"/>
      <c r="I16" s="6"/>
      <c r="J16" s="6">
        <f t="shared" si="0"/>
        <v>149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128</v>
      </c>
      <c r="D17" s="6"/>
      <c r="E17" s="6"/>
      <c r="F17" s="6">
        <v>76</v>
      </c>
      <c r="G17" s="6">
        <v>12</v>
      </c>
      <c r="H17" s="6"/>
      <c r="I17" s="6">
        <v>3</v>
      </c>
      <c r="J17" s="6">
        <f t="shared" si="0"/>
        <v>37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216</v>
      </c>
      <c r="D18" s="6"/>
      <c r="E18" s="6"/>
      <c r="F18" s="6">
        <v>24</v>
      </c>
      <c r="G18" s="6">
        <v>14</v>
      </c>
      <c r="H18" s="6"/>
      <c r="I18" s="6">
        <v>20</v>
      </c>
      <c r="J18" s="6">
        <f t="shared" si="0"/>
        <v>158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3</v>
      </c>
      <c r="D19" s="6">
        <v>50</v>
      </c>
      <c r="E19" s="6"/>
      <c r="F19" s="6"/>
      <c r="G19" s="6">
        <v>3</v>
      </c>
      <c r="H19" s="6"/>
      <c r="I19" s="6">
        <v>2</v>
      </c>
      <c r="J19" s="6">
        <f t="shared" si="0"/>
        <v>48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51</v>
      </c>
      <c r="D20" s="6"/>
      <c r="E20" s="6"/>
      <c r="F20" s="6"/>
      <c r="G20" s="6"/>
      <c r="H20" s="6"/>
      <c r="I20" s="6"/>
      <c r="J20" s="6">
        <f t="shared" si="0"/>
        <v>51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52</v>
      </c>
      <c r="D21" s="6"/>
      <c r="E21" s="6"/>
      <c r="F21" s="6"/>
      <c r="G21" s="6"/>
      <c r="H21" s="6">
        <v>2</v>
      </c>
      <c r="I21" s="6"/>
      <c r="J21" s="6">
        <f t="shared" si="0"/>
        <v>50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32</v>
      </c>
      <c r="D22" s="6"/>
      <c r="E22" s="6"/>
      <c r="F22" s="6"/>
      <c r="G22" s="6"/>
      <c r="H22" s="6">
        <v>2</v>
      </c>
      <c r="I22" s="6"/>
      <c r="J22" s="6">
        <f t="shared" si="0"/>
        <v>30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</v>
      </c>
      <c r="D23" s="6"/>
      <c r="E23" s="6"/>
      <c r="F23" s="6"/>
      <c r="G23" s="6"/>
      <c r="H23" s="6"/>
      <c r="I23" s="6"/>
      <c r="J23" s="6">
        <f t="shared" si="0"/>
        <v>1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</v>
      </c>
      <c r="D24" s="6">
        <v>16</v>
      </c>
      <c r="E24" s="6"/>
      <c r="F24" s="6"/>
      <c r="G24" s="6"/>
      <c r="H24" s="6"/>
      <c r="I24" s="6"/>
      <c r="J24" s="6">
        <f t="shared" si="0"/>
        <v>19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36</v>
      </c>
      <c r="D25" s="6"/>
      <c r="E25" s="6"/>
      <c r="F25" s="6"/>
      <c r="G25" s="6"/>
      <c r="H25" s="6"/>
      <c r="I25" s="6"/>
      <c r="J25" s="6">
        <f t="shared" si="0"/>
        <v>36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210</v>
      </c>
      <c r="D26" s="6"/>
      <c r="E26" s="6"/>
      <c r="F26" s="6"/>
      <c r="G26" s="6"/>
      <c r="H26" s="6"/>
      <c r="I26" s="6"/>
      <c r="J26" s="6">
        <f t="shared" si="0"/>
        <v>210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f>'KASIM 3 HAFTA '!J27</f>
        <v>483</v>
      </c>
      <c r="D27" s="6"/>
      <c r="E27" s="6"/>
      <c r="F27" s="6"/>
      <c r="G27" s="6"/>
      <c r="H27" s="6"/>
      <c r="I27" s="6"/>
      <c r="J27" s="6">
        <f t="shared" si="0"/>
        <v>483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f>'KASIM 3 HAFTA '!J28</f>
        <v>62</v>
      </c>
      <c r="D28" s="6"/>
      <c r="E28" s="6"/>
      <c r="F28" s="6"/>
      <c r="G28" s="6"/>
      <c r="H28" s="6"/>
      <c r="I28" s="6"/>
      <c r="J28" s="6">
        <f t="shared" si="0"/>
        <v>62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45</v>
      </c>
      <c r="D29" s="6"/>
      <c r="E29" s="6"/>
      <c r="F29" s="6"/>
      <c r="G29" s="6"/>
      <c r="H29" s="6"/>
      <c r="I29" s="6"/>
      <c r="J29" s="6">
        <f t="shared" si="0"/>
        <v>45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30</v>
      </c>
      <c r="D30" s="6"/>
      <c r="E30" s="6"/>
      <c r="F30" s="6"/>
      <c r="G30" s="6"/>
      <c r="H30" s="6"/>
      <c r="I30" s="6"/>
      <c r="J30" s="6">
        <f t="shared" si="0"/>
        <v>30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8</v>
      </c>
      <c r="D31" s="6"/>
      <c r="E31" s="6"/>
      <c r="F31" s="6"/>
      <c r="G31" s="6"/>
      <c r="H31" s="6"/>
      <c r="I31" s="6"/>
      <c r="J31" s="6">
        <f t="shared" si="0"/>
        <v>8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300</v>
      </c>
      <c r="D32" s="6"/>
      <c r="E32" s="6"/>
      <c r="F32" s="6">
        <v>250</v>
      </c>
      <c r="G32" s="6">
        <v>30</v>
      </c>
      <c r="H32" s="6"/>
      <c r="I32" s="6"/>
      <c r="J32" s="6">
        <f t="shared" si="0"/>
        <v>20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f>'KASIM 3 HAFTA '!J33</f>
        <v>240</v>
      </c>
      <c r="D33" s="6"/>
      <c r="E33" s="6"/>
      <c r="F33" s="6"/>
      <c r="G33" s="6"/>
      <c r="H33" s="6"/>
      <c r="I33" s="6"/>
      <c r="J33" s="6">
        <f t="shared" si="0"/>
        <v>240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f>'KASIM 3 HAFTA '!J34</f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f>'KASIM 3 HAFTA '!J35</f>
        <v>29</v>
      </c>
      <c r="D35" s="6"/>
      <c r="E35" s="6"/>
      <c r="F35" s="6"/>
      <c r="G35" s="6"/>
      <c r="H35" s="6"/>
      <c r="I35" s="6"/>
      <c r="J35" s="6">
        <f t="shared" si="0"/>
        <v>29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377</v>
      </c>
      <c r="D36" s="6"/>
      <c r="E36" s="6"/>
      <c r="F36" s="6"/>
      <c r="G36" s="6"/>
      <c r="H36" s="6"/>
      <c r="I36" s="6"/>
      <c r="J36" s="6">
        <f t="shared" si="0"/>
        <v>377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95</v>
      </c>
      <c r="D37" s="6"/>
      <c r="E37" s="6"/>
      <c r="F37" s="6"/>
      <c r="G37" s="6"/>
      <c r="H37" s="6"/>
      <c r="I37" s="6"/>
      <c r="J37" s="6">
        <f t="shared" si="0"/>
        <v>95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f>'KASIM 3 HAFTA '!J38</f>
        <v>36</v>
      </c>
      <c r="D38" s="6"/>
      <c r="E38" s="6"/>
      <c r="F38" s="6"/>
      <c r="G38" s="6"/>
      <c r="H38" s="6"/>
      <c r="I38" s="6"/>
      <c r="J38" s="6">
        <f t="shared" si="0"/>
        <v>36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51</v>
      </c>
      <c r="D39" s="6"/>
      <c r="E39" s="6"/>
      <c r="F39" s="6"/>
      <c r="G39" s="6"/>
      <c r="H39" s="6"/>
      <c r="I39" s="6"/>
      <c r="J39" s="6">
        <f t="shared" si="0"/>
        <v>51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16</v>
      </c>
      <c r="D40" s="6"/>
      <c r="E40" s="6"/>
      <c r="F40" s="6"/>
      <c r="G40" s="6"/>
      <c r="H40" s="6"/>
      <c r="I40" s="6"/>
      <c r="J40" s="6">
        <f t="shared" si="0"/>
        <v>16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83</v>
      </c>
      <c r="D41" s="6"/>
      <c r="E41" s="6"/>
      <c r="F41" s="6"/>
      <c r="G41" s="6"/>
      <c r="H41" s="6"/>
      <c r="I41" s="6"/>
      <c r="J41" s="6">
        <f t="shared" si="0"/>
        <v>83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31</v>
      </c>
      <c r="D42" s="6"/>
      <c r="E42" s="6"/>
      <c r="F42" s="6"/>
      <c r="G42" s="6">
        <v>3</v>
      </c>
      <c r="H42" s="6"/>
      <c r="I42" s="6"/>
      <c r="J42" s="6">
        <f t="shared" si="0"/>
        <v>28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293</v>
      </c>
      <c r="D43" s="6"/>
      <c r="E43" s="6">
        <v>15</v>
      </c>
      <c r="F43" s="6"/>
      <c r="G43" s="6"/>
      <c r="H43" s="6"/>
      <c r="I43" s="6"/>
      <c r="J43" s="6">
        <f t="shared" si="0"/>
        <v>278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58</v>
      </c>
      <c r="D44" s="6"/>
      <c r="E44" s="6"/>
      <c r="F44" s="6"/>
      <c r="G44" s="6"/>
      <c r="H44" s="6"/>
      <c r="I44" s="6">
        <v>2</v>
      </c>
      <c r="J44" s="6">
        <f t="shared" si="0"/>
        <v>56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16</v>
      </c>
      <c r="D45" s="6"/>
      <c r="E45" s="6"/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53</v>
      </c>
      <c r="D46" s="6"/>
      <c r="E46" s="6"/>
      <c r="F46" s="6"/>
      <c r="G46" s="6"/>
      <c r="H46" s="6"/>
      <c r="I46" s="6"/>
      <c r="J46" s="6">
        <f t="shared" si="0"/>
        <v>53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15</v>
      </c>
      <c r="D47" s="6"/>
      <c r="E47" s="6"/>
      <c r="F47" s="6"/>
      <c r="G47" s="6"/>
      <c r="H47" s="6"/>
      <c r="I47" s="6"/>
      <c r="J47" s="6">
        <f t="shared" si="0"/>
        <v>15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f>'KASIM 3 HAFTA '!J48</f>
        <v>29</v>
      </c>
      <c r="D48" s="6"/>
      <c r="E48" s="6"/>
      <c r="F48" s="6"/>
      <c r="G48" s="6"/>
      <c r="H48" s="6"/>
      <c r="I48" s="6"/>
      <c r="J48" s="6">
        <f t="shared" si="0"/>
        <v>29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2</v>
      </c>
      <c r="D49" s="6"/>
      <c r="E49" s="6"/>
      <c r="F49" s="6"/>
      <c r="G49" s="6"/>
      <c r="H49" s="6"/>
      <c r="I49" s="6"/>
      <c r="J49" s="6">
        <f t="shared" si="0"/>
        <v>2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58</v>
      </c>
      <c r="D50" s="6"/>
      <c r="E50" s="6"/>
      <c r="F50" s="6"/>
      <c r="G50" s="6"/>
      <c r="H50" s="6"/>
      <c r="I50" s="6"/>
      <c r="J50" s="6">
        <f t="shared" si="0"/>
        <v>58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32</v>
      </c>
      <c r="D51" s="6"/>
      <c r="E51" s="6"/>
      <c r="F51" s="6"/>
      <c r="G51" s="6"/>
      <c r="H51" s="6"/>
      <c r="I51" s="6"/>
      <c r="J51" s="6">
        <f t="shared" si="0"/>
        <v>32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15</v>
      </c>
      <c r="D52" s="6"/>
      <c r="E52" s="6"/>
      <c r="F52" s="6"/>
      <c r="G52" s="6"/>
      <c r="H52" s="6"/>
      <c r="I52" s="6"/>
      <c r="J52" s="6">
        <f t="shared" si="0"/>
        <v>15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17</v>
      </c>
      <c r="D53" s="6"/>
      <c r="E53" s="6"/>
      <c r="F53" s="6"/>
      <c r="G53" s="6"/>
      <c r="H53" s="6"/>
      <c r="I53" s="6"/>
      <c r="J53" s="6">
        <f t="shared" si="0"/>
        <v>17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85</v>
      </c>
      <c r="D54" s="6"/>
      <c r="E54" s="6"/>
      <c r="F54" s="6"/>
      <c r="G54" s="6"/>
      <c r="H54" s="6"/>
      <c r="I54" s="6"/>
      <c r="J54" s="6">
        <f t="shared" si="0"/>
        <v>85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75</v>
      </c>
      <c r="D55" s="6"/>
      <c r="E55" s="6"/>
      <c r="F55" s="6"/>
      <c r="G55" s="6"/>
      <c r="H55" s="6"/>
      <c r="I55" s="6"/>
      <c r="J55" s="6">
        <f t="shared" si="0"/>
        <v>75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225</v>
      </c>
      <c r="D56" s="6"/>
      <c r="E56" s="6"/>
      <c r="F56" s="6"/>
      <c r="G56" s="6"/>
      <c r="H56" s="6"/>
      <c r="I56" s="6"/>
      <c r="J56" s="6">
        <f t="shared" si="0"/>
        <v>225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f>'KASIM 3 HAFTA '!J57</f>
        <v>76</v>
      </c>
      <c r="D57" s="6"/>
      <c r="E57" s="6"/>
      <c r="F57" s="6"/>
      <c r="G57" s="6"/>
      <c r="H57" s="6"/>
      <c r="I57" s="6"/>
      <c r="J57" s="6">
        <f t="shared" si="0"/>
        <v>76</v>
      </c>
      <c r="K57" s="13">
        <v>0</v>
      </c>
      <c r="L57" s="14"/>
    </row>
    <row r="58" spans="1:12" x14ac:dyDescent="0.25">
      <c r="A58" s="6">
        <v>56</v>
      </c>
      <c r="B58" s="7" t="s">
        <v>55</v>
      </c>
      <c r="C58" s="6">
        <v>0</v>
      </c>
      <c r="D58" s="6">
        <v>62</v>
      </c>
      <c r="E58" s="6"/>
      <c r="F58" s="6"/>
      <c r="G58" s="6"/>
      <c r="H58" s="6"/>
      <c r="I58" s="6"/>
      <c r="J58" s="6">
        <f t="shared" si="0"/>
        <v>62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52</v>
      </c>
      <c r="D60" s="6"/>
      <c r="E60" s="6"/>
      <c r="F60" s="6"/>
      <c r="G60" s="6"/>
      <c r="H60" s="6"/>
      <c r="I60" s="6"/>
      <c r="J60" s="6">
        <f t="shared" si="0"/>
        <v>52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28</v>
      </c>
      <c r="D61" s="6"/>
      <c r="E61" s="6"/>
      <c r="F61" s="6"/>
      <c r="G61" s="6"/>
      <c r="H61" s="6"/>
      <c r="I61" s="6"/>
      <c r="J61" s="6">
        <f t="shared" si="0"/>
        <v>28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0</v>
      </c>
      <c r="D63" s="6"/>
      <c r="E63" s="6"/>
      <c r="F63" s="6"/>
      <c r="G63" s="6"/>
      <c r="H63" s="6"/>
      <c r="I63" s="6"/>
      <c r="J63" s="6">
        <f t="shared" si="0"/>
        <v>0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0</v>
      </c>
      <c r="D64" s="6"/>
      <c r="E64" s="6"/>
      <c r="F64" s="6"/>
      <c r="G64" s="6"/>
      <c r="H64" s="6"/>
      <c r="I64" s="6"/>
      <c r="J64" s="6">
        <f t="shared" si="0"/>
        <v>0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108</v>
      </c>
      <c r="C65" s="6">
        <v>9</v>
      </c>
      <c r="D65" s="6"/>
      <c r="E65" s="6"/>
      <c r="F65" s="6"/>
      <c r="G65" s="6">
        <v>3</v>
      </c>
      <c r="H65" s="6"/>
      <c r="I65" s="6"/>
      <c r="J65" s="6">
        <f t="shared" si="0"/>
        <v>6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0</v>
      </c>
      <c r="D66" s="6">
        <v>27</v>
      </c>
      <c r="E66" s="6"/>
      <c r="F66" s="6"/>
      <c r="G66" s="6"/>
      <c r="H66" s="6">
        <v>10</v>
      </c>
      <c r="I66" s="6"/>
      <c r="J66" s="6">
        <f t="shared" si="0"/>
        <v>17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9</v>
      </c>
      <c r="D67" s="6">
        <v>30</v>
      </c>
      <c r="E67" s="6"/>
      <c r="F67" s="6"/>
      <c r="G67" s="6"/>
      <c r="H67" s="6"/>
      <c r="I67" s="6"/>
      <c r="J67" s="6">
        <f t="shared" si="0"/>
        <v>39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36</v>
      </c>
      <c r="D68" s="6"/>
      <c r="E68" s="6"/>
      <c r="F68" s="6"/>
      <c r="G68" s="6">
        <v>3</v>
      </c>
      <c r="H68" s="6"/>
      <c r="I68" s="6"/>
      <c r="J68" s="6">
        <f t="shared" ref="J68:J78" si="1">+C68-E68-F68-G68-H68-I68+D68</f>
        <v>33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23</v>
      </c>
      <c r="D69" s="6">
        <v>30</v>
      </c>
      <c r="E69" s="6"/>
      <c r="F69" s="6"/>
      <c r="G69" s="6">
        <v>0</v>
      </c>
      <c r="H69" s="6"/>
      <c r="I69" s="6"/>
      <c r="J69" s="6">
        <f t="shared" si="1"/>
        <v>53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19</v>
      </c>
      <c r="D70" s="6"/>
      <c r="E70" s="6"/>
      <c r="F70" s="6"/>
      <c r="G70" s="6"/>
      <c r="H70" s="6"/>
      <c r="I70" s="6"/>
      <c r="J70" s="6">
        <f t="shared" si="1"/>
        <v>19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17</v>
      </c>
      <c r="D71" s="6"/>
      <c r="E71" s="6"/>
      <c r="F71" s="6"/>
      <c r="G71" s="6"/>
      <c r="H71" s="6"/>
      <c r="I71" s="6"/>
      <c r="J71" s="6">
        <f t="shared" si="1"/>
        <v>17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7</v>
      </c>
      <c r="D72" s="6">
        <v>20</v>
      </c>
      <c r="E72" s="6"/>
      <c r="F72" s="6">
        <v>7</v>
      </c>
      <c r="G72" s="6"/>
      <c r="H72" s="6"/>
      <c r="I72" s="6"/>
      <c r="J72" s="6">
        <f t="shared" si="1"/>
        <v>20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34</v>
      </c>
      <c r="D73" s="6"/>
      <c r="E73" s="6"/>
      <c r="F73" s="6"/>
      <c r="G73" s="6">
        <v>1</v>
      </c>
      <c r="H73" s="6"/>
      <c r="I73" s="6"/>
      <c r="J73" s="6">
        <f t="shared" si="1"/>
        <v>33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455</v>
      </c>
      <c r="D74" s="6"/>
      <c r="E74" s="6"/>
      <c r="F74" s="6"/>
      <c r="G74" s="6">
        <v>1</v>
      </c>
      <c r="H74" s="6"/>
      <c r="I74" s="6">
        <v>4</v>
      </c>
      <c r="J74" s="6">
        <f t="shared" si="1"/>
        <v>450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328</v>
      </c>
      <c r="D75" s="6"/>
      <c r="E75" s="6"/>
      <c r="F75" s="6"/>
      <c r="G75" s="6"/>
      <c r="H75" s="6"/>
      <c r="I75" s="6"/>
      <c r="J75" s="6">
        <f t="shared" si="1"/>
        <v>328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76</v>
      </c>
      <c r="D76" s="6"/>
      <c r="E76" s="6"/>
      <c r="F76" s="6"/>
      <c r="G76" s="6"/>
      <c r="H76" s="6">
        <v>2</v>
      </c>
      <c r="I76" s="6"/>
      <c r="J76" s="6">
        <f t="shared" si="1"/>
        <v>74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54</v>
      </c>
      <c r="D77" s="6">
        <v>63</v>
      </c>
      <c r="E77" s="6"/>
      <c r="F77" s="6"/>
      <c r="G77" s="6">
        <v>1</v>
      </c>
      <c r="H77" s="6">
        <v>100</v>
      </c>
      <c r="I77" s="6">
        <v>4</v>
      </c>
      <c r="J77" s="6">
        <f t="shared" si="1"/>
        <v>12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92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78"/>
  <sheetViews>
    <sheetView zoomScaleNormal="100" workbookViewId="0">
      <selection activeCell="J3" sqref="J3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45170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45176</v>
      </c>
      <c r="F2" s="4">
        <v>45183</v>
      </c>
      <c r="G2" s="4">
        <v>45189</v>
      </c>
      <c r="H2" s="4">
        <v>45194</v>
      </c>
      <c r="I2" s="4">
        <v>45199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22</v>
      </c>
      <c r="D3" s="6"/>
      <c r="E3" s="6"/>
      <c r="F3" s="6"/>
      <c r="G3" s="6"/>
      <c r="H3" s="6"/>
      <c r="I3" s="6"/>
      <c r="J3" s="6">
        <f>+C3-E3-F3-G3-H3-I3+D3</f>
        <v>22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34</v>
      </c>
      <c r="D4" s="6"/>
      <c r="E4" s="6"/>
      <c r="F4" s="6"/>
      <c r="G4" s="6"/>
      <c r="H4" s="6">
        <v>1</v>
      </c>
      <c r="I4" s="6">
        <v>6</v>
      </c>
      <c r="J4" s="6">
        <f t="shared" ref="J4:J67" si="0">+C4-E4-F4-G4-H4-I4+D4</f>
        <v>27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15</v>
      </c>
      <c r="D5" s="6"/>
      <c r="E5" s="6"/>
      <c r="F5" s="6"/>
      <c r="G5" s="6"/>
      <c r="H5" s="6"/>
      <c r="I5" s="6"/>
      <c r="J5" s="6">
        <f t="shared" si="0"/>
        <v>15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34</v>
      </c>
      <c r="D6" s="6"/>
      <c r="E6" s="6"/>
      <c r="F6" s="6"/>
      <c r="G6" s="6"/>
      <c r="H6" s="6">
        <v>2</v>
      </c>
      <c r="I6" s="6">
        <v>8</v>
      </c>
      <c r="J6" s="6">
        <f t="shared" si="0"/>
        <v>24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33</v>
      </c>
      <c r="D7" s="6"/>
      <c r="E7" s="6"/>
      <c r="F7" s="6"/>
      <c r="G7" s="6"/>
      <c r="H7" s="6">
        <v>3</v>
      </c>
      <c r="I7" s="6">
        <v>3</v>
      </c>
      <c r="J7" s="6">
        <f t="shared" si="0"/>
        <v>27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32</v>
      </c>
      <c r="D8" s="6"/>
      <c r="E8" s="6">
        <v>4</v>
      </c>
      <c r="F8" s="6"/>
      <c r="G8" s="6"/>
      <c r="H8" s="6"/>
      <c r="I8" s="6"/>
      <c r="J8" s="6">
        <f t="shared" si="0"/>
        <v>28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13</v>
      </c>
      <c r="D9" s="6"/>
      <c r="E9" s="6"/>
      <c r="F9" s="6"/>
      <c r="G9" s="6"/>
      <c r="H9" s="6"/>
      <c r="I9" s="6"/>
      <c r="J9" s="6">
        <f t="shared" si="0"/>
        <v>13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20</v>
      </c>
      <c r="D10" s="6"/>
      <c r="E10" s="6"/>
      <c r="F10" s="6"/>
      <c r="G10" s="6"/>
      <c r="H10" s="6"/>
      <c r="I10" s="6"/>
      <c r="J10" s="6">
        <f t="shared" si="0"/>
        <v>20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251</v>
      </c>
      <c r="D11" s="6"/>
      <c r="E11" s="6"/>
      <c r="F11" s="6">
        <v>40</v>
      </c>
      <c r="G11" s="6"/>
      <c r="H11" s="6"/>
      <c r="I11" s="6"/>
      <c r="J11" s="6">
        <f t="shared" si="0"/>
        <v>211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142</v>
      </c>
      <c r="D12" s="6">
        <v>141</v>
      </c>
      <c r="E12" s="6">
        <v>142</v>
      </c>
      <c r="F12" s="6"/>
      <c r="G12" s="6"/>
      <c r="H12" s="6"/>
      <c r="I12" s="6"/>
      <c r="J12" s="6">
        <f t="shared" si="0"/>
        <v>141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70</v>
      </c>
      <c r="D13" s="6"/>
      <c r="E13" s="6"/>
      <c r="F13" s="6"/>
      <c r="G13" s="6"/>
      <c r="H13" s="6"/>
      <c r="I13" s="6"/>
      <c r="J13" s="6">
        <f t="shared" si="0"/>
        <v>70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74</v>
      </c>
      <c r="D14" s="6"/>
      <c r="E14" s="6"/>
      <c r="F14" s="6"/>
      <c r="G14" s="6"/>
      <c r="H14" s="6"/>
      <c r="I14" s="6"/>
      <c r="J14" s="6">
        <f t="shared" si="0"/>
        <v>74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25</v>
      </c>
      <c r="D15" s="6"/>
      <c r="E15" s="6"/>
      <c r="F15" s="6"/>
      <c r="G15" s="6"/>
      <c r="H15" s="6"/>
      <c r="I15" s="6"/>
      <c r="J15" s="6">
        <f t="shared" si="0"/>
        <v>25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46</v>
      </c>
      <c r="D16" s="6"/>
      <c r="E16" s="6"/>
      <c r="F16" s="6"/>
      <c r="G16" s="6"/>
      <c r="H16" s="6"/>
      <c r="I16" s="6"/>
      <c r="J16" s="6">
        <f t="shared" si="0"/>
        <v>46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130</v>
      </c>
      <c r="D17" s="6"/>
      <c r="E17" s="6">
        <v>3</v>
      </c>
      <c r="F17" s="6">
        <v>10</v>
      </c>
      <c r="G17" s="6">
        <v>85</v>
      </c>
      <c r="H17" s="6">
        <v>7</v>
      </c>
      <c r="I17" s="6">
        <v>20</v>
      </c>
      <c r="J17" s="6">
        <f t="shared" si="0"/>
        <v>5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80</v>
      </c>
      <c r="D18" s="6"/>
      <c r="E18" s="6"/>
      <c r="F18" s="6">
        <v>8</v>
      </c>
      <c r="G18" s="6"/>
      <c r="H18" s="6">
        <v>28</v>
      </c>
      <c r="I18" s="6">
        <v>2</v>
      </c>
      <c r="J18" s="6">
        <f t="shared" si="0"/>
        <v>42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80</v>
      </c>
      <c r="D19" s="6">
        <v>89</v>
      </c>
      <c r="E19" s="6">
        <v>80</v>
      </c>
      <c r="F19" s="6">
        <v>14</v>
      </c>
      <c r="G19" s="6"/>
      <c r="H19" s="6">
        <v>4</v>
      </c>
      <c r="I19" s="6"/>
      <c r="J19" s="6">
        <f t="shared" si="0"/>
        <v>71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0</v>
      </c>
      <c r="D20" s="6"/>
      <c r="E20" s="6"/>
      <c r="F20" s="6"/>
      <c r="G20" s="6"/>
      <c r="H20" s="6"/>
      <c r="I20" s="6"/>
      <c r="J20" s="6">
        <f t="shared" si="0"/>
        <v>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72</v>
      </c>
      <c r="D21" s="6">
        <v>84</v>
      </c>
      <c r="E21" s="6">
        <v>72</v>
      </c>
      <c r="F21" s="6">
        <v>42</v>
      </c>
      <c r="G21" s="6"/>
      <c r="H21" s="6"/>
      <c r="I21" s="6">
        <v>4</v>
      </c>
      <c r="J21" s="6">
        <f t="shared" si="0"/>
        <v>38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13</v>
      </c>
      <c r="D22" s="6"/>
      <c r="E22" s="6"/>
      <c r="F22" s="6">
        <v>5</v>
      </c>
      <c r="G22" s="6"/>
      <c r="H22" s="6"/>
      <c r="I22" s="6"/>
      <c r="J22" s="6">
        <f t="shared" si="0"/>
        <v>8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13</v>
      </c>
      <c r="D24" s="6"/>
      <c r="E24" s="6"/>
      <c r="F24" s="6"/>
      <c r="G24" s="6"/>
      <c r="H24" s="6">
        <v>3</v>
      </c>
      <c r="I24" s="6"/>
      <c r="J24" s="6">
        <f t="shared" si="0"/>
        <v>10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12</v>
      </c>
      <c r="D25" s="6"/>
      <c r="E25" s="6"/>
      <c r="F25" s="6"/>
      <c r="G25" s="6"/>
      <c r="H25" s="6"/>
      <c r="I25" s="6"/>
      <c r="J25" s="6">
        <f t="shared" si="0"/>
        <v>12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522</v>
      </c>
      <c r="D26" s="6"/>
      <c r="E26" s="6"/>
      <c r="F26" s="6"/>
      <c r="G26" s="6">
        <v>50</v>
      </c>
      <c r="H26" s="6"/>
      <c r="I26" s="6"/>
      <c r="J26" s="6">
        <f t="shared" si="0"/>
        <v>472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52</v>
      </c>
      <c r="D32" s="6">
        <v>572</v>
      </c>
      <c r="E32" s="6"/>
      <c r="F32" s="6"/>
      <c r="G32" s="6"/>
      <c r="H32" s="6"/>
      <c r="I32" s="6"/>
      <c r="J32" s="6">
        <f t="shared" si="0"/>
        <v>624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v>0</v>
      </c>
      <c r="D33" s="6"/>
      <c r="E33" s="6"/>
      <c r="F33" s="6"/>
      <c r="G33" s="6"/>
      <c r="H33" s="6"/>
      <c r="I33" s="6"/>
      <c r="J33" s="6">
        <f t="shared" si="0"/>
        <v>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v>0</v>
      </c>
      <c r="D34" s="6"/>
      <c r="E34" s="6"/>
      <c r="F34" s="6"/>
      <c r="G34" s="6"/>
      <c r="H34" s="6"/>
      <c r="I34" s="6"/>
      <c r="J34" s="6">
        <f t="shared" si="0"/>
        <v>0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43</v>
      </c>
      <c r="D37" s="6"/>
      <c r="E37" s="6"/>
      <c r="F37" s="6"/>
      <c r="G37" s="6"/>
      <c r="H37" s="6"/>
      <c r="I37" s="6"/>
      <c r="J37" s="6">
        <f t="shared" si="0"/>
        <v>43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28</v>
      </c>
      <c r="D39" s="6"/>
      <c r="E39" s="6"/>
      <c r="F39" s="6"/>
      <c r="G39" s="6"/>
      <c r="H39" s="6"/>
      <c r="I39" s="6"/>
      <c r="J39" s="6">
        <f t="shared" si="0"/>
        <v>28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25</v>
      </c>
      <c r="D40" s="6"/>
      <c r="E40" s="6">
        <v>4</v>
      </c>
      <c r="F40" s="6"/>
      <c r="G40" s="6"/>
      <c r="H40" s="6">
        <v>2</v>
      </c>
      <c r="I40" s="6"/>
      <c r="J40" s="6">
        <f t="shared" si="0"/>
        <v>19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44</v>
      </c>
      <c r="D41" s="6"/>
      <c r="E41" s="6"/>
      <c r="F41" s="6"/>
      <c r="G41" s="6"/>
      <c r="H41" s="6"/>
      <c r="I41" s="6"/>
      <c r="J41" s="6">
        <f t="shared" si="0"/>
        <v>44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8</v>
      </c>
      <c r="D42" s="6"/>
      <c r="E42" s="6"/>
      <c r="F42" s="6"/>
      <c r="G42" s="6"/>
      <c r="H42" s="6"/>
      <c r="I42" s="6"/>
      <c r="J42" s="6">
        <f t="shared" si="0"/>
        <v>8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546</v>
      </c>
      <c r="D43" s="6"/>
      <c r="E43" s="6">
        <v>55</v>
      </c>
      <c r="F43" s="6">
        <v>4</v>
      </c>
      <c r="G43" s="6"/>
      <c r="H43" s="6"/>
      <c r="I43" s="6"/>
      <c r="J43" s="6">
        <f t="shared" si="0"/>
        <v>487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48</v>
      </c>
      <c r="D44" s="6"/>
      <c r="E44" s="6"/>
      <c r="F44" s="6"/>
      <c r="G44" s="6"/>
      <c r="H44" s="6"/>
      <c r="I44" s="6"/>
      <c r="J44" s="6">
        <f t="shared" si="0"/>
        <v>48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36</v>
      </c>
      <c r="D45" s="6"/>
      <c r="E45" s="6"/>
      <c r="F45" s="6"/>
      <c r="G45" s="6"/>
      <c r="H45" s="6"/>
      <c r="I45" s="6"/>
      <c r="J45" s="6">
        <f t="shared" si="0"/>
        <v>36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50</v>
      </c>
      <c r="D46" s="6"/>
      <c r="E46" s="6"/>
      <c r="F46" s="6"/>
      <c r="G46" s="6"/>
      <c r="H46" s="6"/>
      <c r="I46" s="6"/>
      <c r="J46" s="6">
        <f t="shared" si="0"/>
        <v>50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22</v>
      </c>
      <c r="D47" s="6"/>
      <c r="E47" s="6"/>
      <c r="F47" s="6"/>
      <c r="G47" s="6"/>
      <c r="H47" s="6">
        <v>1</v>
      </c>
      <c r="I47" s="6"/>
      <c r="J47" s="6">
        <f t="shared" si="0"/>
        <v>21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324</v>
      </c>
      <c r="D48" s="6"/>
      <c r="E48" s="6"/>
      <c r="F48" s="6"/>
      <c r="G48" s="6"/>
      <c r="H48" s="6"/>
      <c r="I48" s="6"/>
      <c r="J48" s="6">
        <f t="shared" si="0"/>
        <v>324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2</v>
      </c>
      <c r="D49" s="6">
        <v>284</v>
      </c>
      <c r="E49" s="6"/>
      <c r="F49" s="6">
        <v>100</v>
      </c>
      <c r="G49" s="6">
        <v>15</v>
      </c>
      <c r="H49" s="6"/>
      <c r="I49" s="6"/>
      <c r="J49" s="6">
        <f t="shared" si="0"/>
        <v>171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54</v>
      </c>
      <c r="D50" s="6"/>
      <c r="E50" s="6"/>
      <c r="F50" s="6"/>
      <c r="G50" s="6"/>
      <c r="H50" s="6"/>
      <c r="I50" s="6">
        <v>28</v>
      </c>
      <c r="J50" s="6">
        <f t="shared" si="0"/>
        <v>26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150</v>
      </c>
      <c r="D51" s="6"/>
      <c r="E51" s="6"/>
      <c r="F51" s="6"/>
      <c r="G51" s="6"/>
      <c r="H51" s="6"/>
      <c r="I51" s="6"/>
      <c r="J51" s="6">
        <f t="shared" si="0"/>
        <v>150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60</v>
      </c>
      <c r="D52" s="6"/>
      <c r="E52" s="6"/>
      <c r="F52" s="6"/>
      <c r="G52" s="6"/>
      <c r="H52" s="6"/>
      <c r="I52" s="6"/>
      <c r="J52" s="6">
        <f t="shared" si="0"/>
        <v>60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43</v>
      </c>
      <c r="D53" s="6"/>
      <c r="E53" s="6"/>
      <c r="F53" s="6"/>
      <c r="G53" s="6"/>
      <c r="H53" s="6">
        <v>1</v>
      </c>
      <c r="I53" s="6"/>
      <c r="J53" s="6">
        <f t="shared" si="0"/>
        <v>42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32</v>
      </c>
      <c r="D54" s="6"/>
      <c r="E54" s="6"/>
      <c r="F54" s="6"/>
      <c r="G54" s="6"/>
      <c r="H54" s="6"/>
      <c r="I54" s="6"/>
      <c r="J54" s="6">
        <f t="shared" si="0"/>
        <v>32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73</v>
      </c>
      <c r="D56" s="6"/>
      <c r="E56" s="6"/>
      <c r="F56" s="6"/>
      <c r="G56" s="6"/>
      <c r="H56" s="6"/>
      <c r="I56" s="6"/>
      <c r="J56" s="6">
        <f t="shared" si="0"/>
        <v>73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v>0</v>
      </c>
      <c r="D57" s="6"/>
      <c r="E57" s="6"/>
      <c r="F57" s="6"/>
      <c r="G57" s="6"/>
      <c r="H57" s="6"/>
      <c r="I57" s="6"/>
      <c r="J57" s="6">
        <f t="shared" si="0"/>
        <v>0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212</v>
      </c>
      <c r="D58" s="6"/>
      <c r="E58" s="6"/>
      <c r="F58" s="6">
        <v>1</v>
      </c>
      <c r="G58" s="6"/>
      <c r="H58" s="6">
        <v>4</v>
      </c>
      <c r="I58" s="6"/>
      <c r="J58" s="6">
        <f t="shared" si="0"/>
        <v>207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14</v>
      </c>
      <c r="D60" s="6"/>
      <c r="E60" s="6"/>
      <c r="F60" s="6"/>
      <c r="G60" s="6"/>
      <c r="H60" s="6"/>
      <c r="I60" s="6"/>
      <c r="J60" s="6">
        <f t="shared" si="0"/>
        <v>14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/>
      <c r="E61" s="6"/>
      <c r="F61" s="6"/>
      <c r="G61" s="6"/>
      <c r="H61" s="6"/>
      <c r="I61" s="6"/>
      <c r="J61" s="6">
        <f t="shared" si="0"/>
        <v>0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0</v>
      </c>
      <c r="D63" s="6"/>
      <c r="E63" s="6"/>
      <c r="F63" s="6"/>
      <c r="G63" s="6"/>
      <c r="H63" s="6"/>
      <c r="I63" s="6"/>
      <c r="J63" s="6">
        <f t="shared" si="0"/>
        <v>0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0</v>
      </c>
      <c r="D64" s="6">
        <v>200</v>
      </c>
      <c r="E64" s="6"/>
      <c r="F64" s="6">
        <v>75</v>
      </c>
      <c r="G64" s="6">
        <v>20</v>
      </c>
      <c r="H64" s="6"/>
      <c r="I64" s="6"/>
      <c r="J64" s="6">
        <f t="shared" si="0"/>
        <v>105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108</v>
      </c>
      <c r="C65" s="6">
        <v>0</v>
      </c>
      <c r="D65" s="6"/>
      <c r="E65" s="6"/>
      <c r="F65" s="6"/>
      <c r="G65" s="6"/>
      <c r="H65" s="6"/>
      <c r="I65" s="6"/>
      <c r="J65" s="6">
        <f t="shared" si="0"/>
        <v>0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314</v>
      </c>
      <c r="D66" s="6"/>
      <c r="E66" s="6"/>
      <c r="F66" s="6"/>
      <c r="G66" s="6"/>
      <c r="H66" s="6">
        <v>2</v>
      </c>
      <c r="I66" s="6"/>
      <c r="J66" s="6">
        <f t="shared" si="0"/>
        <v>312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33</v>
      </c>
      <c r="D67" s="6"/>
      <c r="E67" s="6"/>
      <c r="F67" s="6"/>
      <c r="G67" s="6"/>
      <c r="H67" s="6"/>
      <c r="I67" s="6"/>
      <c r="J67" s="6">
        <f t="shared" si="0"/>
        <v>33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27</v>
      </c>
      <c r="D68" s="6"/>
      <c r="E68" s="6"/>
      <c r="F68" s="6"/>
      <c r="G68" s="6"/>
      <c r="H68" s="6"/>
      <c r="I68" s="6"/>
      <c r="J68" s="6">
        <f t="shared" ref="J68:J78" si="1">+C68-E68-F68-G68-H68-I68+D68</f>
        <v>27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49</v>
      </c>
      <c r="D69" s="6"/>
      <c r="E69" s="6"/>
      <c r="F69" s="6"/>
      <c r="G69" s="6"/>
      <c r="H69" s="6"/>
      <c r="I69" s="6"/>
      <c r="J69" s="6">
        <f t="shared" si="1"/>
        <v>49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21</v>
      </c>
      <c r="D70" s="6"/>
      <c r="E70" s="6">
        <v>2</v>
      </c>
      <c r="F70" s="6">
        <v>1</v>
      </c>
      <c r="G70" s="6"/>
      <c r="H70" s="6">
        <v>3</v>
      </c>
      <c r="I70" s="6"/>
      <c r="J70" s="6">
        <f t="shared" si="1"/>
        <v>15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13</v>
      </c>
      <c r="D71" s="6"/>
      <c r="E71" s="6"/>
      <c r="F71" s="6">
        <v>1</v>
      </c>
      <c r="G71" s="6"/>
      <c r="H71" s="6"/>
      <c r="I71" s="6"/>
      <c r="J71" s="6">
        <f t="shared" si="1"/>
        <v>12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32</v>
      </c>
      <c r="D72" s="6">
        <v>36</v>
      </c>
      <c r="E72" s="6">
        <v>32</v>
      </c>
      <c r="F72" s="6">
        <v>1</v>
      </c>
      <c r="G72" s="6"/>
      <c r="H72" s="6"/>
      <c r="I72" s="6"/>
      <c r="J72" s="6">
        <f t="shared" si="1"/>
        <v>35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31</v>
      </c>
      <c r="D73" s="6"/>
      <c r="E73" s="6"/>
      <c r="F73" s="6"/>
      <c r="G73" s="6"/>
      <c r="H73" s="6"/>
      <c r="I73" s="6"/>
      <c r="J73" s="6">
        <f t="shared" si="1"/>
        <v>31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380</v>
      </c>
      <c r="D74" s="6"/>
      <c r="E74" s="6"/>
      <c r="F74" s="6"/>
      <c r="G74" s="6"/>
      <c r="H74" s="6"/>
      <c r="I74" s="6"/>
      <c r="J74" s="6">
        <f t="shared" si="1"/>
        <v>380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383</v>
      </c>
      <c r="D75" s="6"/>
      <c r="E75" s="6"/>
      <c r="F75" s="6"/>
      <c r="G75" s="6"/>
      <c r="H75" s="6">
        <v>4</v>
      </c>
      <c r="I75" s="6"/>
      <c r="J75" s="6">
        <f t="shared" si="1"/>
        <v>379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0</v>
      </c>
      <c r="D76" s="6"/>
      <c r="E76" s="6"/>
      <c r="F76" s="6"/>
      <c r="G76" s="6"/>
      <c r="H76" s="6"/>
      <c r="I76" s="6"/>
      <c r="J76" s="6">
        <f t="shared" si="1"/>
        <v>0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10</v>
      </c>
      <c r="D77" s="6">
        <v>30</v>
      </c>
      <c r="E77" s="6">
        <v>6</v>
      </c>
      <c r="F77" s="6"/>
      <c r="G77" s="6"/>
      <c r="H77" s="6"/>
      <c r="I77" s="6">
        <v>28</v>
      </c>
      <c r="J77" s="6">
        <f t="shared" si="1"/>
        <v>6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92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78"/>
  <sheetViews>
    <sheetView topLeftCell="A10" zoomScaleNormal="100" workbookViewId="0">
      <selection activeCell="I6" sqref="I6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45200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45203</v>
      </c>
      <c r="F2" s="4">
        <v>45209</v>
      </c>
      <c r="G2" s="4">
        <v>45222</v>
      </c>
      <c r="H2" s="4">
        <v>45225</v>
      </c>
      <c r="I2" s="4">
        <v>45230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22</v>
      </c>
      <c r="D3" s="6"/>
      <c r="E3" s="6"/>
      <c r="F3" s="6"/>
      <c r="G3" s="6"/>
      <c r="H3" s="6"/>
      <c r="I3" s="6"/>
      <c r="J3" s="6">
        <f>+C3-E3-F3-G3-H3-I3+D3</f>
        <v>22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25</v>
      </c>
      <c r="D4" s="6"/>
      <c r="E4" s="6"/>
      <c r="F4" s="6"/>
      <c r="G4" s="6">
        <v>3</v>
      </c>
      <c r="H4" s="6"/>
      <c r="I4" s="6"/>
      <c r="J4" s="6">
        <f t="shared" ref="J4:J67" si="0">+C4-E4-F4-G4-H4-I4+D4</f>
        <v>22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15</v>
      </c>
      <c r="D5" s="6"/>
      <c r="E5" s="6"/>
      <c r="F5" s="6"/>
      <c r="G5" s="6"/>
      <c r="H5" s="6"/>
      <c r="I5" s="6"/>
      <c r="J5" s="6">
        <f t="shared" si="0"/>
        <v>15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24</v>
      </c>
      <c r="D6" s="6"/>
      <c r="E6" s="6"/>
      <c r="F6" s="6"/>
      <c r="G6" s="6"/>
      <c r="H6" s="6"/>
      <c r="I6" s="6">
        <v>4</v>
      </c>
      <c r="J6" s="6">
        <f t="shared" si="0"/>
        <v>20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27</v>
      </c>
      <c r="D7" s="6"/>
      <c r="E7" s="6"/>
      <c r="F7" s="6">
        <v>5</v>
      </c>
      <c r="G7" s="6"/>
      <c r="H7" s="6"/>
      <c r="I7" s="6">
        <v>6</v>
      </c>
      <c r="J7" s="6">
        <f t="shared" si="0"/>
        <v>16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28</v>
      </c>
      <c r="D8" s="6"/>
      <c r="E8" s="6"/>
      <c r="F8" s="6"/>
      <c r="G8" s="6"/>
      <c r="H8" s="6"/>
      <c r="I8" s="6"/>
      <c r="J8" s="6">
        <f t="shared" si="0"/>
        <v>28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23</v>
      </c>
      <c r="D9" s="6"/>
      <c r="E9" s="6">
        <v>8</v>
      </c>
      <c r="F9" s="6"/>
      <c r="G9" s="6">
        <v>15</v>
      </c>
      <c r="H9" s="6"/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20</v>
      </c>
      <c r="D10" s="6"/>
      <c r="E10" s="6"/>
      <c r="F10" s="6"/>
      <c r="G10" s="6"/>
      <c r="H10" s="6"/>
      <c r="I10" s="6"/>
      <c r="J10" s="6">
        <f t="shared" si="0"/>
        <v>20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211</v>
      </c>
      <c r="D11" s="6"/>
      <c r="E11" s="6"/>
      <c r="F11" s="6"/>
      <c r="G11" s="6"/>
      <c r="H11" s="6"/>
      <c r="I11" s="6"/>
      <c r="J11" s="6">
        <f t="shared" si="0"/>
        <v>211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141</v>
      </c>
      <c r="D12" s="6">
        <v>423</v>
      </c>
      <c r="E12" s="6"/>
      <c r="F12" s="6"/>
      <c r="G12" s="6">
        <v>360</v>
      </c>
      <c r="H12" s="6"/>
      <c r="I12" s="6">
        <v>204</v>
      </c>
      <c r="J12" s="6">
        <f t="shared" si="0"/>
        <v>0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70</v>
      </c>
      <c r="D13" s="6"/>
      <c r="E13" s="6"/>
      <c r="F13" s="6"/>
      <c r="G13" s="6"/>
      <c r="H13" s="6"/>
      <c r="I13" s="6"/>
      <c r="J13" s="6">
        <f t="shared" si="0"/>
        <v>70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74</v>
      </c>
      <c r="D14" s="6"/>
      <c r="E14" s="6"/>
      <c r="F14" s="6"/>
      <c r="G14" s="6"/>
      <c r="H14" s="6"/>
      <c r="I14" s="6"/>
      <c r="J14" s="6">
        <f t="shared" si="0"/>
        <v>74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25</v>
      </c>
      <c r="D15" s="6"/>
      <c r="E15" s="6"/>
      <c r="F15" s="6"/>
      <c r="G15" s="6"/>
      <c r="H15" s="6"/>
      <c r="I15" s="6"/>
      <c r="J15" s="6">
        <f t="shared" si="0"/>
        <v>25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46</v>
      </c>
      <c r="D16" s="6"/>
      <c r="E16" s="6"/>
      <c r="F16" s="6"/>
      <c r="G16" s="6"/>
      <c r="H16" s="6"/>
      <c r="I16" s="6"/>
      <c r="J16" s="6">
        <f t="shared" si="0"/>
        <v>46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5</v>
      </c>
      <c r="D17" s="6">
        <v>138</v>
      </c>
      <c r="E17" s="6"/>
      <c r="F17" s="6">
        <v>11</v>
      </c>
      <c r="G17" s="6">
        <v>27</v>
      </c>
      <c r="H17" s="6"/>
      <c r="I17" s="6">
        <v>32</v>
      </c>
      <c r="J17" s="6">
        <f t="shared" si="0"/>
        <v>73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42</v>
      </c>
      <c r="D18" s="6">
        <v>106</v>
      </c>
      <c r="E18" s="6">
        <v>8</v>
      </c>
      <c r="F18" s="6"/>
      <c r="G18" s="6">
        <v>12</v>
      </c>
      <c r="H18" s="6"/>
      <c r="I18" s="6">
        <v>6</v>
      </c>
      <c r="J18" s="6">
        <f t="shared" si="0"/>
        <v>122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5</v>
      </c>
      <c r="D19" s="6">
        <v>30</v>
      </c>
      <c r="E19" s="6">
        <v>4</v>
      </c>
      <c r="F19" s="6"/>
      <c r="G19" s="6"/>
      <c r="H19" s="6"/>
      <c r="I19" s="6">
        <v>2</v>
      </c>
      <c r="J19" s="6">
        <f t="shared" si="0"/>
        <v>29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0</v>
      </c>
      <c r="D20" s="6"/>
      <c r="E20" s="6"/>
      <c r="F20" s="6"/>
      <c r="G20" s="6"/>
      <c r="H20" s="6"/>
      <c r="I20" s="6"/>
      <c r="J20" s="6">
        <f t="shared" si="0"/>
        <v>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38</v>
      </c>
      <c r="D21" s="6">
        <v>41</v>
      </c>
      <c r="E21" s="6"/>
      <c r="F21" s="6"/>
      <c r="G21" s="6"/>
      <c r="H21" s="6"/>
      <c r="I21" s="6"/>
      <c r="J21" s="6">
        <f t="shared" si="0"/>
        <v>79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8</v>
      </c>
      <c r="D22" s="6"/>
      <c r="E22" s="6"/>
      <c r="F22" s="6"/>
      <c r="G22" s="6"/>
      <c r="H22" s="6"/>
      <c r="I22" s="6"/>
      <c r="J22" s="6">
        <f t="shared" si="0"/>
        <v>8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10</v>
      </c>
      <c r="D24" s="6"/>
      <c r="E24" s="6"/>
      <c r="F24" s="6"/>
      <c r="G24" s="6">
        <v>1</v>
      </c>
      <c r="H24" s="6"/>
      <c r="I24" s="6"/>
      <c r="J24" s="6">
        <f t="shared" si="0"/>
        <v>9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12</v>
      </c>
      <c r="D25" s="6"/>
      <c r="E25" s="6"/>
      <c r="F25" s="6"/>
      <c r="G25" s="6"/>
      <c r="H25" s="6"/>
      <c r="I25" s="6"/>
      <c r="J25" s="6">
        <f t="shared" si="0"/>
        <v>12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472</v>
      </c>
      <c r="D26" s="6"/>
      <c r="E26" s="6"/>
      <c r="F26" s="6"/>
      <c r="G26" s="6"/>
      <c r="H26" s="6"/>
      <c r="I26" s="6"/>
      <c r="J26" s="6">
        <f t="shared" si="0"/>
        <v>472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620</v>
      </c>
      <c r="D32" s="6"/>
      <c r="E32" s="6"/>
      <c r="F32" s="6"/>
      <c r="G32" s="6"/>
      <c r="H32" s="6"/>
      <c r="I32" s="6"/>
      <c r="J32" s="6">
        <f t="shared" si="0"/>
        <v>620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v>0</v>
      </c>
      <c r="D33" s="6"/>
      <c r="E33" s="6"/>
      <c r="F33" s="6"/>
      <c r="G33" s="6"/>
      <c r="H33" s="6"/>
      <c r="I33" s="6"/>
      <c r="J33" s="6">
        <f t="shared" si="0"/>
        <v>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v>0</v>
      </c>
      <c r="D34" s="6"/>
      <c r="E34" s="6"/>
      <c r="F34" s="6"/>
      <c r="G34" s="6"/>
      <c r="H34" s="6"/>
      <c r="I34" s="6"/>
      <c r="J34" s="6">
        <f t="shared" si="0"/>
        <v>0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43</v>
      </c>
      <c r="D37" s="6"/>
      <c r="E37" s="6"/>
      <c r="F37" s="6"/>
      <c r="G37" s="6"/>
      <c r="H37" s="6"/>
      <c r="I37" s="6"/>
      <c r="J37" s="6">
        <f t="shared" si="0"/>
        <v>43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28</v>
      </c>
      <c r="D39" s="6"/>
      <c r="E39" s="6"/>
      <c r="F39" s="6"/>
      <c r="G39" s="6"/>
      <c r="H39" s="6"/>
      <c r="I39" s="6"/>
      <c r="J39" s="6">
        <f t="shared" si="0"/>
        <v>28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11</v>
      </c>
      <c r="D40" s="6">
        <v>48</v>
      </c>
      <c r="E40" s="6"/>
      <c r="F40" s="6"/>
      <c r="G40" s="6"/>
      <c r="H40" s="6"/>
      <c r="I40" s="6"/>
      <c r="J40" s="6">
        <f t="shared" si="0"/>
        <v>59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44</v>
      </c>
      <c r="D41" s="6"/>
      <c r="E41" s="6"/>
      <c r="F41" s="6"/>
      <c r="G41" s="6"/>
      <c r="H41" s="6"/>
      <c r="I41" s="6"/>
      <c r="J41" s="6">
        <f t="shared" si="0"/>
        <v>44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8</v>
      </c>
      <c r="D42" s="6"/>
      <c r="E42" s="6"/>
      <c r="F42" s="6"/>
      <c r="G42" s="6">
        <v>2</v>
      </c>
      <c r="H42" s="6"/>
      <c r="I42" s="6"/>
      <c r="J42" s="6">
        <f t="shared" si="0"/>
        <v>6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485</v>
      </c>
      <c r="D43" s="6"/>
      <c r="E43" s="6"/>
      <c r="F43" s="6"/>
      <c r="G43" s="6"/>
      <c r="H43" s="6"/>
      <c r="I43" s="6">
        <v>73</v>
      </c>
      <c r="J43" s="6">
        <f t="shared" si="0"/>
        <v>412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48</v>
      </c>
      <c r="D44" s="6"/>
      <c r="E44" s="6"/>
      <c r="F44" s="6"/>
      <c r="G44" s="6"/>
      <c r="H44" s="6"/>
      <c r="I44" s="6"/>
      <c r="J44" s="6">
        <f t="shared" si="0"/>
        <v>48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36</v>
      </c>
      <c r="D45" s="6"/>
      <c r="E45" s="6"/>
      <c r="F45" s="6"/>
      <c r="G45" s="6"/>
      <c r="H45" s="6"/>
      <c r="I45" s="6"/>
      <c r="J45" s="6">
        <f t="shared" si="0"/>
        <v>36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50</v>
      </c>
      <c r="D46" s="6"/>
      <c r="E46" s="6"/>
      <c r="F46" s="6"/>
      <c r="G46" s="6"/>
      <c r="H46" s="6"/>
      <c r="I46" s="6"/>
      <c r="J46" s="6">
        <f t="shared" si="0"/>
        <v>50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21</v>
      </c>
      <c r="D47" s="6"/>
      <c r="E47" s="6"/>
      <c r="F47" s="6"/>
      <c r="G47" s="6"/>
      <c r="H47" s="6"/>
      <c r="I47" s="6"/>
      <c r="J47" s="6">
        <f t="shared" si="0"/>
        <v>21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170</v>
      </c>
      <c r="D49" s="6">
        <v>245</v>
      </c>
      <c r="E49" s="6"/>
      <c r="F49" s="6"/>
      <c r="G49" s="6"/>
      <c r="H49" s="6"/>
      <c r="I49" s="6"/>
      <c r="J49" s="6">
        <f t="shared" si="0"/>
        <v>415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26</v>
      </c>
      <c r="D50" s="6">
        <v>32</v>
      </c>
      <c r="E50" s="6"/>
      <c r="F50" s="6"/>
      <c r="G50" s="6"/>
      <c r="H50" s="6"/>
      <c r="I50" s="6"/>
      <c r="J50" s="6">
        <f t="shared" si="0"/>
        <v>58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150</v>
      </c>
      <c r="D51" s="6"/>
      <c r="E51" s="6"/>
      <c r="F51" s="6"/>
      <c r="G51" s="6"/>
      <c r="H51" s="6"/>
      <c r="I51" s="6"/>
      <c r="J51" s="6">
        <f t="shared" si="0"/>
        <v>150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60</v>
      </c>
      <c r="D52" s="6"/>
      <c r="E52" s="6"/>
      <c r="F52" s="6"/>
      <c r="G52" s="6"/>
      <c r="H52" s="6"/>
      <c r="I52" s="6"/>
      <c r="J52" s="6">
        <f t="shared" si="0"/>
        <v>60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42</v>
      </c>
      <c r="D53" s="6"/>
      <c r="E53" s="6"/>
      <c r="F53" s="6"/>
      <c r="G53" s="6">
        <v>4</v>
      </c>
      <c r="H53" s="6"/>
      <c r="I53" s="6"/>
      <c r="J53" s="6">
        <f t="shared" si="0"/>
        <v>38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32</v>
      </c>
      <c r="D54" s="6"/>
      <c r="E54" s="6"/>
      <c r="F54" s="6"/>
      <c r="G54" s="6"/>
      <c r="H54" s="6"/>
      <c r="I54" s="6"/>
      <c r="J54" s="6">
        <f t="shared" si="0"/>
        <v>32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73</v>
      </c>
      <c r="D56" s="6"/>
      <c r="E56" s="6"/>
      <c r="F56" s="6"/>
      <c r="G56" s="6"/>
      <c r="H56" s="6"/>
      <c r="I56" s="6"/>
      <c r="J56" s="6">
        <f t="shared" si="0"/>
        <v>73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v>0</v>
      </c>
      <c r="D57" s="6"/>
      <c r="E57" s="6"/>
      <c r="F57" s="6"/>
      <c r="G57" s="6"/>
      <c r="H57" s="6"/>
      <c r="I57" s="6"/>
      <c r="J57" s="6">
        <f t="shared" si="0"/>
        <v>0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207</v>
      </c>
      <c r="D58" s="6"/>
      <c r="E58" s="6"/>
      <c r="F58" s="6"/>
      <c r="G58" s="6"/>
      <c r="H58" s="6"/>
      <c r="I58" s="6"/>
      <c r="J58" s="6">
        <f t="shared" si="0"/>
        <v>207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56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14</v>
      </c>
      <c r="D60" s="6"/>
      <c r="E60" s="6"/>
      <c r="F60" s="6"/>
      <c r="G60" s="6"/>
      <c r="H60" s="6"/>
      <c r="I60" s="6"/>
      <c r="J60" s="6">
        <f t="shared" si="0"/>
        <v>14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/>
      <c r="E61" s="6"/>
      <c r="F61" s="6"/>
      <c r="G61" s="6"/>
      <c r="H61" s="6"/>
      <c r="I61" s="6"/>
      <c r="J61" s="6">
        <f t="shared" si="0"/>
        <v>0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0</v>
      </c>
      <c r="D63" s="6"/>
      <c r="E63" s="6"/>
      <c r="F63" s="6"/>
      <c r="G63" s="6"/>
      <c r="H63" s="6"/>
      <c r="I63" s="6"/>
      <c r="J63" s="6">
        <f t="shared" si="0"/>
        <v>0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105</v>
      </c>
      <c r="D64" s="6"/>
      <c r="E64" s="6"/>
      <c r="F64" s="6"/>
      <c r="G64" s="6"/>
      <c r="H64" s="6"/>
      <c r="I64" s="6">
        <v>6</v>
      </c>
      <c r="J64" s="6">
        <f t="shared" si="0"/>
        <v>99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18</v>
      </c>
      <c r="D65" s="6"/>
      <c r="E65" s="6">
        <v>16</v>
      </c>
      <c r="F65" s="6"/>
      <c r="G65" s="6">
        <v>2</v>
      </c>
      <c r="H65" s="6"/>
      <c r="I65" s="6"/>
      <c r="J65" s="6">
        <f t="shared" si="0"/>
        <v>0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285</v>
      </c>
      <c r="D66" s="6"/>
      <c r="E66" s="6"/>
      <c r="F66" s="6"/>
      <c r="G66" s="6">
        <v>10</v>
      </c>
      <c r="H66" s="6"/>
      <c r="I66" s="6"/>
      <c r="J66" s="6">
        <f t="shared" si="0"/>
        <v>275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33</v>
      </c>
      <c r="D67" s="6"/>
      <c r="E67" s="6"/>
      <c r="F67" s="6"/>
      <c r="G67" s="6"/>
      <c r="H67" s="6"/>
      <c r="I67" s="6"/>
      <c r="J67" s="6">
        <f t="shared" si="0"/>
        <v>33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25</v>
      </c>
      <c r="D68" s="6"/>
      <c r="E68" s="6"/>
      <c r="F68" s="6"/>
      <c r="G68" s="6"/>
      <c r="H68" s="6"/>
      <c r="I68" s="6">
        <v>1</v>
      </c>
      <c r="J68" s="6">
        <f t="shared" ref="J68:J78" si="1">+C68-E68-F68-G68-H68-I68+D68</f>
        <v>24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45</v>
      </c>
      <c r="D69" s="6"/>
      <c r="E69" s="6"/>
      <c r="F69" s="6"/>
      <c r="G69" s="6"/>
      <c r="H69" s="6"/>
      <c r="I69" s="6"/>
      <c r="J69" s="6">
        <f t="shared" si="1"/>
        <v>45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15</v>
      </c>
      <c r="D70" s="6"/>
      <c r="E70" s="6"/>
      <c r="F70" s="6">
        <v>13</v>
      </c>
      <c r="G70" s="6"/>
      <c r="H70" s="6"/>
      <c r="I70" s="6">
        <v>2</v>
      </c>
      <c r="J70" s="6">
        <f t="shared" si="1"/>
        <v>0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12</v>
      </c>
      <c r="D71" s="6"/>
      <c r="E71" s="6"/>
      <c r="F71" s="6"/>
      <c r="G71" s="6"/>
      <c r="H71" s="6"/>
      <c r="I71" s="6"/>
      <c r="J71" s="6">
        <f t="shared" si="1"/>
        <v>12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35</v>
      </c>
      <c r="D72" s="6">
        <v>42</v>
      </c>
      <c r="E72" s="6"/>
      <c r="F72" s="6"/>
      <c r="G72" s="6">
        <v>0</v>
      </c>
      <c r="H72" s="6"/>
      <c r="I72" s="6">
        <v>6</v>
      </c>
      <c r="J72" s="6">
        <f t="shared" si="1"/>
        <v>71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31</v>
      </c>
      <c r="D73" s="6"/>
      <c r="E73" s="6"/>
      <c r="F73" s="6"/>
      <c r="G73" s="6"/>
      <c r="H73" s="6"/>
      <c r="I73" s="6"/>
      <c r="J73" s="6">
        <f t="shared" si="1"/>
        <v>31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355</v>
      </c>
      <c r="D74" s="6"/>
      <c r="E74" s="6">
        <v>25</v>
      </c>
      <c r="F74" s="6">
        <v>14</v>
      </c>
      <c r="G74" s="6">
        <v>14</v>
      </c>
      <c r="H74" s="6"/>
      <c r="I74" s="6"/>
      <c r="J74" s="6">
        <f t="shared" si="1"/>
        <v>302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361</v>
      </c>
      <c r="D75" s="6"/>
      <c r="E75" s="6"/>
      <c r="F75" s="6">
        <v>36</v>
      </c>
      <c r="G75" s="6"/>
      <c r="H75" s="6"/>
      <c r="I75" s="6">
        <v>3</v>
      </c>
      <c r="J75" s="6">
        <f t="shared" si="1"/>
        <v>322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13</v>
      </c>
      <c r="D76" s="6"/>
      <c r="E76" s="6"/>
      <c r="F76" s="6">
        <v>10</v>
      </c>
      <c r="G76" s="6">
        <v>3</v>
      </c>
      <c r="H76" s="6"/>
      <c r="I76" s="6"/>
      <c r="J76" s="6">
        <f t="shared" si="1"/>
        <v>0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6</v>
      </c>
      <c r="D77" s="6"/>
      <c r="E77" s="6">
        <v>3</v>
      </c>
      <c r="F77" s="6"/>
      <c r="G77" s="6"/>
      <c r="H77" s="6"/>
      <c r="I77" s="6">
        <v>2</v>
      </c>
      <c r="J77" s="6">
        <f t="shared" si="1"/>
        <v>1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92</v>
      </c>
      <c r="C78" s="6">
        <v>0</v>
      </c>
      <c r="D78" s="6"/>
      <c r="E78" s="6"/>
      <c r="F78" s="6"/>
      <c r="G78" s="6"/>
      <c r="H78" s="6"/>
      <c r="I78" s="6"/>
      <c r="J78" s="6">
        <f t="shared" si="1"/>
        <v>0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78"/>
  <sheetViews>
    <sheetView topLeftCell="A18" zoomScaleNormal="100" workbookViewId="0">
      <selection activeCell="I34" sqref="I34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45231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45236</v>
      </c>
      <c r="F2" s="4">
        <v>45244</v>
      </c>
      <c r="G2" s="4">
        <v>45250</v>
      </c>
      <c r="H2" s="4">
        <v>45257</v>
      </c>
      <c r="I2" s="4">
        <v>45260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22</v>
      </c>
      <c r="D3" s="6"/>
      <c r="E3" s="6"/>
      <c r="F3" s="6">
        <v>5</v>
      </c>
      <c r="G3" s="6"/>
      <c r="H3" s="6"/>
      <c r="I3" s="6"/>
      <c r="J3" s="6">
        <f>+C3-E3-F3-G3-H3-I3+D3</f>
        <v>17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1</v>
      </c>
      <c r="D4" s="6">
        <v>27</v>
      </c>
      <c r="E4" s="6"/>
      <c r="F4" s="6">
        <v>2</v>
      </c>
      <c r="G4" s="6">
        <v>3</v>
      </c>
      <c r="H4" s="6">
        <v>1</v>
      </c>
      <c r="I4" s="6"/>
      <c r="J4" s="6">
        <f t="shared" ref="J4:J67" si="0">+C4-E4-F4-G4-H4-I4+D4</f>
        <v>22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15</v>
      </c>
      <c r="D5" s="6"/>
      <c r="E5" s="6"/>
      <c r="F5" s="6"/>
      <c r="G5" s="6"/>
      <c r="H5" s="6"/>
      <c r="I5" s="6"/>
      <c r="J5" s="6">
        <f t="shared" si="0"/>
        <v>15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5</v>
      </c>
      <c r="D6" s="6"/>
      <c r="E6" s="6"/>
      <c r="F6" s="6"/>
      <c r="G6" s="6"/>
      <c r="H6" s="6"/>
      <c r="I6" s="6">
        <v>4</v>
      </c>
      <c r="J6" s="6">
        <f t="shared" si="0"/>
        <v>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0</v>
      </c>
      <c r="D7" s="6">
        <v>56</v>
      </c>
      <c r="E7" s="6"/>
      <c r="F7" s="6"/>
      <c r="G7" s="6">
        <v>11</v>
      </c>
      <c r="H7" s="6"/>
      <c r="I7" s="6">
        <v>2</v>
      </c>
      <c r="J7" s="6">
        <f t="shared" si="0"/>
        <v>43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39</v>
      </c>
      <c r="D8" s="6"/>
      <c r="E8" s="6">
        <v>4</v>
      </c>
      <c r="F8" s="6"/>
      <c r="G8" s="6"/>
      <c r="H8" s="6"/>
      <c r="I8" s="6"/>
      <c r="J8" s="6">
        <f t="shared" si="0"/>
        <v>35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7</v>
      </c>
      <c r="D9" s="6"/>
      <c r="E9" s="6"/>
      <c r="F9" s="6"/>
      <c r="G9" s="6">
        <v>5</v>
      </c>
      <c r="H9" s="6"/>
      <c r="I9" s="6"/>
      <c r="J9" s="6">
        <f t="shared" si="0"/>
        <v>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5</v>
      </c>
      <c r="D10" s="6"/>
      <c r="E10" s="6"/>
      <c r="F10" s="6"/>
      <c r="G10" s="6"/>
      <c r="H10" s="6"/>
      <c r="I10" s="6"/>
      <c r="J10" s="6">
        <f t="shared" si="0"/>
        <v>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201</v>
      </c>
      <c r="D11" s="6">
        <v>0</v>
      </c>
      <c r="E11" s="6">
        <v>29</v>
      </c>
      <c r="F11" s="6"/>
      <c r="G11" s="6">
        <v>41</v>
      </c>
      <c r="H11" s="6"/>
      <c r="I11" s="6">
        <v>2</v>
      </c>
      <c r="J11" s="6">
        <f t="shared" si="0"/>
        <v>129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0</v>
      </c>
      <c r="D12" s="6">
        <v>349</v>
      </c>
      <c r="E12" s="6">
        <v>21</v>
      </c>
      <c r="F12" s="6">
        <v>56</v>
      </c>
      <c r="G12" s="6">
        <v>50</v>
      </c>
      <c r="H12" s="6"/>
      <c r="I12" s="6">
        <v>60</v>
      </c>
      <c r="J12" s="6">
        <f t="shared" si="0"/>
        <v>162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70</v>
      </c>
      <c r="D13" s="6"/>
      <c r="E13" s="6"/>
      <c r="F13" s="6"/>
      <c r="G13" s="6"/>
      <c r="H13" s="6"/>
      <c r="I13" s="6"/>
      <c r="J13" s="6">
        <f t="shared" si="0"/>
        <v>70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74</v>
      </c>
      <c r="D14" s="6"/>
      <c r="E14" s="6"/>
      <c r="F14" s="6"/>
      <c r="G14" s="6"/>
      <c r="H14" s="6"/>
      <c r="I14" s="6"/>
      <c r="J14" s="6">
        <f t="shared" si="0"/>
        <v>74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25</v>
      </c>
      <c r="D15" s="6"/>
      <c r="E15" s="6">
        <v>1</v>
      </c>
      <c r="F15" s="6"/>
      <c r="G15" s="6"/>
      <c r="H15" s="6"/>
      <c r="I15" s="6"/>
      <c r="J15" s="6">
        <f t="shared" si="0"/>
        <v>24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18</v>
      </c>
      <c r="D16" s="6"/>
      <c r="E16" s="6"/>
      <c r="F16" s="6"/>
      <c r="G16" s="6"/>
      <c r="H16" s="6"/>
      <c r="I16" s="6"/>
      <c r="J16" s="6">
        <f t="shared" si="0"/>
        <v>18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33</v>
      </c>
      <c r="D17" s="6">
        <v>175</v>
      </c>
      <c r="E17" s="6">
        <v>5</v>
      </c>
      <c r="F17" s="6">
        <v>12</v>
      </c>
      <c r="G17" s="6">
        <v>17</v>
      </c>
      <c r="H17" s="6"/>
      <c r="I17" s="6">
        <v>4</v>
      </c>
      <c r="J17" s="6">
        <f t="shared" si="0"/>
        <v>170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102</v>
      </c>
      <c r="D18" s="6">
        <v>61</v>
      </c>
      <c r="E18" s="6">
        <v>14</v>
      </c>
      <c r="F18" s="6">
        <v>11</v>
      </c>
      <c r="G18" s="6">
        <v>16</v>
      </c>
      <c r="H18" s="6"/>
      <c r="I18" s="6"/>
      <c r="J18" s="6">
        <f t="shared" si="0"/>
        <v>122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75</v>
      </c>
      <c r="D19" s="6"/>
      <c r="E19" s="6"/>
      <c r="F19" s="6">
        <v>32</v>
      </c>
      <c r="G19" s="6">
        <v>8</v>
      </c>
      <c r="H19" s="6">
        <v>9</v>
      </c>
      <c r="I19" s="6"/>
      <c r="J19" s="6">
        <f t="shared" si="0"/>
        <v>26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6</v>
      </c>
      <c r="D20" s="6">
        <v>50</v>
      </c>
      <c r="E20" s="6"/>
      <c r="F20" s="6">
        <v>2</v>
      </c>
      <c r="G20" s="6">
        <v>4</v>
      </c>
      <c r="H20" s="6"/>
      <c r="I20" s="6">
        <v>39</v>
      </c>
      <c r="J20" s="6">
        <f t="shared" si="0"/>
        <v>11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79</v>
      </c>
      <c r="D21" s="6"/>
      <c r="E21" s="6"/>
      <c r="F21" s="6"/>
      <c r="G21" s="6">
        <v>2</v>
      </c>
      <c r="H21" s="6">
        <v>2</v>
      </c>
      <c r="I21" s="6">
        <v>5</v>
      </c>
      <c r="J21" s="6">
        <f t="shared" si="0"/>
        <v>70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22</v>
      </c>
      <c r="D22" s="6"/>
      <c r="E22" s="6"/>
      <c r="F22" s="6"/>
      <c r="G22" s="6"/>
      <c r="H22" s="6"/>
      <c r="I22" s="6">
        <v>3</v>
      </c>
      <c r="J22" s="6">
        <f t="shared" si="0"/>
        <v>19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9</v>
      </c>
      <c r="D24" s="6">
        <v>21</v>
      </c>
      <c r="E24" s="6"/>
      <c r="F24" s="6"/>
      <c r="G24" s="6">
        <v>2</v>
      </c>
      <c r="H24" s="6"/>
      <c r="I24" s="6"/>
      <c r="J24" s="6">
        <f t="shared" si="0"/>
        <v>28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12</v>
      </c>
      <c r="D25" s="6"/>
      <c r="E25" s="6"/>
      <c r="F25" s="6"/>
      <c r="G25" s="6"/>
      <c r="H25" s="6"/>
      <c r="I25" s="6"/>
      <c r="J25" s="6">
        <f t="shared" si="0"/>
        <v>12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445</v>
      </c>
      <c r="D26" s="6"/>
      <c r="E26" s="6"/>
      <c r="F26" s="6"/>
      <c r="G26" s="6"/>
      <c r="H26" s="6"/>
      <c r="I26" s="6"/>
      <c r="J26" s="6">
        <f t="shared" si="0"/>
        <v>445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620</v>
      </c>
      <c r="D32" s="6"/>
      <c r="E32" s="6"/>
      <c r="F32" s="6">
        <v>120</v>
      </c>
      <c r="G32" s="6"/>
      <c r="H32" s="6">
        <v>60</v>
      </c>
      <c r="I32" s="6"/>
      <c r="J32" s="6">
        <f t="shared" si="0"/>
        <v>440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v>0</v>
      </c>
      <c r="D33" s="6"/>
      <c r="E33" s="6"/>
      <c r="F33" s="6"/>
      <c r="G33" s="6"/>
      <c r="H33" s="6"/>
      <c r="I33" s="6"/>
      <c r="J33" s="6">
        <f t="shared" si="0"/>
        <v>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v>0</v>
      </c>
      <c r="D34" s="6"/>
      <c r="E34" s="6"/>
      <c r="F34" s="6"/>
      <c r="G34" s="6"/>
      <c r="H34" s="6"/>
      <c r="I34" s="6"/>
      <c r="J34" s="6">
        <f t="shared" si="0"/>
        <v>0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43</v>
      </c>
      <c r="D37" s="6">
        <v>15</v>
      </c>
      <c r="E37" s="6">
        <v>2</v>
      </c>
      <c r="F37" s="6">
        <v>2</v>
      </c>
      <c r="G37" s="6"/>
      <c r="H37" s="6"/>
      <c r="I37" s="6">
        <v>2</v>
      </c>
      <c r="J37" s="6">
        <f t="shared" si="0"/>
        <v>52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28</v>
      </c>
      <c r="D39" s="6"/>
      <c r="E39" s="6"/>
      <c r="F39" s="6"/>
      <c r="G39" s="6"/>
      <c r="H39" s="6"/>
      <c r="I39" s="6"/>
      <c r="J39" s="6">
        <f t="shared" si="0"/>
        <v>28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46</v>
      </c>
      <c r="D40" s="6"/>
      <c r="E40" s="6">
        <v>1</v>
      </c>
      <c r="F40" s="6"/>
      <c r="G40" s="6"/>
      <c r="H40" s="6"/>
      <c r="I40" s="6">
        <v>3</v>
      </c>
      <c r="J40" s="6">
        <f t="shared" si="0"/>
        <v>42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64</v>
      </c>
      <c r="D41" s="6">
        <v>287</v>
      </c>
      <c r="E41" s="6">
        <v>21</v>
      </c>
      <c r="F41" s="6">
        <v>16</v>
      </c>
      <c r="G41" s="6">
        <v>16</v>
      </c>
      <c r="H41" s="6">
        <v>4</v>
      </c>
      <c r="I41" s="6"/>
      <c r="J41" s="6">
        <f t="shared" si="0"/>
        <v>294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6</v>
      </c>
      <c r="D42" s="6">
        <v>172</v>
      </c>
      <c r="E42" s="6">
        <v>11</v>
      </c>
      <c r="F42" s="6">
        <v>4</v>
      </c>
      <c r="G42" s="6">
        <v>13</v>
      </c>
      <c r="H42" s="6">
        <v>8</v>
      </c>
      <c r="I42" s="6">
        <v>75</v>
      </c>
      <c r="J42" s="6">
        <f t="shared" si="0"/>
        <v>67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199</v>
      </c>
      <c r="D43" s="6"/>
      <c r="E43" s="6"/>
      <c r="F43" s="6">
        <v>24</v>
      </c>
      <c r="G43" s="6">
        <v>23</v>
      </c>
      <c r="H43" s="6"/>
      <c r="I43" s="6"/>
      <c r="J43" s="6">
        <f t="shared" si="0"/>
        <v>152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48</v>
      </c>
      <c r="D44" s="6"/>
      <c r="E44" s="6"/>
      <c r="F44" s="6"/>
      <c r="G44" s="6"/>
      <c r="H44" s="6"/>
      <c r="I44" s="6"/>
      <c r="J44" s="6">
        <f t="shared" si="0"/>
        <v>48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6">
        <f t="shared" si="0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50</v>
      </c>
      <c r="D46" s="6"/>
      <c r="E46" s="6">
        <v>2</v>
      </c>
      <c r="F46" s="6"/>
      <c r="G46" s="6"/>
      <c r="H46" s="6"/>
      <c r="I46" s="6"/>
      <c r="J46" s="6">
        <f t="shared" si="0"/>
        <v>48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21</v>
      </c>
      <c r="D47" s="6"/>
      <c r="E47" s="6"/>
      <c r="F47" s="6"/>
      <c r="G47" s="6"/>
      <c r="H47" s="6"/>
      <c r="I47" s="6"/>
      <c r="J47" s="6">
        <f t="shared" si="0"/>
        <v>21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355</v>
      </c>
      <c r="D49" s="6">
        <v>322</v>
      </c>
      <c r="E49" s="6"/>
      <c r="F49" s="6"/>
      <c r="G49" s="6"/>
      <c r="H49" s="6">
        <v>4</v>
      </c>
      <c r="I49" s="6"/>
      <c r="J49" s="6">
        <f t="shared" si="0"/>
        <v>673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41</v>
      </c>
      <c r="D50" s="6"/>
      <c r="E50" s="6"/>
      <c r="F50" s="6"/>
      <c r="G50" s="6"/>
      <c r="H50" s="6"/>
      <c r="I50" s="6">
        <v>3</v>
      </c>
      <c r="J50" s="6">
        <f t="shared" si="0"/>
        <v>38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110</v>
      </c>
      <c r="D51" s="6">
        <v>25</v>
      </c>
      <c r="E51" s="6"/>
      <c r="F51" s="6"/>
      <c r="G51" s="6"/>
      <c r="H51" s="6"/>
      <c r="I51" s="6">
        <v>2</v>
      </c>
      <c r="J51" s="6">
        <f t="shared" si="0"/>
        <v>133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60</v>
      </c>
      <c r="D52" s="6">
        <v>7</v>
      </c>
      <c r="E52" s="6"/>
      <c r="F52" s="6"/>
      <c r="G52" s="6"/>
      <c r="H52" s="6"/>
      <c r="I52" s="6"/>
      <c r="J52" s="6">
        <f t="shared" si="0"/>
        <v>67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33</v>
      </c>
      <c r="D53" s="6"/>
      <c r="E53" s="6"/>
      <c r="F53" s="6"/>
      <c r="G53" s="6">
        <v>1</v>
      </c>
      <c r="H53" s="6"/>
      <c r="I53" s="6"/>
      <c r="J53" s="6">
        <f t="shared" si="0"/>
        <v>32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/>
      <c r="G54" s="6"/>
      <c r="H54" s="6"/>
      <c r="I54" s="6"/>
      <c r="J54" s="6">
        <f t="shared" si="0"/>
        <v>29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73</v>
      </c>
      <c r="D56" s="6"/>
      <c r="E56" s="6"/>
      <c r="F56" s="6"/>
      <c r="G56" s="6"/>
      <c r="H56" s="6"/>
      <c r="I56" s="6"/>
      <c r="J56" s="6">
        <f t="shared" si="0"/>
        <v>73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v>0</v>
      </c>
      <c r="D57" s="6"/>
      <c r="E57" s="6"/>
      <c r="F57" s="6"/>
      <c r="G57" s="6"/>
      <c r="H57" s="6"/>
      <c r="I57" s="6"/>
      <c r="J57" s="6">
        <f t="shared" si="0"/>
        <v>0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207</v>
      </c>
      <c r="D58" s="6"/>
      <c r="E58" s="6"/>
      <c r="F58" s="6"/>
      <c r="G58" s="6"/>
      <c r="H58" s="6"/>
      <c r="I58" s="6"/>
      <c r="J58" s="6">
        <f t="shared" si="0"/>
        <v>207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7</v>
      </c>
      <c r="D60" s="6">
        <v>25</v>
      </c>
      <c r="E60" s="6"/>
      <c r="F60" s="6"/>
      <c r="G60" s="6">
        <v>2</v>
      </c>
      <c r="H60" s="6">
        <v>3</v>
      </c>
      <c r="I60" s="6"/>
      <c r="J60" s="6">
        <f t="shared" si="0"/>
        <v>27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>
        <v>9</v>
      </c>
      <c r="E61" s="6"/>
      <c r="F61" s="6"/>
      <c r="G61" s="6"/>
      <c r="H61" s="6"/>
      <c r="I61" s="6"/>
      <c r="J61" s="6">
        <f t="shared" si="0"/>
        <v>9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0</v>
      </c>
      <c r="D63" s="6"/>
      <c r="E63" s="6"/>
      <c r="F63" s="6"/>
      <c r="G63" s="6"/>
      <c r="H63" s="6"/>
      <c r="I63" s="6"/>
      <c r="J63" s="6">
        <f t="shared" si="0"/>
        <v>0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99</v>
      </c>
      <c r="D64" s="6"/>
      <c r="E64" s="6"/>
      <c r="F64" s="6"/>
      <c r="G64" s="6"/>
      <c r="H64" s="6"/>
      <c r="I64" s="6"/>
      <c r="J64" s="6">
        <f t="shared" si="0"/>
        <v>99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0</v>
      </c>
      <c r="D65" s="6">
        <v>17</v>
      </c>
      <c r="E65" s="6"/>
      <c r="F65" s="6">
        <v>4</v>
      </c>
      <c r="G65" s="6">
        <v>5</v>
      </c>
      <c r="H65" s="6"/>
      <c r="I65" s="6"/>
      <c r="J65" s="6">
        <f t="shared" si="0"/>
        <v>8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275</v>
      </c>
      <c r="D66" s="6"/>
      <c r="E66" s="6"/>
      <c r="F66" s="6"/>
      <c r="G66" s="6"/>
      <c r="H66" s="6"/>
      <c r="I66" s="6"/>
      <c r="J66" s="6">
        <f t="shared" si="0"/>
        <v>275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21</v>
      </c>
      <c r="D67" s="6"/>
      <c r="E67" s="6"/>
      <c r="F67" s="6"/>
      <c r="G67" s="6"/>
      <c r="H67" s="6"/>
      <c r="I67" s="6"/>
      <c r="J67" s="6">
        <f t="shared" si="0"/>
        <v>21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13</v>
      </c>
      <c r="D68" s="6"/>
      <c r="E68" s="6"/>
      <c r="F68" s="6"/>
      <c r="G68" s="6"/>
      <c r="H68" s="6"/>
      <c r="I68" s="6"/>
      <c r="J68" s="6">
        <f t="shared" ref="J68:J78" si="1">+C68-E68-F68-G68-H68-I68+D68</f>
        <v>13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42</v>
      </c>
      <c r="D69" s="6"/>
      <c r="E69" s="6"/>
      <c r="F69" s="6"/>
      <c r="G69" s="6"/>
      <c r="H69" s="6"/>
      <c r="I69" s="6"/>
      <c r="J69" s="6">
        <f t="shared" si="1"/>
        <v>42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0</v>
      </c>
      <c r="D70" s="6">
        <v>39</v>
      </c>
      <c r="E70" s="6"/>
      <c r="F70" s="6">
        <v>9</v>
      </c>
      <c r="G70" s="6">
        <v>11</v>
      </c>
      <c r="H70" s="6"/>
      <c r="I70" s="6"/>
      <c r="J70" s="6">
        <f t="shared" si="1"/>
        <v>19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9</v>
      </c>
      <c r="D71" s="6"/>
      <c r="E71" s="6"/>
      <c r="F71" s="6"/>
      <c r="G71" s="6"/>
      <c r="H71" s="6"/>
      <c r="I71" s="6"/>
      <c r="J71" s="6">
        <f t="shared" si="1"/>
        <v>9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38</v>
      </c>
      <c r="D72" s="6">
        <v>23</v>
      </c>
      <c r="E72" s="6">
        <v>2</v>
      </c>
      <c r="F72" s="6"/>
      <c r="G72" s="6">
        <v>13</v>
      </c>
      <c r="H72" s="6"/>
      <c r="I72" s="6">
        <v>1</v>
      </c>
      <c r="J72" s="6">
        <f t="shared" si="1"/>
        <v>45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27</v>
      </c>
      <c r="D73" s="6"/>
      <c r="E73" s="6"/>
      <c r="F73" s="6"/>
      <c r="G73" s="6"/>
      <c r="H73" s="6"/>
      <c r="I73" s="6"/>
      <c r="J73" s="6">
        <f t="shared" si="1"/>
        <v>27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45</v>
      </c>
      <c r="D74" s="6">
        <v>62</v>
      </c>
      <c r="E74" s="6"/>
      <c r="F74" s="6"/>
      <c r="G74" s="6">
        <v>14</v>
      </c>
      <c r="H74" s="6"/>
      <c r="I74" s="6"/>
      <c r="J74" s="6">
        <f t="shared" si="1"/>
        <v>93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76</v>
      </c>
      <c r="D75" s="6"/>
      <c r="E75" s="6"/>
      <c r="F75" s="6">
        <v>11</v>
      </c>
      <c r="G75" s="6"/>
      <c r="H75" s="6"/>
      <c r="I75" s="6"/>
      <c r="J75" s="6">
        <f t="shared" si="1"/>
        <v>65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2</v>
      </c>
      <c r="D76" s="6">
        <v>23</v>
      </c>
      <c r="E76" s="6"/>
      <c r="F76" s="6">
        <v>2</v>
      </c>
      <c r="G76" s="6">
        <v>5</v>
      </c>
      <c r="H76" s="6"/>
      <c r="I76" s="6"/>
      <c r="J76" s="6">
        <f t="shared" si="1"/>
        <v>18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1</v>
      </c>
      <c r="D77" s="6">
        <v>42</v>
      </c>
      <c r="E77" s="6"/>
      <c r="F77" s="6">
        <v>7</v>
      </c>
      <c r="G77" s="6">
        <v>3</v>
      </c>
      <c r="H77" s="6">
        <v>3</v>
      </c>
      <c r="I77" s="6"/>
      <c r="J77" s="6">
        <f t="shared" si="1"/>
        <v>30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117</v>
      </c>
      <c r="C78" s="6">
        <v>0</v>
      </c>
      <c r="D78" s="6">
        <v>325</v>
      </c>
      <c r="E78" s="6"/>
      <c r="F78" s="6"/>
      <c r="G78" s="6"/>
      <c r="H78" s="6"/>
      <c r="I78" s="6"/>
      <c r="J78" s="6">
        <f t="shared" si="1"/>
        <v>325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78"/>
  <sheetViews>
    <sheetView zoomScaleNormal="100" workbookViewId="0">
      <selection activeCell="I7" sqref="I7"/>
    </sheetView>
  </sheetViews>
  <sheetFormatPr defaultRowHeight="15" x14ac:dyDescent="0.25"/>
  <cols>
    <col min="1" max="1" width="5.7109375" customWidth="1"/>
    <col min="2" max="2" width="27.710937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45261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45271</v>
      </c>
      <c r="F2" s="4">
        <v>45278</v>
      </c>
      <c r="G2" s="4">
        <v>45285</v>
      </c>
      <c r="H2" s="4">
        <v>45287</v>
      </c>
      <c r="I2" s="4">
        <v>45291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17</v>
      </c>
      <c r="D3" s="6"/>
      <c r="E3" s="6"/>
      <c r="F3" s="6"/>
      <c r="G3" s="6"/>
      <c r="H3" s="6"/>
      <c r="I3" s="6"/>
      <c r="J3" s="6">
        <f>+C3-E3-F3-G3-H3-I3+D3</f>
        <v>17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22</v>
      </c>
      <c r="D4" s="6"/>
      <c r="E4" s="6"/>
      <c r="F4" s="6"/>
      <c r="G4" s="6"/>
      <c r="H4" s="6"/>
      <c r="I4" s="6"/>
      <c r="J4" s="6">
        <f t="shared" ref="J4:J67" si="0">+C4-E4-F4-G4-H4-I4+D4</f>
        <v>22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15</v>
      </c>
      <c r="D5" s="6"/>
      <c r="E5" s="6"/>
      <c r="F5" s="6"/>
      <c r="G5" s="6"/>
      <c r="H5" s="6"/>
      <c r="I5" s="6"/>
      <c r="J5" s="6">
        <f t="shared" si="0"/>
        <v>15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1</v>
      </c>
      <c r="D6" s="6">
        <v>81</v>
      </c>
      <c r="E6" s="6"/>
      <c r="F6" s="6"/>
      <c r="G6" s="6"/>
      <c r="H6" s="6"/>
      <c r="I6" s="6">
        <v>16</v>
      </c>
      <c r="J6" s="6">
        <f t="shared" si="0"/>
        <v>66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43</v>
      </c>
      <c r="D7" s="6"/>
      <c r="E7" s="6"/>
      <c r="F7" s="6"/>
      <c r="G7" s="6">
        <v>2</v>
      </c>
      <c r="H7" s="6"/>
      <c r="I7" s="6">
        <v>4</v>
      </c>
      <c r="J7" s="6">
        <f t="shared" si="0"/>
        <v>37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35</v>
      </c>
      <c r="D8" s="6"/>
      <c r="E8" s="6"/>
      <c r="F8" s="6"/>
      <c r="G8" s="6"/>
      <c r="H8" s="6"/>
      <c r="I8" s="6"/>
      <c r="J8" s="6">
        <f t="shared" si="0"/>
        <v>35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2</v>
      </c>
      <c r="D9" s="6">
        <v>50</v>
      </c>
      <c r="E9" s="6"/>
      <c r="F9" s="6"/>
      <c r="G9" s="6"/>
      <c r="H9" s="6"/>
      <c r="I9" s="6"/>
      <c r="J9" s="6">
        <f t="shared" si="0"/>
        <v>52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5</v>
      </c>
      <c r="D10" s="6"/>
      <c r="E10" s="6"/>
      <c r="F10" s="6"/>
      <c r="G10" s="6"/>
      <c r="H10" s="6"/>
      <c r="I10" s="6"/>
      <c r="J10" s="6">
        <f t="shared" si="0"/>
        <v>5</v>
      </c>
      <c r="K10" s="13">
        <v>0</v>
      </c>
      <c r="L10" s="14"/>
    </row>
    <row r="11" spans="1:12" x14ac:dyDescent="0.25">
      <c r="A11" s="6">
        <v>9</v>
      </c>
      <c r="B11" s="7" t="s">
        <v>10</v>
      </c>
      <c r="C11" s="6">
        <v>129</v>
      </c>
      <c r="D11" s="6"/>
      <c r="E11" s="6"/>
      <c r="F11" s="6"/>
      <c r="G11" s="6"/>
      <c r="H11" s="6"/>
      <c r="I11" s="6"/>
      <c r="J11" s="6">
        <f t="shared" si="0"/>
        <v>129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162</v>
      </c>
      <c r="D12" s="6">
        <v>107</v>
      </c>
      <c r="E12" s="6">
        <v>40</v>
      </c>
      <c r="F12" s="6">
        <v>53</v>
      </c>
      <c r="G12" s="6"/>
      <c r="H12" s="6"/>
      <c r="I12" s="6"/>
      <c r="J12" s="6">
        <f t="shared" si="0"/>
        <v>176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70</v>
      </c>
      <c r="D13" s="6"/>
      <c r="E13" s="6"/>
      <c r="F13" s="6"/>
      <c r="G13" s="6"/>
      <c r="H13" s="6"/>
      <c r="I13" s="6"/>
      <c r="J13" s="6">
        <f t="shared" si="0"/>
        <v>70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74</v>
      </c>
      <c r="D14" s="6"/>
      <c r="E14" s="6"/>
      <c r="F14" s="6"/>
      <c r="G14" s="6"/>
      <c r="H14" s="6"/>
      <c r="I14" s="6"/>
      <c r="J14" s="6">
        <f t="shared" si="0"/>
        <v>74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24</v>
      </c>
      <c r="D15" s="6"/>
      <c r="E15" s="6"/>
      <c r="F15" s="6"/>
      <c r="G15" s="6">
        <v>8</v>
      </c>
      <c r="H15" s="6"/>
      <c r="I15" s="6"/>
      <c r="J15" s="6">
        <f t="shared" si="0"/>
        <v>16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18</v>
      </c>
      <c r="D16" s="6"/>
      <c r="E16" s="6"/>
      <c r="F16" s="6"/>
      <c r="G16" s="6"/>
      <c r="H16" s="6"/>
      <c r="I16" s="6"/>
      <c r="J16" s="6">
        <f t="shared" si="0"/>
        <v>18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170</v>
      </c>
      <c r="D17" s="6"/>
      <c r="E17" s="6">
        <v>1</v>
      </c>
      <c r="F17" s="6"/>
      <c r="G17" s="6">
        <v>2</v>
      </c>
      <c r="H17" s="6"/>
      <c r="I17" s="6"/>
      <c r="J17" s="6">
        <f t="shared" si="0"/>
        <v>167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122</v>
      </c>
      <c r="D18" s="6">
        <v>93</v>
      </c>
      <c r="E18" s="6">
        <v>11</v>
      </c>
      <c r="F18" s="6"/>
      <c r="G18" s="6">
        <v>8</v>
      </c>
      <c r="H18" s="6"/>
      <c r="I18" s="6"/>
      <c r="J18" s="6">
        <f t="shared" si="0"/>
        <v>196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26</v>
      </c>
      <c r="D19" s="6"/>
      <c r="E19" s="6"/>
      <c r="F19" s="6"/>
      <c r="G19" s="6">
        <v>7</v>
      </c>
      <c r="H19" s="6"/>
      <c r="I19" s="6"/>
      <c r="J19" s="6">
        <f t="shared" si="0"/>
        <v>19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11</v>
      </c>
      <c r="D20" s="6">
        <v>12</v>
      </c>
      <c r="E20" s="6"/>
      <c r="F20" s="6"/>
      <c r="G20" s="6"/>
      <c r="H20" s="6"/>
      <c r="I20" s="6"/>
      <c r="J20" s="6">
        <f t="shared" si="0"/>
        <v>23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70</v>
      </c>
      <c r="D21" s="6"/>
      <c r="E21" s="6"/>
      <c r="F21" s="6"/>
      <c r="G21" s="6"/>
      <c r="H21" s="6"/>
      <c r="I21" s="6"/>
      <c r="J21" s="6">
        <f t="shared" si="0"/>
        <v>70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19</v>
      </c>
      <c r="D22" s="6"/>
      <c r="E22" s="6"/>
      <c r="F22" s="6"/>
      <c r="G22" s="6"/>
      <c r="H22" s="6"/>
      <c r="I22" s="6"/>
      <c r="J22" s="6">
        <f t="shared" si="0"/>
        <v>19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28</v>
      </c>
      <c r="D24" s="6"/>
      <c r="E24" s="6"/>
      <c r="F24" s="6"/>
      <c r="G24" s="6"/>
      <c r="H24" s="6"/>
      <c r="I24" s="6"/>
      <c r="J24" s="6">
        <f t="shared" si="0"/>
        <v>28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12</v>
      </c>
      <c r="D25" s="6"/>
      <c r="E25" s="6"/>
      <c r="F25" s="6"/>
      <c r="G25" s="6"/>
      <c r="H25" s="6"/>
      <c r="I25" s="6"/>
      <c r="J25" s="6">
        <f t="shared" si="0"/>
        <v>12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445</v>
      </c>
      <c r="D26" s="6"/>
      <c r="E26" s="6">
        <v>80</v>
      </c>
      <c r="F26" s="6">
        <v>35</v>
      </c>
      <c r="G26" s="6"/>
      <c r="H26" s="6"/>
      <c r="I26" s="6"/>
      <c r="J26" s="6">
        <f t="shared" si="0"/>
        <v>330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440</v>
      </c>
      <c r="D32" s="6"/>
      <c r="E32" s="6"/>
      <c r="F32" s="6"/>
      <c r="G32" s="6"/>
      <c r="H32" s="6"/>
      <c r="I32" s="6"/>
      <c r="J32" s="6">
        <f t="shared" si="0"/>
        <v>440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v>0</v>
      </c>
      <c r="D33" s="6"/>
      <c r="E33" s="6"/>
      <c r="F33" s="6"/>
      <c r="G33" s="6"/>
      <c r="H33" s="6"/>
      <c r="I33" s="6"/>
      <c r="J33" s="6">
        <f t="shared" si="0"/>
        <v>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v>0</v>
      </c>
      <c r="D34" s="6"/>
      <c r="E34" s="6"/>
      <c r="F34" s="6"/>
      <c r="G34" s="6"/>
      <c r="H34" s="6"/>
      <c r="I34" s="6"/>
      <c r="J34" s="6">
        <f t="shared" si="0"/>
        <v>0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52</v>
      </c>
      <c r="D37" s="6"/>
      <c r="E37" s="6"/>
      <c r="F37" s="6"/>
      <c r="G37" s="6"/>
      <c r="H37" s="6"/>
      <c r="I37" s="6"/>
      <c r="J37" s="6">
        <f t="shared" si="0"/>
        <v>52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28</v>
      </c>
      <c r="D39" s="6"/>
      <c r="E39" s="6"/>
      <c r="F39" s="6"/>
      <c r="G39" s="6"/>
      <c r="H39" s="6"/>
      <c r="I39" s="6"/>
      <c r="J39" s="6">
        <f t="shared" si="0"/>
        <v>28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42</v>
      </c>
      <c r="D40" s="6"/>
      <c r="E40" s="6"/>
      <c r="F40" s="6"/>
      <c r="G40" s="6"/>
      <c r="H40" s="6"/>
      <c r="I40" s="6"/>
      <c r="J40" s="6">
        <f t="shared" si="0"/>
        <v>42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294</v>
      </c>
      <c r="D41" s="6"/>
      <c r="E41" s="6">
        <v>25</v>
      </c>
      <c r="F41" s="6">
        <v>90</v>
      </c>
      <c r="G41" s="6"/>
      <c r="H41" s="6"/>
      <c r="I41" s="6"/>
      <c r="J41" s="6">
        <f t="shared" si="0"/>
        <v>179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67</v>
      </c>
      <c r="D42" s="6"/>
      <c r="E42" s="6"/>
      <c r="F42" s="6"/>
      <c r="G42" s="6"/>
      <c r="H42" s="6"/>
      <c r="I42" s="6"/>
      <c r="J42" s="6">
        <f t="shared" si="0"/>
        <v>67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85</v>
      </c>
      <c r="D43" s="6">
        <v>208</v>
      </c>
      <c r="E43" s="6"/>
      <c r="F43" s="6"/>
      <c r="G43" s="6">
        <v>30</v>
      </c>
      <c r="H43" s="6"/>
      <c r="I43" s="6"/>
      <c r="J43" s="6">
        <f t="shared" si="0"/>
        <v>263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48</v>
      </c>
      <c r="D44" s="6"/>
      <c r="E44" s="6"/>
      <c r="F44" s="6"/>
      <c r="G44" s="6"/>
      <c r="H44" s="6"/>
      <c r="I44" s="6"/>
      <c r="J44" s="6">
        <f t="shared" si="0"/>
        <v>48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6">
        <f t="shared" si="0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48</v>
      </c>
      <c r="D46" s="6"/>
      <c r="E46" s="6"/>
      <c r="F46" s="6"/>
      <c r="G46" s="6"/>
      <c r="H46" s="6"/>
      <c r="I46" s="6"/>
      <c r="J46" s="6">
        <f t="shared" si="0"/>
        <v>48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21</v>
      </c>
      <c r="D47" s="6"/>
      <c r="E47" s="6"/>
      <c r="F47" s="6"/>
      <c r="G47" s="6">
        <v>1</v>
      </c>
      <c r="H47" s="6"/>
      <c r="I47" s="6"/>
      <c r="J47" s="6">
        <f t="shared" si="0"/>
        <v>20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673</v>
      </c>
      <c r="D49" s="6"/>
      <c r="E49" s="6"/>
      <c r="F49" s="6"/>
      <c r="G49" s="6"/>
      <c r="H49" s="6"/>
      <c r="I49" s="6"/>
      <c r="J49" s="6">
        <f t="shared" si="0"/>
        <v>673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38</v>
      </c>
      <c r="D50" s="6">
        <v>42</v>
      </c>
      <c r="E50" s="6"/>
      <c r="F50" s="6"/>
      <c r="G50" s="6"/>
      <c r="H50" s="6"/>
      <c r="I50" s="6"/>
      <c r="J50" s="6">
        <f t="shared" si="0"/>
        <v>80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133</v>
      </c>
      <c r="D51" s="6"/>
      <c r="E51" s="6"/>
      <c r="F51" s="6"/>
      <c r="G51" s="6"/>
      <c r="H51" s="6"/>
      <c r="I51" s="6"/>
      <c r="J51" s="6">
        <f t="shared" si="0"/>
        <v>133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67</v>
      </c>
      <c r="D52" s="6"/>
      <c r="E52" s="6"/>
      <c r="F52" s="6"/>
      <c r="G52" s="6"/>
      <c r="H52" s="6"/>
      <c r="I52" s="6"/>
      <c r="J52" s="6">
        <f t="shared" si="0"/>
        <v>67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32</v>
      </c>
      <c r="D53" s="6"/>
      <c r="E53" s="6"/>
      <c r="F53" s="6"/>
      <c r="G53" s="6"/>
      <c r="H53" s="6"/>
      <c r="I53" s="6"/>
      <c r="J53" s="6">
        <f t="shared" si="0"/>
        <v>32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/>
      <c r="G54" s="6"/>
      <c r="H54" s="6"/>
      <c r="I54" s="6"/>
      <c r="J54" s="6">
        <f t="shared" si="0"/>
        <v>29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73</v>
      </c>
      <c r="D56" s="6"/>
      <c r="E56" s="6"/>
      <c r="F56" s="6"/>
      <c r="G56" s="6"/>
      <c r="H56" s="6"/>
      <c r="I56" s="6"/>
      <c r="J56" s="6">
        <f t="shared" si="0"/>
        <v>73</v>
      </c>
      <c r="K56" s="13">
        <v>0</v>
      </c>
      <c r="L56" s="14"/>
    </row>
    <row r="57" spans="1:12" x14ac:dyDescent="0.25">
      <c r="A57" s="6">
        <v>55</v>
      </c>
      <c r="B57" s="7" t="s">
        <v>50</v>
      </c>
      <c r="C57" s="6">
        <v>0</v>
      </c>
      <c r="D57" s="6"/>
      <c r="E57" s="6"/>
      <c r="F57" s="6"/>
      <c r="G57" s="6"/>
      <c r="H57" s="6"/>
      <c r="I57" s="6"/>
      <c r="J57" s="6">
        <f t="shared" si="0"/>
        <v>0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207</v>
      </c>
      <c r="D58" s="6"/>
      <c r="E58" s="6"/>
      <c r="F58" s="6"/>
      <c r="G58" s="6"/>
      <c r="H58" s="6"/>
      <c r="I58" s="6"/>
      <c r="J58" s="6">
        <f t="shared" si="0"/>
        <v>207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27</v>
      </c>
      <c r="D60" s="6"/>
      <c r="E60" s="6"/>
      <c r="F60" s="6"/>
      <c r="G60" s="6"/>
      <c r="H60" s="6"/>
      <c r="I60" s="6"/>
      <c r="J60" s="6">
        <f t="shared" si="0"/>
        <v>27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9</v>
      </c>
      <c r="D61" s="6"/>
      <c r="E61" s="6"/>
      <c r="F61" s="6"/>
      <c r="G61" s="6"/>
      <c r="H61" s="6"/>
      <c r="I61" s="6"/>
      <c r="J61" s="6">
        <f t="shared" si="0"/>
        <v>9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0</v>
      </c>
      <c r="D63" s="6"/>
      <c r="E63" s="6"/>
      <c r="F63" s="6"/>
      <c r="G63" s="6"/>
      <c r="H63" s="6"/>
      <c r="I63" s="6"/>
      <c r="J63" s="6">
        <f t="shared" si="0"/>
        <v>0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99</v>
      </c>
      <c r="D64" s="6"/>
      <c r="E64" s="6"/>
      <c r="F64" s="6"/>
      <c r="G64" s="6"/>
      <c r="H64" s="6"/>
      <c r="I64" s="6"/>
      <c r="J64" s="6">
        <f t="shared" si="0"/>
        <v>99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8</v>
      </c>
      <c r="D65" s="6"/>
      <c r="E65" s="6"/>
      <c r="F65" s="6"/>
      <c r="G65" s="6"/>
      <c r="H65" s="6"/>
      <c r="I65" s="6"/>
      <c r="J65" s="6">
        <f t="shared" si="0"/>
        <v>8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275</v>
      </c>
      <c r="D66" s="6"/>
      <c r="E66" s="6"/>
      <c r="F66" s="6"/>
      <c r="G66" s="6"/>
      <c r="H66" s="6"/>
      <c r="I66" s="6"/>
      <c r="J66" s="6">
        <f t="shared" si="0"/>
        <v>275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21</v>
      </c>
      <c r="D67" s="6"/>
      <c r="E67" s="6"/>
      <c r="F67" s="6"/>
      <c r="G67" s="6"/>
      <c r="H67" s="6"/>
      <c r="I67" s="6"/>
      <c r="J67" s="6">
        <f t="shared" si="0"/>
        <v>21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13</v>
      </c>
      <c r="D68" s="6"/>
      <c r="E68" s="6"/>
      <c r="F68" s="6"/>
      <c r="G68" s="6">
        <v>1</v>
      </c>
      <c r="H68" s="6"/>
      <c r="I68" s="6"/>
      <c r="J68" s="6">
        <f t="shared" ref="J68:J78" si="1">+C68-E68-F68-G68-H68-I68+D68</f>
        <v>12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42</v>
      </c>
      <c r="D69" s="6"/>
      <c r="E69" s="6"/>
      <c r="F69" s="6"/>
      <c r="G69" s="6"/>
      <c r="H69" s="6"/>
      <c r="I69" s="6"/>
      <c r="J69" s="6">
        <f t="shared" si="1"/>
        <v>42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19</v>
      </c>
      <c r="D70" s="6"/>
      <c r="E70" s="6"/>
      <c r="F70" s="6"/>
      <c r="G70" s="6"/>
      <c r="H70" s="6"/>
      <c r="I70" s="6"/>
      <c r="J70" s="6">
        <f t="shared" si="1"/>
        <v>19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9</v>
      </c>
      <c r="D71" s="6"/>
      <c r="E71" s="6"/>
      <c r="F71" s="6"/>
      <c r="G71" s="6"/>
      <c r="H71" s="6"/>
      <c r="I71" s="6"/>
      <c r="J71" s="6">
        <f t="shared" si="1"/>
        <v>9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45</v>
      </c>
      <c r="D72" s="6"/>
      <c r="E72" s="6"/>
      <c r="F72" s="6">
        <v>4</v>
      </c>
      <c r="G72" s="6"/>
      <c r="H72" s="6"/>
      <c r="I72" s="6"/>
      <c r="J72" s="6">
        <f t="shared" si="1"/>
        <v>41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27</v>
      </c>
      <c r="D73" s="6"/>
      <c r="E73" s="6"/>
      <c r="F73" s="6"/>
      <c r="G73" s="6"/>
      <c r="H73" s="6"/>
      <c r="I73" s="6"/>
      <c r="J73" s="6">
        <f t="shared" si="1"/>
        <v>27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93</v>
      </c>
      <c r="D74" s="6"/>
      <c r="E74" s="6"/>
      <c r="F74" s="6"/>
      <c r="G74" s="6"/>
      <c r="H74" s="6"/>
      <c r="I74" s="6">
        <v>12</v>
      </c>
      <c r="J74" s="6">
        <f t="shared" si="1"/>
        <v>81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65</v>
      </c>
      <c r="D75" s="6"/>
      <c r="E75" s="6"/>
      <c r="F75" s="6"/>
      <c r="G75" s="6"/>
      <c r="H75" s="6"/>
      <c r="I75" s="6">
        <v>6</v>
      </c>
      <c r="J75" s="6">
        <f t="shared" si="1"/>
        <v>59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18</v>
      </c>
      <c r="D76" s="6"/>
      <c r="E76" s="6"/>
      <c r="F76" s="6"/>
      <c r="G76" s="6">
        <v>4</v>
      </c>
      <c r="H76" s="6"/>
      <c r="I76" s="6"/>
      <c r="J76" s="6">
        <f t="shared" si="1"/>
        <v>14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30</v>
      </c>
      <c r="D77" s="6"/>
      <c r="E77" s="6"/>
      <c r="F77" s="6"/>
      <c r="G77" s="6">
        <v>8</v>
      </c>
      <c r="H77" s="6"/>
      <c r="I77" s="6">
        <v>8</v>
      </c>
      <c r="J77" s="6">
        <f t="shared" si="1"/>
        <v>14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117</v>
      </c>
      <c r="C78" s="6">
        <v>325</v>
      </c>
      <c r="D78" s="6"/>
      <c r="E78" s="6"/>
      <c r="F78" s="6"/>
      <c r="G78" s="6"/>
      <c r="H78" s="6"/>
      <c r="I78" s="6"/>
      <c r="J78" s="6">
        <f t="shared" si="1"/>
        <v>325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78"/>
  <sheetViews>
    <sheetView zoomScaleNormal="100" workbookViewId="0">
      <selection activeCell="I38" sqref="I38"/>
    </sheetView>
  </sheetViews>
  <sheetFormatPr defaultRowHeight="15" x14ac:dyDescent="0.25"/>
  <cols>
    <col min="1" max="1" width="5.7109375" customWidth="1"/>
    <col min="2" max="2" width="30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45292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45296</v>
      </c>
      <c r="F2" s="4">
        <v>45306</v>
      </c>
      <c r="G2" s="4">
        <v>45310</v>
      </c>
      <c r="H2" s="4">
        <v>45316</v>
      </c>
      <c r="I2" s="4">
        <v>45322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17</v>
      </c>
      <c r="D3" s="6"/>
      <c r="E3" s="6"/>
      <c r="F3" s="6"/>
      <c r="G3" s="6"/>
      <c r="H3" s="6"/>
      <c r="I3" s="6"/>
      <c r="J3" s="6">
        <f>+C3-E3-F3-G3-H3-I3+D3</f>
        <v>17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20</v>
      </c>
      <c r="D4" s="6"/>
      <c r="E4" s="6"/>
      <c r="F4" s="6">
        <v>3</v>
      </c>
      <c r="G4" s="6">
        <v>3</v>
      </c>
      <c r="H4" s="6"/>
      <c r="I4" s="6">
        <v>1</v>
      </c>
      <c r="J4" s="6">
        <f t="shared" ref="J4:J67" si="0">+C4-E4-F4-G4-H4-I4+D4</f>
        <v>13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15</v>
      </c>
      <c r="D5" s="6"/>
      <c r="E5" s="6"/>
      <c r="F5" s="6"/>
      <c r="G5" s="6"/>
      <c r="H5" s="6">
        <v>5</v>
      </c>
      <c r="I5" s="6"/>
      <c r="J5" s="6">
        <f t="shared" si="0"/>
        <v>10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65</v>
      </c>
      <c r="D6" s="6"/>
      <c r="E6" s="6">
        <v>12</v>
      </c>
      <c r="F6" s="6"/>
      <c r="G6" s="6"/>
      <c r="H6" s="6"/>
      <c r="I6" s="6"/>
      <c r="J6" s="6">
        <f t="shared" si="0"/>
        <v>53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17</v>
      </c>
      <c r="D7" s="6">
        <v>80</v>
      </c>
      <c r="E7" s="6"/>
      <c r="F7" s="6"/>
      <c r="G7" s="6">
        <v>2</v>
      </c>
      <c r="H7" s="6">
        <v>6</v>
      </c>
      <c r="I7" s="6"/>
      <c r="J7" s="6">
        <f t="shared" si="0"/>
        <v>89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35</v>
      </c>
      <c r="D8" s="6"/>
      <c r="E8" s="6"/>
      <c r="F8" s="6">
        <v>20</v>
      </c>
      <c r="G8" s="6"/>
      <c r="H8" s="6"/>
      <c r="I8" s="6"/>
      <c r="J8" s="6">
        <f t="shared" si="0"/>
        <v>15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49</v>
      </c>
      <c r="D9" s="6"/>
      <c r="E9" s="6"/>
      <c r="F9" s="6">
        <v>2</v>
      </c>
      <c r="G9" s="6"/>
      <c r="H9" s="6">
        <v>2</v>
      </c>
      <c r="I9" s="6"/>
      <c r="J9" s="6">
        <f t="shared" si="0"/>
        <v>45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5</v>
      </c>
      <c r="D10" s="6">
        <v>18</v>
      </c>
      <c r="E10" s="6"/>
      <c r="F10" s="6"/>
      <c r="G10" s="6"/>
      <c r="H10" s="6"/>
      <c r="I10" s="6"/>
      <c r="J10" s="6">
        <f t="shared" si="0"/>
        <v>23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125</v>
      </c>
      <c r="D11" s="6">
        <v>11</v>
      </c>
      <c r="E11" s="6"/>
      <c r="F11" s="6"/>
      <c r="G11" s="6">
        <v>65</v>
      </c>
      <c r="H11" s="6">
        <v>43</v>
      </c>
      <c r="I11" s="6">
        <v>28</v>
      </c>
      <c r="J11" s="6">
        <f t="shared" si="0"/>
        <v>0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157</v>
      </c>
      <c r="D12" s="6">
        <v>456</v>
      </c>
      <c r="E12" s="6">
        <v>125</v>
      </c>
      <c r="F12" s="6">
        <v>50</v>
      </c>
      <c r="G12" s="6">
        <v>50</v>
      </c>
      <c r="H12" s="6">
        <v>94</v>
      </c>
      <c r="I12" s="6">
        <v>103</v>
      </c>
      <c r="J12" s="6">
        <f t="shared" si="0"/>
        <v>191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70</v>
      </c>
      <c r="D13" s="6"/>
      <c r="E13" s="6"/>
      <c r="F13" s="6"/>
      <c r="G13" s="6"/>
      <c r="H13" s="6"/>
      <c r="I13" s="6"/>
      <c r="J13" s="6">
        <f t="shared" si="0"/>
        <v>70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74</v>
      </c>
      <c r="D14" s="6"/>
      <c r="E14" s="6"/>
      <c r="F14" s="6"/>
      <c r="G14" s="6"/>
      <c r="H14" s="6"/>
      <c r="I14" s="6"/>
      <c r="J14" s="6">
        <f t="shared" si="0"/>
        <v>74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16</v>
      </c>
      <c r="D15" s="6"/>
      <c r="E15" s="6"/>
      <c r="F15" s="6"/>
      <c r="G15" s="6">
        <v>2</v>
      </c>
      <c r="H15" s="6"/>
      <c r="I15" s="6"/>
      <c r="J15" s="6">
        <f t="shared" si="0"/>
        <v>14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18</v>
      </c>
      <c r="D16" s="6"/>
      <c r="E16" s="6"/>
      <c r="F16" s="6"/>
      <c r="G16" s="6">
        <v>2</v>
      </c>
      <c r="H16" s="6"/>
      <c r="I16" s="6"/>
      <c r="J16" s="6">
        <f t="shared" si="0"/>
        <v>16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130</v>
      </c>
      <c r="D17" s="6">
        <v>144</v>
      </c>
      <c r="E17" s="6">
        <v>15</v>
      </c>
      <c r="F17" s="6">
        <v>8</v>
      </c>
      <c r="G17" s="6">
        <v>12</v>
      </c>
      <c r="H17" s="6">
        <v>8</v>
      </c>
      <c r="I17" s="6">
        <v>2</v>
      </c>
      <c r="J17" s="6">
        <f t="shared" si="0"/>
        <v>229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189</v>
      </c>
      <c r="D18" s="6">
        <v>136</v>
      </c>
      <c r="E18" s="6">
        <v>48</v>
      </c>
      <c r="F18" s="6"/>
      <c r="G18" s="6"/>
      <c r="H18" s="6">
        <v>4</v>
      </c>
      <c r="I18" s="6"/>
      <c r="J18" s="6">
        <f t="shared" si="0"/>
        <v>273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0</v>
      </c>
      <c r="D19" s="6">
        <v>55</v>
      </c>
      <c r="E19" s="6">
        <v>3</v>
      </c>
      <c r="F19" s="6">
        <v>2</v>
      </c>
      <c r="G19" s="6"/>
      <c r="H19" s="6"/>
      <c r="I19" s="6"/>
      <c r="J19" s="6">
        <f t="shared" si="0"/>
        <v>50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35</v>
      </c>
      <c r="D20" s="6">
        <v>42</v>
      </c>
      <c r="E20" s="6"/>
      <c r="F20" s="6">
        <v>4</v>
      </c>
      <c r="G20" s="6"/>
      <c r="H20" s="6"/>
      <c r="I20" s="6"/>
      <c r="J20" s="6">
        <f t="shared" si="0"/>
        <v>73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31</v>
      </c>
      <c r="D21" s="6"/>
      <c r="E21" s="6"/>
      <c r="F21" s="6">
        <v>1</v>
      </c>
      <c r="G21" s="6">
        <v>6</v>
      </c>
      <c r="H21" s="6">
        <v>1</v>
      </c>
      <c r="I21" s="6">
        <v>1</v>
      </c>
      <c r="J21" s="6">
        <f t="shared" si="0"/>
        <v>22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19</v>
      </c>
      <c r="D22" s="6">
        <v>53</v>
      </c>
      <c r="E22" s="6"/>
      <c r="F22" s="6">
        <v>9</v>
      </c>
      <c r="G22" s="6">
        <v>4</v>
      </c>
      <c r="H22" s="6"/>
      <c r="I22" s="6"/>
      <c r="J22" s="6">
        <f t="shared" si="0"/>
        <v>59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17</v>
      </c>
      <c r="D24" s="6">
        <v>11</v>
      </c>
      <c r="E24" s="6"/>
      <c r="F24" s="6">
        <v>2</v>
      </c>
      <c r="G24" s="6">
        <v>6</v>
      </c>
      <c r="H24" s="6"/>
      <c r="I24" s="6"/>
      <c r="J24" s="6">
        <f t="shared" si="0"/>
        <v>20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12</v>
      </c>
      <c r="D25" s="6">
        <v>4</v>
      </c>
      <c r="E25" s="6"/>
      <c r="F25" s="6">
        <v>12</v>
      </c>
      <c r="G25" s="6"/>
      <c r="H25" s="6"/>
      <c r="I25" s="6"/>
      <c r="J25" s="6">
        <f t="shared" si="0"/>
        <v>4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270</v>
      </c>
      <c r="D26" s="6"/>
      <c r="E26" s="6"/>
      <c r="F26" s="6"/>
      <c r="G26" s="6">
        <v>97</v>
      </c>
      <c r="H26" s="6"/>
      <c r="I26" s="6"/>
      <c r="J26" s="6">
        <f t="shared" si="0"/>
        <v>173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328</v>
      </c>
      <c r="D32" s="6"/>
      <c r="E32" s="6"/>
      <c r="F32" s="6"/>
      <c r="G32" s="6"/>
      <c r="H32" s="6"/>
      <c r="I32" s="6"/>
      <c r="J32" s="6">
        <f t="shared" si="0"/>
        <v>328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v>0</v>
      </c>
      <c r="D33" s="6"/>
      <c r="E33" s="6"/>
      <c r="F33" s="6"/>
      <c r="G33" s="6"/>
      <c r="H33" s="6"/>
      <c r="I33" s="6"/>
      <c r="J33" s="6">
        <f t="shared" si="0"/>
        <v>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v>0</v>
      </c>
      <c r="D34" s="6"/>
      <c r="E34" s="6"/>
      <c r="F34" s="6"/>
      <c r="G34" s="6"/>
      <c r="H34" s="6"/>
      <c r="I34" s="6"/>
      <c r="J34" s="6">
        <f t="shared" si="0"/>
        <v>0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40</v>
      </c>
      <c r="D37" s="6">
        <v>107</v>
      </c>
      <c r="E37" s="6"/>
      <c r="F37" s="6"/>
      <c r="G37" s="6"/>
      <c r="H37" s="6">
        <v>1</v>
      </c>
      <c r="I37" s="6">
        <v>107</v>
      </c>
      <c r="J37" s="6">
        <f t="shared" si="0"/>
        <v>39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28</v>
      </c>
      <c r="D39" s="6"/>
      <c r="E39" s="6"/>
      <c r="F39" s="6"/>
      <c r="G39" s="6">
        <v>0</v>
      </c>
      <c r="H39" s="6"/>
      <c r="I39" s="6"/>
      <c r="J39" s="6">
        <f t="shared" si="0"/>
        <v>28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32</v>
      </c>
      <c r="D40" s="6"/>
      <c r="E40" s="6"/>
      <c r="F40" s="6"/>
      <c r="G40" s="6">
        <v>2</v>
      </c>
      <c r="H40" s="6"/>
      <c r="I40" s="6"/>
      <c r="J40" s="6">
        <f t="shared" si="0"/>
        <v>30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82</v>
      </c>
      <c r="D41" s="6"/>
      <c r="E41" s="6">
        <v>2</v>
      </c>
      <c r="F41" s="6"/>
      <c r="G41" s="6"/>
      <c r="H41" s="6"/>
      <c r="I41" s="6"/>
      <c r="J41" s="6">
        <f t="shared" si="0"/>
        <v>80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14</v>
      </c>
      <c r="D42" s="6">
        <v>91</v>
      </c>
      <c r="E42" s="6"/>
      <c r="F42" s="6"/>
      <c r="G42" s="6"/>
      <c r="H42" s="6"/>
      <c r="I42" s="6">
        <v>29</v>
      </c>
      <c r="J42" s="6">
        <f t="shared" si="0"/>
        <v>76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190</v>
      </c>
      <c r="D43" s="6">
        <v>294</v>
      </c>
      <c r="E43" s="6">
        <v>81</v>
      </c>
      <c r="F43" s="6"/>
      <c r="G43" s="6"/>
      <c r="H43" s="6"/>
      <c r="I43" s="6">
        <v>20</v>
      </c>
      <c r="J43" s="6">
        <f t="shared" si="0"/>
        <v>383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44</v>
      </c>
      <c r="D44" s="6"/>
      <c r="E44" s="6"/>
      <c r="F44" s="6"/>
      <c r="G44" s="6"/>
      <c r="H44" s="6"/>
      <c r="I44" s="6"/>
      <c r="J44" s="6">
        <f t="shared" si="0"/>
        <v>44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20</v>
      </c>
      <c r="D45" s="6"/>
      <c r="E45" s="6"/>
      <c r="F45" s="6"/>
      <c r="G45" s="6"/>
      <c r="H45" s="6"/>
      <c r="I45" s="6"/>
      <c r="J45" s="6">
        <f t="shared" si="0"/>
        <v>20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48</v>
      </c>
      <c r="D46" s="6"/>
      <c r="E46" s="6"/>
      <c r="F46" s="6"/>
      <c r="G46" s="6"/>
      <c r="H46" s="6"/>
      <c r="I46" s="6"/>
      <c r="J46" s="6">
        <f t="shared" si="0"/>
        <v>48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20</v>
      </c>
      <c r="D47" s="6">
        <v>4</v>
      </c>
      <c r="E47" s="6"/>
      <c r="F47" s="6"/>
      <c r="G47" s="6"/>
      <c r="H47" s="6"/>
      <c r="I47" s="6">
        <v>2</v>
      </c>
      <c r="J47" s="6">
        <f t="shared" si="0"/>
        <v>22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480</v>
      </c>
      <c r="D49" s="6"/>
      <c r="E49" s="6"/>
      <c r="F49" s="6"/>
      <c r="G49" s="6"/>
      <c r="H49" s="6"/>
      <c r="I49" s="6"/>
      <c r="J49" s="6">
        <f t="shared" si="0"/>
        <v>480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72</v>
      </c>
      <c r="D50" s="6">
        <v>103</v>
      </c>
      <c r="E50" s="6"/>
      <c r="F50" s="6"/>
      <c r="G50" s="6">
        <v>2</v>
      </c>
      <c r="H50" s="6">
        <v>4</v>
      </c>
      <c r="I50" s="6">
        <v>103</v>
      </c>
      <c r="J50" s="6">
        <f t="shared" si="0"/>
        <v>66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114</v>
      </c>
      <c r="D51" s="6"/>
      <c r="E51" s="6"/>
      <c r="F51" s="6"/>
      <c r="G51" s="6">
        <v>1</v>
      </c>
      <c r="H51" s="6"/>
      <c r="I51" s="6"/>
      <c r="J51" s="6">
        <f t="shared" si="0"/>
        <v>113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41</v>
      </c>
      <c r="D52" s="6"/>
      <c r="E52" s="6"/>
      <c r="F52" s="6"/>
      <c r="G52" s="6"/>
      <c r="H52" s="6"/>
      <c r="I52" s="6"/>
      <c r="J52" s="6">
        <f t="shared" si="0"/>
        <v>41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32</v>
      </c>
      <c r="D53" s="6"/>
      <c r="E53" s="6"/>
      <c r="F53" s="6"/>
      <c r="G53" s="6"/>
      <c r="H53" s="6">
        <v>2</v>
      </c>
      <c r="I53" s="6"/>
      <c r="J53" s="6">
        <f t="shared" si="0"/>
        <v>30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/>
      <c r="G54" s="6"/>
      <c r="H54" s="6"/>
      <c r="I54" s="6"/>
      <c r="J54" s="6">
        <f t="shared" si="0"/>
        <v>29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73</v>
      </c>
      <c r="D56" s="6"/>
      <c r="E56" s="6"/>
      <c r="F56" s="6"/>
      <c r="G56" s="6"/>
      <c r="H56" s="6"/>
      <c r="I56" s="6"/>
      <c r="J56" s="6">
        <f t="shared" si="0"/>
        <v>73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0</v>
      </c>
      <c r="D57" s="6">
        <v>100</v>
      </c>
      <c r="E57" s="6"/>
      <c r="F57" s="6"/>
      <c r="G57" s="6"/>
      <c r="H57" s="6"/>
      <c r="I57" s="6"/>
      <c r="J57" s="6">
        <f t="shared" si="0"/>
        <v>100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184</v>
      </c>
      <c r="D58" s="6"/>
      <c r="E58" s="6"/>
      <c r="F58" s="6"/>
      <c r="G58" s="6"/>
      <c r="H58" s="6"/>
      <c r="I58" s="6">
        <v>2</v>
      </c>
      <c r="J58" s="6">
        <f t="shared" si="0"/>
        <v>182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25</v>
      </c>
      <c r="D60" s="6"/>
      <c r="E60" s="6"/>
      <c r="F60" s="6"/>
      <c r="G60" s="6"/>
      <c r="H60" s="6"/>
      <c r="I60" s="6"/>
      <c r="J60" s="6">
        <f t="shared" si="0"/>
        <v>25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9</v>
      </c>
      <c r="D61" s="6"/>
      <c r="E61" s="6"/>
      <c r="F61" s="6"/>
      <c r="G61" s="6"/>
      <c r="H61" s="6"/>
      <c r="I61" s="6"/>
      <c r="J61" s="6">
        <f t="shared" si="0"/>
        <v>9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63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64</v>
      </c>
      <c r="C63" s="6">
        <v>0</v>
      </c>
      <c r="D63" s="6"/>
      <c r="E63" s="6"/>
      <c r="F63" s="6"/>
      <c r="G63" s="6"/>
      <c r="H63" s="6"/>
      <c r="I63" s="6"/>
      <c r="J63" s="6">
        <f t="shared" si="0"/>
        <v>0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62</v>
      </c>
      <c r="D64" s="6"/>
      <c r="E64" s="6"/>
      <c r="F64" s="6"/>
      <c r="G64" s="6"/>
      <c r="H64" s="6"/>
      <c r="I64" s="6"/>
      <c r="J64" s="6">
        <f t="shared" si="0"/>
        <v>62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50</v>
      </c>
      <c r="D65" s="6"/>
      <c r="E65" s="6"/>
      <c r="F65" s="6"/>
      <c r="G65" s="6"/>
      <c r="H65" s="6"/>
      <c r="I65" s="6"/>
      <c r="J65" s="6">
        <f t="shared" si="0"/>
        <v>50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222</v>
      </c>
      <c r="D66" s="6"/>
      <c r="E66" s="6"/>
      <c r="F66" s="6"/>
      <c r="G66" s="6"/>
      <c r="H66" s="6"/>
      <c r="I66" s="6"/>
      <c r="J66" s="6">
        <f t="shared" si="0"/>
        <v>222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21</v>
      </c>
      <c r="D67" s="6"/>
      <c r="E67" s="6"/>
      <c r="F67" s="6"/>
      <c r="G67" s="6"/>
      <c r="H67" s="6"/>
      <c r="I67" s="6"/>
      <c r="J67" s="6">
        <f t="shared" si="0"/>
        <v>21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8</v>
      </c>
      <c r="D68" s="6">
        <v>4</v>
      </c>
      <c r="E68" s="6"/>
      <c r="F68" s="6"/>
      <c r="G68" s="6"/>
      <c r="H68" s="6"/>
      <c r="I68" s="6"/>
      <c r="J68" s="6">
        <f t="shared" ref="J68:J78" si="1">+C68-E68-F68-G68-H68-I68+D68</f>
        <v>12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26</v>
      </c>
      <c r="D69" s="6"/>
      <c r="E69" s="6"/>
      <c r="F69" s="6"/>
      <c r="G69" s="6"/>
      <c r="H69" s="6"/>
      <c r="I69" s="6"/>
      <c r="J69" s="6">
        <f t="shared" si="1"/>
        <v>26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17</v>
      </c>
      <c r="D70" s="6">
        <v>38</v>
      </c>
      <c r="E70" s="6">
        <v>32</v>
      </c>
      <c r="F70" s="6"/>
      <c r="G70" s="6"/>
      <c r="H70" s="6"/>
      <c r="I70" s="6"/>
      <c r="J70" s="6">
        <f t="shared" si="1"/>
        <v>23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9</v>
      </c>
      <c r="D71" s="6">
        <v>36</v>
      </c>
      <c r="E71" s="6">
        <v>24</v>
      </c>
      <c r="F71" s="6"/>
      <c r="G71" s="6"/>
      <c r="H71" s="6"/>
      <c r="I71" s="6"/>
      <c r="J71" s="6">
        <f t="shared" si="1"/>
        <v>21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31</v>
      </c>
      <c r="D72" s="6"/>
      <c r="E72" s="6"/>
      <c r="F72" s="6"/>
      <c r="G72" s="6">
        <v>10</v>
      </c>
      <c r="H72" s="6"/>
      <c r="I72" s="6"/>
      <c r="J72" s="6">
        <f t="shared" si="1"/>
        <v>21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22</v>
      </c>
      <c r="D73" s="6"/>
      <c r="E73" s="6"/>
      <c r="F73" s="6"/>
      <c r="G73" s="6"/>
      <c r="H73" s="6"/>
      <c r="I73" s="6"/>
      <c r="J73" s="6">
        <f t="shared" si="1"/>
        <v>22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81</v>
      </c>
      <c r="D74" s="6"/>
      <c r="E74" s="6"/>
      <c r="F74" s="6"/>
      <c r="G74" s="6">
        <v>2</v>
      </c>
      <c r="H74" s="6">
        <v>3</v>
      </c>
      <c r="I74" s="6">
        <v>5</v>
      </c>
      <c r="J74" s="6">
        <f t="shared" si="1"/>
        <v>71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59</v>
      </c>
      <c r="D75" s="6"/>
      <c r="E75" s="6"/>
      <c r="F75" s="6"/>
      <c r="G75" s="6"/>
      <c r="H75" s="6">
        <v>2</v>
      </c>
      <c r="I75" s="6"/>
      <c r="J75" s="6">
        <f t="shared" si="1"/>
        <v>57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5</v>
      </c>
      <c r="D76" s="6">
        <v>62</v>
      </c>
      <c r="E76" s="6"/>
      <c r="F76" s="6"/>
      <c r="G76" s="6"/>
      <c r="H76" s="6"/>
      <c r="I76" s="6">
        <v>3</v>
      </c>
      <c r="J76" s="6">
        <f t="shared" si="1"/>
        <v>64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0</v>
      </c>
      <c r="D77" s="6">
        <v>56</v>
      </c>
      <c r="E77" s="6"/>
      <c r="F77" s="6"/>
      <c r="G77" s="6">
        <v>1</v>
      </c>
      <c r="H77" s="6">
        <v>1</v>
      </c>
      <c r="I77" s="6"/>
      <c r="J77" s="6">
        <f t="shared" si="1"/>
        <v>54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117</v>
      </c>
      <c r="C78" s="6">
        <v>325</v>
      </c>
      <c r="D78" s="6"/>
      <c r="E78" s="6"/>
      <c r="F78" s="6"/>
      <c r="G78" s="6"/>
      <c r="H78" s="6"/>
      <c r="I78" s="6"/>
      <c r="J78" s="6">
        <f t="shared" si="1"/>
        <v>325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78"/>
  <sheetViews>
    <sheetView zoomScaleNormal="100" workbookViewId="0">
      <selection activeCell="H6" sqref="H6"/>
    </sheetView>
  </sheetViews>
  <sheetFormatPr defaultRowHeight="15" x14ac:dyDescent="0.25"/>
  <cols>
    <col min="1" max="1" width="5.7109375" customWidth="1"/>
    <col min="2" max="2" width="30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45323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45331</v>
      </c>
      <c r="F2" s="4">
        <v>45341</v>
      </c>
      <c r="G2" s="4">
        <v>45345</v>
      </c>
      <c r="H2" s="4">
        <v>45351</v>
      </c>
      <c r="I2" s="4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17</v>
      </c>
      <c r="D3" s="6"/>
      <c r="E3" s="6"/>
      <c r="F3" s="6"/>
      <c r="G3" s="6"/>
      <c r="H3" s="6"/>
      <c r="I3" s="6"/>
      <c r="J3" s="6">
        <f>+C3-E3-F3-G3-H3-I3+D3</f>
        <v>17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13</v>
      </c>
      <c r="D4" s="6"/>
      <c r="E4" s="6"/>
      <c r="F4" s="6"/>
      <c r="G4" s="6">
        <v>1</v>
      </c>
      <c r="H4" s="6"/>
      <c r="I4" s="6"/>
      <c r="J4" s="6">
        <f t="shared" ref="J4:J67" si="0">+C4-E4-F4-G4-H4-I4+D4</f>
        <v>12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10</v>
      </c>
      <c r="D5" s="6"/>
      <c r="E5" s="6"/>
      <c r="F5" s="6"/>
      <c r="G5" s="6">
        <v>6</v>
      </c>
      <c r="H5" s="6"/>
      <c r="I5" s="6"/>
      <c r="J5" s="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53</v>
      </c>
      <c r="D6" s="6"/>
      <c r="E6" s="6"/>
      <c r="F6" s="6"/>
      <c r="G6" s="6">
        <v>2</v>
      </c>
      <c r="H6" s="6">
        <v>7</v>
      </c>
      <c r="I6" s="6"/>
      <c r="J6" s="6">
        <f t="shared" si="0"/>
        <v>44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89</v>
      </c>
      <c r="D7" s="6"/>
      <c r="E7" s="6"/>
      <c r="F7" s="6"/>
      <c r="G7" s="6">
        <v>8</v>
      </c>
      <c r="H7" s="6">
        <v>4</v>
      </c>
      <c r="I7" s="6"/>
      <c r="J7" s="6">
        <f t="shared" si="0"/>
        <v>77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15</v>
      </c>
      <c r="D8" s="6"/>
      <c r="E8" s="6"/>
      <c r="F8" s="6">
        <v>2</v>
      </c>
      <c r="G8" s="6"/>
      <c r="H8" s="6">
        <v>2</v>
      </c>
      <c r="I8" s="6"/>
      <c r="J8" s="6">
        <f t="shared" si="0"/>
        <v>11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45</v>
      </c>
      <c r="D9" s="6"/>
      <c r="E9" s="6"/>
      <c r="F9" s="6">
        <v>6</v>
      </c>
      <c r="G9" s="6">
        <v>4</v>
      </c>
      <c r="H9" s="6">
        <v>2</v>
      </c>
      <c r="I9" s="6"/>
      <c r="J9" s="6">
        <f t="shared" si="0"/>
        <v>33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23</v>
      </c>
      <c r="D10" s="6">
        <v>10</v>
      </c>
      <c r="E10" s="6"/>
      <c r="F10" s="6">
        <v>2</v>
      </c>
      <c r="G10" s="6">
        <v>2</v>
      </c>
      <c r="H10" s="6">
        <v>2</v>
      </c>
      <c r="I10" s="6"/>
      <c r="J10" s="6">
        <f t="shared" si="0"/>
        <v>27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0</v>
      </c>
      <c r="D11" s="6">
        <v>205</v>
      </c>
      <c r="E11" s="6">
        <v>77</v>
      </c>
      <c r="F11" s="6"/>
      <c r="G11" s="6"/>
      <c r="H11" s="6"/>
      <c r="I11" s="6"/>
      <c r="J11" s="6">
        <f t="shared" si="0"/>
        <v>128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191</v>
      </c>
      <c r="D12" s="6">
        <v>340</v>
      </c>
      <c r="E12" s="6">
        <v>125</v>
      </c>
      <c r="F12" s="6"/>
      <c r="G12" s="6"/>
      <c r="H12" s="6"/>
      <c r="I12" s="6"/>
      <c r="J12" s="6">
        <f t="shared" si="0"/>
        <v>406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70</v>
      </c>
      <c r="D13" s="6"/>
      <c r="E13" s="6"/>
      <c r="F13" s="6"/>
      <c r="G13" s="6"/>
      <c r="H13" s="6"/>
      <c r="I13" s="6"/>
      <c r="J13" s="6">
        <f t="shared" si="0"/>
        <v>70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74</v>
      </c>
      <c r="D14" s="6"/>
      <c r="E14" s="6"/>
      <c r="F14" s="6"/>
      <c r="G14" s="6"/>
      <c r="H14" s="6"/>
      <c r="I14" s="6"/>
      <c r="J14" s="6">
        <f t="shared" si="0"/>
        <v>74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14</v>
      </c>
      <c r="D15" s="6"/>
      <c r="E15" s="6"/>
      <c r="F15" s="6"/>
      <c r="G15" s="6"/>
      <c r="H15" s="6"/>
      <c r="I15" s="6"/>
      <c r="J15" s="6">
        <f t="shared" si="0"/>
        <v>14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16</v>
      </c>
      <c r="D16" s="6"/>
      <c r="E16" s="6"/>
      <c r="F16" s="6"/>
      <c r="G16" s="6"/>
      <c r="H16" s="6"/>
      <c r="I16" s="6"/>
      <c r="J16" s="6">
        <f t="shared" si="0"/>
        <v>16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229</v>
      </c>
      <c r="D17" s="6">
        <v>120</v>
      </c>
      <c r="E17" s="6"/>
      <c r="F17" s="6"/>
      <c r="G17" s="6">
        <v>18</v>
      </c>
      <c r="H17" s="6"/>
      <c r="I17" s="6"/>
      <c r="J17" s="6">
        <f t="shared" si="0"/>
        <v>331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273</v>
      </c>
      <c r="D18" s="6"/>
      <c r="E18" s="6"/>
      <c r="F18" s="6"/>
      <c r="G18" s="6">
        <v>26</v>
      </c>
      <c r="H18" s="6"/>
      <c r="I18" s="6"/>
      <c r="J18" s="6">
        <f t="shared" si="0"/>
        <v>247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50</v>
      </c>
      <c r="D19" s="6"/>
      <c r="E19" s="6"/>
      <c r="F19" s="6"/>
      <c r="G19" s="6">
        <v>7</v>
      </c>
      <c r="H19" s="6"/>
      <c r="I19" s="6"/>
      <c r="J19" s="6">
        <f t="shared" si="0"/>
        <v>43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73</v>
      </c>
      <c r="D20" s="6"/>
      <c r="E20" s="6"/>
      <c r="F20" s="6"/>
      <c r="G20" s="6"/>
      <c r="H20" s="6"/>
      <c r="I20" s="6"/>
      <c r="J20" s="6">
        <f t="shared" si="0"/>
        <v>73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22</v>
      </c>
      <c r="D21" s="6"/>
      <c r="E21" s="6">
        <v>5</v>
      </c>
      <c r="F21" s="6"/>
      <c r="G21" s="6"/>
      <c r="H21" s="6"/>
      <c r="I21" s="6"/>
      <c r="J21" s="6">
        <f t="shared" si="0"/>
        <v>17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59</v>
      </c>
      <c r="D22" s="6"/>
      <c r="E22" s="6"/>
      <c r="F22" s="6"/>
      <c r="G22" s="6">
        <v>8</v>
      </c>
      <c r="H22" s="6"/>
      <c r="I22" s="6"/>
      <c r="J22" s="6">
        <f t="shared" si="0"/>
        <v>51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20</v>
      </c>
      <c r="D24" s="6">
        <v>17</v>
      </c>
      <c r="E24" s="6"/>
      <c r="F24" s="6"/>
      <c r="G24" s="6">
        <v>3</v>
      </c>
      <c r="H24" s="6"/>
      <c r="I24" s="6"/>
      <c r="J24" s="6">
        <f t="shared" si="0"/>
        <v>34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4</v>
      </c>
      <c r="D25" s="6"/>
      <c r="E25" s="6"/>
      <c r="F25" s="6"/>
      <c r="G25" s="6"/>
      <c r="H25" s="6"/>
      <c r="I25" s="6"/>
      <c r="J25" s="6">
        <f t="shared" si="0"/>
        <v>4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173</v>
      </c>
      <c r="D26" s="6"/>
      <c r="E26" s="6">
        <v>30</v>
      </c>
      <c r="F26" s="6"/>
      <c r="G26" s="6"/>
      <c r="H26" s="6"/>
      <c r="I26" s="6"/>
      <c r="J26" s="6">
        <f t="shared" si="0"/>
        <v>143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328</v>
      </c>
      <c r="D32" s="6"/>
      <c r="E32" s="6"/>
      <c r="F32" s="6"/>
      <c r="G32" s="6"/>
      <c r="H32" s="6"/>
      <c r="I32" s="6"/>
      <c r="J32" s="6">
        <f t="shared" si="0"/>
        <v>328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v>0</v>
      </c>
      <c r="D33" s="6"/>
      <c r="E33" s="6"/>
      <c r="F33" s="6"/>
      <c r="G33" s="6"/>
      <c r="H33" s="6"/>
      <c r="I33" s="6"/>
      <c r="J33" s="6">
        <f t="shared" si="0"/>
        <v>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v>0</v>
      </c>
      <c r="D34" s="6"/>
      <c r="E34" s="6"/>
      <c r="F34" s="6"/>
      <c r="G34" s="6"/>
      <c r="H34" s="6"/>
      <c r="I34" s="6"/>
      <c r="J34" s="6">
        <f t="shared" si="0"/>
        <v>0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39</v>
      </c>
      <c r="D37" s="6">
        <v>59</v>
      </c>
      <c r="E37" s="6"/>
      <c r="F37" s="6"/>
      <c r="G37" s="6">
        <v>23</v>
      </c>
      <c r="H37" s="6"/>
      <c r="I37" s="6"/>
      <c r="J37" s="6">
        <f t="shared" si="0"/>
        <v>75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28</v>
      </c>
      <c r="D39" s="6"/>
      <c r="E39" s="6"/>
      <c r="F39" s="6"/>
      <c r="G39" s="6"/>
      <c r="H39" s="6"/>
      <c r="I39" s="6"/>
      <c r="J39" s="6">
        <f t="shared" si="0"/>
        <v>28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30</v>
      </c>
      <c r="D40" s="6"/>
      <c r="E40" s="6"/>
      <c r="F40" s="6"/>
      <c r="G40" s="6"/>
      <c r="H40" s="6"/>
      <c r="I40" s="6"/>
      <c r="J40" s="6">
        <f t="shared" si="0"/>
        <v>30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80</v>
      </c>
      <c r="D41" s="6"/>
      <c r="E41" s="6"/>
      <c r="F41" s="6"/>
      <c r="G41" s="6"/>
      <c r="H41" s="6"/>
      <c r="I41" s="6"/>
      <c r="J41" s="6">
        <f t="shared" si="0"/>
        <v>80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76</v>
      </c>
      <c r="D42" s="6">
        <v>127</v>
      </c>
      <c r="E42" s="6"/>
      <c r="F42" s="6"/>
      <c r="G42" s="6">
        <v>20</v>
      </c>
      <c r="H42" s="6"/>
      <c r="I42" s="6"/>
      <c r="J42" s="6">
        <f t="shared" si="0"/>
        <v>183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383</v>
      </c>
      <c r="D43" s="6">
        <v>8</v>
      </c>
      <c r="E43" s="6">
        <v>10</v>
      </c>
      <c r="F43" s="6"/>
      <c r="G43" s="6">
        <v>4</v>
      </c>
      <c r="H43" s="6">
        <v>36</v>
      </c>
      <c r="I43" s="6"/>
      <c r="J43" s="6">
        <f t="shared" si="0"/>
        <v>341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44</v>
      </c>
      <c r="D44" s="6"/>
      <c r="E44" s="6"/>
      <c r="F44" s="6"/>
      <c r="G44" s="6"/>
      <c r="H44" s="6"/>
      <c r="I44" s="6"/>
      <c r="J44" s="6">
        <f t="shared" si="0"/>
        <v>44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20</v>
      </c>
      <c r="D45" s="6"/>
      <c r="E45" s="6"/>
      <c r="F45" s="6"/>
      <c r="G45" s="6"/>
      <c r="H45" s="6"/>
      <c r="I45" s="6"/>
      <c r="J45" s="6">
        <f t="shared" si="0"/>
        <v>20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48</v>
      </c>
      <c r="D46" s="6"/>
      <c r="E46" s="6"/>
      <c r="F46" s="6"/>
      <c r="G46" s="6"/>
      <c r="H46" s="6"/>
      <c r="I46" s="6"/>
      <c r="J46" s="6">
        <f t="shared" si="0"/>
        <v>48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22</v>
      </c>
      <c r="D47" s="6"/>
      <c r="E47" s="6"/>
      <c r="F47" s="6"/>
      <c r="G47" s="6">
        <v>4</v>
      </c>
      <c r="H47" s="6"/>
      <c r="I47" s="6"/>
      <c r="J47" s="6">
        <f t="shared" si="0"/>
        <v>18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480</v>
      </c>
      <c r="D49" s="6"/>
      <c r="E49" s="6"/>
      <c r="F49" s="6"/>
      <c r="G49" s="6"/>
      <c r="H49" s="6"/>
      <c r="I49" s="6"/>
      <c r="J49" s="6">
        <f t="shared" si="0"/>
        <v>480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66</v>
      </c>
      <c r="D50" s="6">
        <v>56</v>
      </c>
      <c r="E50" s="6"/>
      <c r="F50" s="6"/>
      <c r="G50" s="6">
        <v>4</v>
      </c>
      <c r="H50" s="6"/>
      <c r="I50" s="6"/>
      <c r="J50" s="6">
        <f t="shared" si="0"/>
        <v>118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113</v>
      </c>
      <c r="D51" s="6"/>
      <c r="E51" s="6"/>
      <c r="F51" s="6"/>
      <c r="G51" s="6">
        <v>4</v>
      </c>
      <c r="H51" s="6"/>
      <c r="I51" s="6"/>
      <c r="J51" s="6">
        <f t="shared" si="0"/>
        <v>109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41</v>
      </c>
      <c r="D52" s="6"/>
      <c r="E52" s="6"/>
      <c r="F52" s="6"/>
      <c r="G52" s="6"/>
      <c r="H52" s="6"/>
      <c r="I52" s="6"/>
      <c r="J52" s="6">
        <f t="shared" si="0"/>
        <v>41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30</v>
      </c>
      <c r="D53" s="6"/>
      <c r="E53" s="6"/>
      <c r="F53" s="6"/>
      <c r="G53" s="6"/>
      <c r="H53" s="6"/>
      <c r="I53" s="6"/>
      <c r="J53" s="6">
        <f t="shared" si="0"/>
        <v>30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/>
      <c r="G54" s="6"/>
      <c r="H54" s="6"/>
      <c r="I54" s="6"/>
      <c r="J54" s="6">
        <f t="shared" si="0"/>
        <v>29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73</v>
      </c>
      <c r="D56" s="6"/>
      <c r="E56" s="6"/>
      <c r="F56" s="6"/>
      <c r="G56" s="6"/>
      <c r="H56" s="6"/>
      <c r="I56" s="6"/>
      <c r="J56" s="6">
        <f t="shared" si="0"/>
        <v>73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6">
        <f t="shared" si="0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182</v>
      </c>
      <c r="D58" s="6"/>
      <c r="E58" s="6"/>
      <c r="F58" s="6"/>
      <c r="G58" s="6">
        <v>5</v>
      </c>
      <c r="H58" s="6"/>
      <c r="I58" s="6"/>
      <c r="J58" s="6">
        <f t="shared" si="0"/>
        <v>177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25</v>
      </c>
      <c r="D60" s="6"/>
      <c r="E60" s="6">
        <v>1</v>
      </c>
      <c r="F60" s="6"/>
      <c r="G60" s="6"/>
      <c r="H60" s="6"/>
      <c r="I60" s="6"/>
      <c r="J60" s="6">
        <f t="shared" si="0"/>
        <v>24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9</v>
      </c>
      <c r="D61" s="6"/>
      <c r="E61" s="6"/>
      <c r="F61" s="6"/>
      <c r="G61" s="6"/>
      <c r="H61" s="6"/>
      <c r="I61" s="6"/>
      <c r="J61" s="6">
        <f t="shared" si="0"/>
        <v>9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120</v>
      </c>
      <c r="C62" s="6">
        <v>0</v>
      </c>
      <c r="D62" s="6">
        <v>126</v>
      </c>
      <c r="E62" s="6">
        <v>1</v>
      </c>
      <c r="F62" s="6">
        <v>125</v>
      </c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0</v>
      </c>
      <c r="D63" s="6">
        <v>15</v>
      </c>
      <c r="E63" s="6"/>
      <c r="F63" s="6"/>
      <c r="G63" s="6"/>
      <c r="H63" s="6"/>
      <c r="I63" s="6"/>
      <c r="J63" s="6">
        <f t="shared" si="0"/>
        <v>15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62</v>
      </c>
      <c r="D64" s="6"/>
      <c r="E64" s="6"/>
      <c r="F64" s="6"/>
      <c r="G64" s="6">
        <v>0</v>
      </c>
      <c r="H64" s="6">
        <v>33</v>
      </c>
      <c r="I64" s="6"/>
      <c r="J64" s="6">
        <f t="shared" si="0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50</v>
      </c>
      <c r="D65" s="6"/>
      <c r="E65" s="6"/>
      <c r="F65" s="6"/>
      <c r="G65" s="6">
        <v>3</v>
      </c>
      <c r="H65" s="6"/>
      <c r="I65" s="6"/>
      <c r="J65" s="6">
        <f t="shared" si="0"/>
        <v>47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222</v>
      </c>
      <c r="D66" s="6">
        <v>25</v>
      </c>
      <c r="E66" s="6"/>
      <c r="F66" s="6"/>
      <c r="G66" s="6">
        <v>28</v>
      </c>
      <c r="H66" s="6"/>
      <c r="I66" s="6"/>
      <c r="J66" s="6">
        <f t="shared" si="0"/>
        <v>219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21</v>
      </c>
      <c r="D67" s="6">
        <v>20</v>
      </c>
      <c r="E67" s="6"/>
      <c r="F67" s="6"/>
      <c r="G67" s="6"/>
      <c r="H67" s="6"/>
      <c r="I67" s="6"/>
      <c r="J67" s="6">
        <f t="shared" si="0"/>
        <v>41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12</v>
      </c>
      <c r="D68" s="6"/>
      <c r="E68" s="6"/>
      <c r="F68" s="6"/>
      <c r="G68" s="6">
        <v>1</v>
      </c>
      <c r="H68" s="6"/>
      <c r="I68" s="6"/>
      <c r="J68" s="6">
        <f t="shared" ref="J68:J78" si="1">+C68-E68-F68-G68-H68-I68+D68</f>
        <v>11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26</v>
      </c>
      <c r="D69" s="6"/>
      <c r="E69" s="6"/>
      <c r="F69" s="6"/>
      <c r="G69" s="6"/>
      <c r="H69" s="6"/>
      <c r="I69" s="6"/>
      <c r="J69" s="6">
        <f t="shared" si="1"/>
        <v>26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23</v>
      </c>
      <c r="D70" s="6"/>
      <c r="E70" s="6">
        <v>1</v>
      </c>
      <c r="F70" s="6"/>
      <c r="G70" s="6"/>
      <c r="H70" s="6"/>
      <c r="I70" s="6"/>
      <c r="J70" s="6">
        <f t="shared" si="1"/>
        <v>22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21</v>
      </c>
      <c r="D71" s="6"/>
      <c r="E71" s="6"/>
      <c r="F71" s="6"/>
      <c r="G71" s="6"/>
      <c r="H71" s="6"/>
      <c r="I71" s="6"/>
      <c r="J71" s="6">
        <f t="shared" si="1"/>
        <v>21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21</v>
      </c>
      <c r="D72" s="6"/>
      <c r="E72" s="6"/>
      <c r="F72" s="6"/>
      <c r="G72" s="6">
        <v>4</v>
      </c>
      <c r="H72" s="6"/>
      <c r="I72" s="6"/>
      <c r="J72" s="6">
        <f t="shared" si="1"/>
        <v>17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22</v>
      </c>
      <c r="D73" s="6"/>
      <c r="E73" s="6"/>
      <c r="F73" s="6"/>
      <c r="G73" s="6"/>
      <c r="H73" s="6"/>
      <c r="I73" s="6"/>
      <c r="J73" s="6">
        <f t="shared" si="1"/>
        <v>22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71</v>
      </c>
      <c r="D74" s="6"/>
      <c r="E74" s="6"/>
      <c r="F74" s="6">
        <v>9</v>
      </c>
      <c r="G74" s="6">
        <v>22</v>
      </c>
      <c r="H74" s="6">
        <v>7</v>
      </c>
      <c r="I74" s="6"/>
      <c r="J74" s="6">
        <f t="shared" si="1"/>
        <v>33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57</v>
      </c>
      <c r="D75" s="6"/>
      <c r="E75" s="6"/>
      <c r="F75" s="6">
        <v>6</v>
      </c>
      <c r="G75" s="6"/>
      <c r="H75" s="6">
        <v>30</v>
      </c>
      <c r="I75" s="6"/>
      <c r="J75" s="6">
        <f t="shared" si="1"/>
        <v>21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64</v>
      </c>
      <c r="D76" s="6"/>
      <c r="E76" s="6"/>
      <c r="F76" s="6"/>
      <c r="G76" s="6">
        <v>1</v>
      </c>
      <c r="H76" s="6"/>
      <c r="I76" s="6"/>
      <c r="J76" s="6">
        <f t="shared" si="1"/>
        <v>63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54</v>
      </c>
      <c r="D77" s="6"/>
      <c r="E77" s="6">
        <v>1</v>
      </c>
      <c r="F77" s="6">
        <v>9</v>
      </c>
      <c r="G77" s="6">
        <v>14</v>
      </c>
      <c r="H77" s="6">
        <v>3</v>
      </c>
      <c r="I77" s="6"/>
      <c r="J77" s="6">
        <f t="shared" si="1"/>
        <v>27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117</v>
      </c>
      <c r="C78" s="6">
        <v>325</v>
      </c>
      <c r="D78" s="6"/>
      <c r="E78" s="6"/>
      <c r="F78" s="6"/>
      <c r="G78" s="6">
        <v>50</v>
      </c>
      <c r="H78" s="6">
        <v>8</v>
      </c>
      <c r="I78" s="6"/>
      <c r="J78" s="6">
        <f t="shared" si="1"/>
        <v>267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78"/>
  <sheetViews>
    <sheetView zoomScaleNormal="100" workbookViewId="0">
      <selection activeCell="H13" sqref="H13"/>
    </sheetView>
  </sheetViews>
  <sheetFormatPr defaultRowHeight="15" x14ac:dyDescent="0.25"/>
  <cols>
    <col min="1" max="1" width="5.7109375" customWidth="1"/>
    <col min="2" max="2" width="30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45352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45359</v>
      </c>
      <c r="F2" s="4">
        <v>45366</v>
      </c>
      <c r="G2" s="4">
        <v>45373</v>
      </c>
      <c r="H2" s="4">
        <v>45379</v>
      </c>
      <c r="I2" s="4">
        <v>45382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17</v>
      </c>
      <c r="D3" s="6"/>
      <c r="E3" s="6"/>
      <c r="F3" s="6"/>
      <c r="G3" s="6"/>
      <c r="H3" s="6"/>
      <c r="I3" s="6"/>
      <c r="J3" s="6">
        <f>+C3-E3-F3-G3-H3-I3+D3</f>
        <v>17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11</v>
      </c>
      <c r="D4" s="6">
        <v>16</v>
      </c>
      <c r="E4" s="6">
        <v>5</v>
      </c>
      <c r="F4" s="6"/>
      <c r="G4" s="6"/>
      <c r="H4" s="6"/>
      <c r="I4" s="6"/>
      <c r="J4" s="6">
        <f t="shared" ref="J4:J67" si="0">+C4-E4-F4-G4-H4-I4+D4</f>
        <v>22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</v>
      </c>
      <c r="D5" s="6"/>
      <c r="E5" s="6"/>
      <c r="F5" s="6"/>
      <c r="G5" s="6"/>
      <c r="H5" s="6"/>
      <c r="I5" s="6"/>
      <c r="J5" s="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68</v>
      </c>
      <c r="D6" s="6"/>
      <c r="E6" s="6"/>
      <c r="F6" s="6"/>
      <c r="G6" s="6">
        <v>2</v>
      </c>
      <c r="H6" s="6"/>
      <c r="I6" s="6"/>
      <c r="J6" s="6">
        <f t="shared" si="0"/>
        <v>66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52</v>
      </c>
      <c r="D7" s="6"/>
      <c r="E7" s="6">
        <v>3</v>
      </c>
      <c r="F7" s="6">
        <v>8</v>
      </c>
      <c r="G7" s="6">
        <v>3</v>
      </c>
      <c r="H7" s="6"/>
      <c r="I7" s="6"/>
      <c r="J7" s="6">
        <f t="shared" si="0"/>
        <v>38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</v>
      </c>
      <c r="D8" s="6"/>
      <c r="E8" s="6">
        <v>3</v>
      </c>
      <c r="F8" s="6"/>
      <c r="G8" s="6"/>
      <c r="H8" s="6"/>
      <c r="I8" s="6"/>
      <c r="J8" s="6">
        <f t="shared" si="0"/>
        <v>0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30</v>
      </c>
      <c r="D9" s="6"/>
      <c r="E9" s="6">
        <v>6</v>
      </c>
      <c r="F9" s="6">
        <v>24</v>
      </c>
      <c r="G9" s="6"/>
      <c r="H9" s="6"/>
      <c r="I9" s="6"/>
      <c r="J9" s="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17</v>
      </c>
      <c r="D10" s="6">
        <v>10</v>
      </c>
      <c r="E10" s="6">
        <v>4</v>
      </c>
      <c r="F10" s="6">
        <v>4</v>
      </c>
      <c r="G10" s="6">
        <v>1</v>
      </c>
      <c r="H10" s="6"/>
      <c r="I10" s="6"/>
      <c r="J10" s="6">
        <f t="shared" si="0"/>
        <v>18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105</v>
      </c>
      <c r="D11" s="6"/>
      <c r="E11" s="6">
        <v>3</v>
      </c>
      <c r="F11" s="6"/>
      <c r="G11" s="6">
        <v>30</v>
      </c>
      <c r="H11" s="6">
        <v>2</v>
      </c>
      <c r="I11" s="6"/>
      <c r="J11" s="6">
        <f t="shared" si="0"/>
        <v>70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404</v>
      </c>
      <c r="D12" s="6"/>
      <c r="E12" s="6"/>
      <c r="F12" s="6"/>
      <c r="G12" s="6">
        <v>60</v>
      </c>
      <c r="H12" s="6">
        <v>2</v>
      </c>
      <c r="I12" s="6"/>
      <c r="J12" s="6">
        <f t="shared" si="0"/>
        <v>342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70</v>
      </c>
      <c r="D13" s="6"/>
      <c r="E13" s="6"/>
      <c r="F13" s="6"/>
      <c r="G13" s="6"/>
      <c r="H13" s="6"/>
      <c r="I13" s="6"/>
      <c r="J13" s="6">
        <f t="shared" si="0"/>
        <v>70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74</v>
      </c>
      <c r="D14" s="6"/>
      <c r="E14" s="6"/>
      <c r="F14" s="6"/>
      <c r="G14" s="6"/>
      <c r="H14" s="6"/>
      <c r="I14" s="6"/>
      <c r="J14" s="6">
        <f t="shared" si="0"/>
        <v>74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12</v>
      </c>
      <c r="D15" s="6"/>
      <c r="E15" s="6"/>
      <c r="F15" s="6"/>
      <c r="G15" s="6">
        <v>3</v>
      </c>
      <c r="H15" s="6"/>
      <c r="I15" s="6"/>
      <c r="J15" s="6">
        <f t="shared" si="0"/>
        <v>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7</v>
      </c>
      <c r="D16" s="6"/>
      <c r="E16" s="6"/>
      <c r="F16" s="6"/>
      <c r="G16" s="6">
        <v>1</v>
      </c>
      <c r="H16" s="6"/>
      <c r="I16" s="6"/>
      <c r="J16" s="6">
        <f t="shared" si="0"/>
        <v>6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178</v>
      </c>
      <c r="D17" s="6"/>
      <c r="E17" s="6">
        <v>17</v>
      </c>
      <c r="F17" s="6">
        <v>15</v>
      </c>
      <c r="G17" s="6">
        <v>81</v>
      </c>
      <c r="H17" s="6"/>
      <c r="I17" s="6"/>
      <c r="J17" s="6">
        <f t="shared" si="0"/>
        <v>65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238</v>
      </c>
      <c r="D18" s="6"/>
      <c r="E18" s="6">
        <v>37</v>
      </c>
      <c r="F18" s="6">
        <v>4</v>
      </c>
      <c r="G18" s="6">
        <v>10</v>
      </c>
      <c r="H18" s="6"/>
      <c r="I18" s="6"/>
      <c r="J18" s="6">
        <f t="shared" si="0"/>
        <v>187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7</v>
      </c>
      <c r="D19" s="6">
        <v>39</v>
      </c>
      <c r="E19" s="6"/>
      <c r="F19" s="6">
        <v>3</v>
      </c>
      <c r="G19" s="6"/>
      <c r="H19" s="6"/>
      <c r="I19" s="6"/>
      <c r="J19" s="6">
        <f t="shared" si="0"/>
        <v>43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43</v>
      </c>
      <c r="D20" s="6">
        <v>17</v>
      </c>
      <c r="E20" s="6"/>
      <c r="F20" s="6"/>
      <c r="G20" s="6"/>
      <c r="H20" s="6"/>
      <c r="I20" s="6"/>
      <c r="J20" s="6">
        <f t="shared" si="0"/>
        <v>60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35</v>
      </c>
      <c r="D21" s="6"/>
      <c r="E21" s="6"/>
      <c r="F21" s="6">
        <v>1</v>
      </c>
      <c r="G21" s="6">
        <v>5</v>
      </c>
      <c r="H21" s="6"/>
      <c r="I21" s="6"/>
      <c r="J21" s="6">
        <f t="shared" si="0"/>
        <v>29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29</v>
      </c>
      <c r="D22" s="6"/>
      <c r="E22" s="6"/>
      <c r="F22" s="6">
        <v>4</v>
      </c>
      <c r="G22" s="6"/>
      <c r="H22" s="6"/>
      <c r="I22" s="6"/>
      <c r="J22" s="6">
        <f t="shared" si="0"/>
        <v>25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25</v>
      </c>
      <c r="D24" s="6"/>
      <c r="E24" s="6"/>
      <c r="F24" s="6"/>
      <c r="G24" s="6"/>
      <c r="H24" s="6"/>
      <c r="I24" s="6"/>
      <c r="J24" s="6">
        <f t="shared" si="0"/>
        <v>25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8</v>
      </c>
      <c r="D25" s="6"/>
      <c r="E25" s="6"/>
      <c r="F25" s="6">
        <v>2</v>
      </c>
      <c r="G25" s="6"/>
      <c r="H25" s="6"/>
      <c r="I25" s="6"/>
      <c r="J25" s="6">
        <f t="shared" si="0"/>
        <v>6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332</v>
      </c>
      <c r="D26" s="6"/>
      <c r="E26" s="6">
        <v>6</v>
      </c>
      <c r="F26" s="6">
        <v>7</v>
      </c>
      <c r="G26" s="6"/>
      <c r="H26" s="6"/>
      <c r="I26" s="6"/>
      <c r="J26" s="6">
        <f t="shared" si="0"/>
        <v>319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0</v>
      </c>
      <c r="D32" s="6"/>
      <c r="E32" s="6"/>
      <c r="F32" s="6"/>
      <c r="G32" s="6"/>
      <c r="H32" s="6"/>
      <c r="I32" s="6"/>
      <c r="J32" s="6">
        <f t="shared" si="0"/>
        <v>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26</v>
      </c>
      <c r="C33" s="6">
        <v>0</v>
      </c>
      <c r="D33" s="6"/>
      <c r="E33" s="6"/>
      <c r="F33" s="6"/>
      <c r="G33" s="6"/>
      <c r="H33" s="6"/>
      <c r="I33" s="6"/>
      <c r="J33" s="6">
        <f t="shared" si="0"/>
        <v>0</v>
      </c>
      <c r="K33" s="13">
        <v>0</v>
      </c>
      <c r="L33" s="14"/>
    </row>
    <row r="34" spans="1:12" x14ac:dyDescent="0.25">
      <c r="A34" s="6">
        <v>32</v>
      </c>
      <c r="B34" s="7" t="s">
        <v>27</v>
      </c>
      <c r="C34" s="6">
        <v>0</v>
      </c>
      <c r="D34" s="6"/>
      <c r="E34" s="6"/>
      <c r="F34" s="6"/>
      <c r="G34" s="6"/>
      <c r="H34" s="6"/>
      <c r="I34" s="6"/>
      <c r="J34" s="6">
        <f t="shared" si="0"/>
        <v>0</v>
      </c>
      <c r="K34" s="13">
        <v>0</v>
      </c>
      <c r="L34" s="14"/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75</v>
      </c>
      <c r="D37" s="6"/>
      <c r="E37" s="6"/>
      <c r="F37" s="6"/>
      <c r="G37" s="6">
        <v>1</v>
      </c>
      <c r="H37" s="6"/>
      <c r="I37" s="6"/>
      <c r="J37" s="6">
        <f t="shared" si="0"/>
        <v>74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28</v>
      </c>
      <c r="D39" s="6"/>
      <c r="E39" s="6"/>
      <c r="F39" s="6"/>
      <c r="G39" s="6"/>
      <c r="H39" s="6"/>
      <c r="I39" s="6"/>
      <c r="J39" s="6">
        <f t="shared" si="0"/>
        <v>28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15</v>
      </c>
      <c r="D40" s="6"/>
      <c r="E40" s="6"/>
      <c r="F40" s="6">
        <v>1</v>
      </c>
      <c r="G40" s="6"/>
      <c r="H40" s="6"/>
      <c r="I40" s="6"/>
      <c r="J40" s="6">
        <f t="shared" si="0"/>
        <v>14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80</v>
      </c>
      <c r="D41" s="6"/>
      <c r="E41" s="6"/>
      <c r="F41" s="6"/>
      <c r="G41" s="6">
        <v>2</v>
      </c>
      <c r="H41" s="6"/>
      <c r="I41" s="6"/>
      <c r="J41" s="6">
        <f t="shared" si="0"/>
        <v>78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54</v>
      </c>
      <c r="D42" s="6">
        <v>484</v>
      </c>
      <c r="E42" s="6">
        <v>6</v>
      </c>
      <c r="F42" s="6">
        <v>10</v>
      </c>
      <c r="G42" s="6">
        <v>9</v>
      </c>
      <c r="H42" s="6"/>
      <c r="I42" s="6"/>
      <c r="J42" s="6">
        <f t="shared" si="0"/>
        <v>513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265</v>
      </c>
      <c r="D43" s="6"/>
      <c r="E43" s="6">
        <v>73</v>
      </c>
      <c r="F43" s="6">
        <v>20</v>
      </c>
      <c r="G43" s="6">
        <v>30</v>
      </c>
      <c r="H43" s="6">
        <v>7</v>
      </c>
      <c r="I43" s="6"/>
      <c r="J43" s="6">
        <f t="shared" si="0"/>
        <v>135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41</v>
      </c>
      <c r="D44" s="6"/>
      <c r="E44" s="6"/>
      <c r="F44" s="6"/>
      <c r="G44" s="6"/>
      <c r="H44" s="6"/>
      <c r="I44" s="6"/>
      <c r="J44" s="6">
        <f t="shared" si="0"/>
        <v>41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16</v>
      </c>
      <c r="D45" s="6"/>
      <c r="E45" s="6"/>
      <c r="F45" s="6"/>
      <c r="G45" s="6"/>
      <c r="H45" s="6"/>
      <c r="I45" s="6"/>
      <c r="J45" s="6">
        <f t="shared" si="0"/>
        <v>16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42</v>
      </c>
      <c r="D46" s="6"/>
      <c r="E46" s="6"/>
      <c r="F46" s="6"/>
      <c r="G46" s="6"/>
      <c r="H46" s="6"/>
      <c r="I46" s="6"/>
      <c r="J46" s="6">
        <f t="shared" si="0"/>
        <v>42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3</v>
      </c>
      <c r="D47" s="6"/>
      <c r="E47" s="6"/>
      <c r="F47" s="6">
        <v>3</v>
      </c>
      <c r="G47" s="6"/>
      <c r="H47" s="6"/>
      <c r="I47" s="6"/>
      <c r="J47" s="6">
        <f t="shared" si="0"/>
        <v>0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460</v>
      </c>
      <c r="D49" s="6"/>
      <c r="E49" s="6"/>
      <c r="F49" s="6"/>
      <c r="G49" s="6"/>
      <c r="H49" s="6"/>
      <c r="I49" s="6"/>
      <c r="J49" s="6">
        <f t="shared" si="0"/>
        <v>460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25</v>
      </c>
      <c r="D50" s="6"/>
      <c r="E50" s="6"/>
      <c r="F50" s="6">
        <v>11</v>
      </c>
      <c r="G50" s="6">
        <v>12</v>
      </c>
      <c r="H50" s="6">
        <v>2</v>
      </c>
      <c r="I50" s="6"/>
      <c r="J50" s="6">
        <f t="shared" si="0"/>
        <v>0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11</v>
      </c>
      <c r="D51" s="6"/>
      <c r="E51" s="6"/>
      <c r="F51" s="6">
        <v>11</v>
      </c>
      <c r="G51" s="6"/>
      <c r="H51" s="6"/>
      <c r="I51" s="6"/>
      <c r="J51" s="6">
        <f t="shared" si="0"/>
        <v>0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5</v>
      </c>
      <c r="D52" s="6"/>
      <c r="E52" s="6"/>
      <c r="F52" s="6"/>
      <c r="G52" s="6"/>
      <c r="H52" s="6"/>
      <c r="I52" s="6"/>
      <c r="J52" s="6">
        <f t="shared" si="0"/>
        <v>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30</v>
      </c>
      <c r="D53" s="6"/>
      <c r="E53" s="6"/>
      <c r="F53" s="6">
        <v>8</v>
      </c>
      <c r="G53" s="6"/>
      <c r="H53" s="6"/>
      <c r="I53" s="6"/>
      <c r="J53" s="6">
        <f t="shared" si="0"/>
        <v>22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/>
      <c r="G54" s="6"/>
      <c r="H54" s="6"/>
      <c r="I54" s="6"/>
      <c r="J54" s="6">
        <f t="shared" si="0"/>
        <v>29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62</v>
      </c>
      <c r="D56" s="6"/>
      <c r="E56" s="6"/>
      <c r="F56" s="6"/>
      <c r="G56" s="6"/>
      <c r="H56" s="6"/>
      <c r="I56" s="6"/>
      <c r="J56" s="6">
        <f t="shared" si="0"/>
        <v>62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6">
        <f t="shared" si="0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72</v>
      </c>
      <c r="D58" s="6"/>
      <c r="E58" s="6"/>
      <c r="F58" s="6">
        <v>11</v>
      </c>
      <c r="G58" s="6"/>
      <c r="H58" s="6"/>
      <c r="I58" s="6"/>
      <c r="J58" s="6">
        <f t="shared" si="0"/>
        <v>61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0</v>
      </c>
      <c r="D59" s="6"/>
      <c r="E59" s="6"/>
      <c r="F59" s="6"/>
      <c r="G59" s="6"/>
      <c r="H59" s="6"/>
      <c r="I59" s="6"/>
      <c r="J59" s="6">
        <f t="shared" si="0"/>
        <v>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21</v>
      </c>
      <c r="D60" s="6"/>
      <c r="E60" s="6"/>
      <c r="F60" s="6"/>
      <c r="G60" s="6"/>
      <c r="H60" s="6">
        <v>4</v>
      </c>
      <c r="I60" s="6"/>
      <c r="J60" s="6">
        <f t="shared" si="0"/>
        <v>17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9</v>
      </c>
      <c r="D61" s="6"/>
      <c r="E61" s="6"/>
      <c r="F61" s="6"/>
      <c r="G61" s="6"/>
      <c r="H61" s="6"/>
      <c r="I61" s="6"/>
      <c r="J61" s="6">
        <f t="shared" si="0"/>
        <v>9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120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15</v>
      </c>
      <c r="D63" s="6"/>
      <c r="E63" s="6"/>
      <c r="F63" s="6"/>
      <c r="G63" s="6"/>
      <c r="H63" s="6"/>
      <c r="I63" s="6"/>
      <c r="J63" s="6">
        <f t="shared" si="0"/>
        <v>15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29</v>
      </c>
      <c r="D64" s="6"/>
      <c r="E64" s="6"/>
      <c r="F64" s="6"/>
      <c r="G64" s="6"/>
      <c r="H64" s="6"/>
      <c r="I64" s="6"/>
      <c r="J64" s="6">
        <f t="shared" si="0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25</v>
      </c>
      <c r="D65" s="6">
        <v>35</v>
      </c>
      <c r="E65" s="6">
        <v>25</v>
      </c>
      <c r="F65" s="6"/>
      <c r="G65" s="6"/>
      <c r="H65" s="6"/>
      <c r="I65" s="6"/>
      <c r="J65" s="6">
        <f t="shared" si="0"/>
        <v>35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19</v>
      </c>
      <c r="D66" s="6">
        <v>29</v>
      </c>
      <c r="E66" s="6"/>
      <c r="F66" s="6"/>
      <c r="G66" s="6"/>
      <c r="H66" s="6"/>
      <c r="I66" s="6"/>
      <c r="J66" s="6">
        <f t="shared" si="0"/>
        <v>48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41</v>
      </c>
      <c r="D67" s="6">
        <v>30</v>
      </c>
      <c r="E67" s="6"/>
      <c r="F67" s="6"/>
      <c r="G67" s="6"/>
      <c r="H67" s="6"/>
      <c r="I67" s="6"/>
      <c r="J67" s="6">
        <f t="shared" si="0"/>
        <v>71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6</v>
      </c>
      <c r="D68" s="6"/>
      <c r="E68" s="6"/>
      <c r="F68" s="6"/>
      <c r="G68" s="6"/>
      <c r="H68" s="6"/>
      <c r="I68" s="6"/>
      <c r="J68" s="6">
        <f t="shared" ref="J68:J78" si="1">+C68-E68-F68-G68-H68-I68+D68</f>
        <v>6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0</v>
      </c>
      <c r="D69" s="6">
        <v>16</v>
      </c>
      <c r="E69" s="6"/>
      <c r="F69" s="6"/>
      <c r="G69" s="6"/>
      <c r="H69" s="6"/>
      <c r="I69" s="6"/>
      <c r="J69" s="6">
        <f t="shared" si="1"/>
        <v>16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12</v>
      </c>
      <c r="D70" s="6"/>
      <c r="E70" s="6"/>
      <c r="F70" s="6"/>
      <c r="G70" s="6"/>
      <c r="H70" s="6"/>
      <c r="I70" s="6"/>
      <c r="J70" s="6">
        <f t="shared" si="1"/>
        <v>12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14</v>
      </c>
      <c r="D71" s="6"/>
      <c r="E71" s="6"/>
      <c r="F71" s="6"/>
      <c r="G71" s="6"/>
      <c r="H71" s="6"/>
      <c r="I71" s="6"/>
      <c r="J71" s="6">
        <f t="shared" si="1"/>
        <v>14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10</v>
      </c>
      <c r="D72" s="6"/>
      <c r="E72" s="6"/>
      <c r="F72" s="6"/>
      <c r="G72" s="6">
        <v>5</v>
      </c>
      <c r="H72" s="6"/>
      <c r="I72" s="6"/>
      <c r="J72" s="6">
        <f t="shared" si="1"/>
        <v>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21</v>
      </c>
      <c r="D73" s="6"/>
      <c r="E73" s="6"/>
      <c r="F73" s="6"/>
      <c r="G73" s="6"/>
      <c r="H73" s="6"/>
      <c r="I73" s="6"/>
      <c r="J73" s="6">
        <f t="shared" si="1"/>
        <v>21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65</v>
      </c>
      <c r="D74" s="6">
        <v>0</v>
      </c>
      <c r="E74" s="6">
        <v>0</v>
      </c>
      <c r="F74" s="6"/>
      <c r="G74" s="6">
        <v>0</v>
      </c>
      <c r="H74" s="6"/>
      <c r="I74" s="6"/>
      <c r="J74" s="6">
        <f t="shared" si="1"/>
        <v>65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122</v>
      </c>
      <c r="D75" s="6"/>
      <c r="E75" s="6"/>
      <c r="F75" s="6"/>
      <c r="G75" s="6"/>
      <c r="H75" s="6"/>
      <c r="I75" s="6"/>
      <c r="J75" s="6">
        <f t="shared" si="1"/>
        <v>122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40</v>
      </c>
      <c r="D76" s="6"/>
      <c r="E76" s="6">
        <v>2</v>
      </c>
      <c r="F76" s="6"/>
      <c r="G76" s="6"/>
      <c r="H76" s="6">
        <v>5</v>
      </c>
      <c r="I76" s="6"/>
      <c r="J76" s="6">
        <f t="shared" si="1"/>
        <v>33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41</v>
      </c>
      <c r="D77" s="6"/>
      <c r="E77" s="6">
        <v>19</v>
      </c>
      <c r="F77" s="6"/>
      <c r="G77" s="6"/>
      <c r="H77" s="6">
        <v>6</v>
      </c>
      <c r="I77" s="6"/>
      <c r="J77" s="6">
        <f t="shared" si="1"/>
        <v>16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117</v>
      </c>
      <c r="C78" s="6">
        <v>267</v>
      </c>
      <c r="D78" s="6"/>
      <c r="E78" s="6"/>
      <c r="F78" s="6"/>
      <c r="G78" s="6"/>
      <c r="H78" s="6"/>
      <c r="I78" s="6"/>
      <c r="J78" s="6">
        <f t="shared" si="1"/>
        <v>267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78"/>
  <sheetViews>
    <sheetView topLeftCell="A61" zoomScaleNormal="100" workbookViewId="0">
      <selection activeCell="E82" sqref="E82"/>
    </sheetView>
  </sheetViews>
  <sheetFormatPr defaultRowHeight="15" x14ac:dyDescent="0.25"/>
  <cols>
    <col min="1" max="1" width="5.7109375" customWidth="1"/>
    <col min="2" max="2" width="30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121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45387</v>
      </c>
      <c r="F2" s="4">
        <v>45394</v>
      </c>
      <c r="G2" s="4">
        <v>45401</v>
      </c>
      <c r="H2" s="4">
        <v>45408</v>
      </c>
      <c r="I2" s="4">
        <v>45412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/>
      <c r="E3" s="6"/>
      <c r="F3" s="6"/>
      <c r="G3" s="6"/>
      <c r="H3" s="6"/>
      <c r="I3" s="6"/>
      <c r="J3" s="6">
        <f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11</v>
      </c>
      <c r="D4" s="6"/>
      <c r="E4" s="6"/>
      <c r="F4" s="6">
        <v>2</v>
      </c>
      <c r="G4" s="6"/>
      <c r="H4" s="6"/>
      <c r="I4" s="6"/>
      <c r="J4" s="6">
        <f t="shared" ref="J4:J67" si="0">+C4-E4-F4-G4-H4-I4+D4</f>
        <v>9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</v>
      </c>
      <c r="D5" s="6"/>
      <c r="E5" s="6"/>
      <c r="F5" s="6"/>
      <c r="G5" s="6"/>
      <c r="H5" s="6"/>
      <c r="I5" s="6"/>
      <c r="J5" s="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45</v>
      </c>
      <c r="D6" s="6"/>
      <c r="E6" s="6"/>
      <c r="F6" s="6"/>
      <c r="G6" s="6">
        <v>2</v>
      </c>
      <c r="H6" s="6"/>
      <c r="I6" s="6">
        <v>12</v>
      </c>
      <c r="J6" s="6">
        <f t="shared" si="0"/>
        <v>31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41</v>
      </c>
      <c r="D7" s="6"/>
      <c r="E7" s="6"/>
      <c r="F7" s="6">
        <v>15</v>
      </c>
      <c r="G7" s="6">
        <v>2</v>
      </c>
      <c r="H7" s="6"/>
      <c r="I7" s="6">
        <v>19</v>
      </c>
      <c r="J7" s="6">
        <f t="shared" si="0"/>
        <v>5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0</v>
      </c>
      <c r="D8" s="6">
        <v>3</v>
      </c>
      <c r="E8" s="6"/>
      <c r="F8" s="6"/>
      <c r="G8" s="6">
        <v>3</v>
      </c>
      <c r="H8" s="6"/>
      <c r="I8" s="6"/>
      <c r="J8" s="6">
        <f t="shared" si="0"/>
        <v>0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>
        <v>43</v>
      </c>
      <c r="E9" s="6"/>
      <c r="F9" s="6"/>
      <c r="G9" s="6">
        <v>7</v>
      </c>
      <c r="H9" s="6"/>
      <c r="I9" s="6"/>
      <c r="J9" s="6">
        <f t="shared" si="0"/>
        <v>36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18</v>
      </c>
      <c r="D10" s="6">
        <v>10</v>
      </c>
      <c r="E10" s="6">
        <v>16</v>
      </c>
      <c r="F10" s="6">
        <v>1</v>
      </c>
      <c r="G10" s="6"/>
      <c r="H10" s="6"/>
      <c r="I10" s="6"/>
      <c r="J10" s="6">
        <f t="shared" si="0"/>
        <v>11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85</v>
      </c>
      <c r="D11" s="6">
        <v>60</v>
      </c>
      <c r="E11" s="6">
        <v>10</v>
      </c>
      <c r="F11" s="6">
        <v>40</v>
      </c>
      <c r="G11" s="6">
        <v>8</v>
      </c>
      <c r="H11" s="6"/>
      <c r="I11" s="6">
        <v>27</v>
      </c>
      <c r="J11" s="6">
        <f t="shared" si="0"/>
        <v>60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305</v>
      </c>
      <c r="D12" s="6">
        <v>103</v>
      </c>
      <c r="E12" s="6"/>
      <c r="F12" s="6"/>
      <c r="G12" s="6">
        <v>16</v>
      </c>
      <c r="H12" s="6"/>
      <c r="I12" s="6">
        <v>287</v>
      </c>
      <c r="J12" s="6">
        <f t="shared" si="0"/>
        <v>105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70</v>
      </c>
      <c r="D13" s="6"/>
      <c r="E13" s="6"/>
      <c r="F13" s="6"/>
      <c r="G13" s="6"/>
      <c r="H13" s="6"/>
      <c r="I13" s="6">
        <v>2</v>
      </c>
      <c r="J13" s="6">
        <f t="shared" si="0"/>
        <v>68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74</v>
      </c>
      <c r="D14" s="6"/>
      <c r="E14" s="6"/>
      <c r="F14" s="6"/>
      <c r="G14" s="6"/>
      <c r="H14" s="6"/>
      <c r="I14" s="6">
        <v>1</v>
      </c>
      <c r="J14" s="6">
        <f t="shared" si="0"/>
        <v>73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9</v>
      </c>
      <c r="D15" s="6"/>
      <c r="E15" s="6"/>
      <c r="F15" s="6"/>
      <c r="G15" s="6"/>
      <c r="H15" s="6"/>
      <c r="I15" s="6"/>
      <c r="J15" s="6">
        <f t="shared" si="0"/>
        <v>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6</v>
      </c>
      <c r="D16" s="6"/>
      <c r="E16" s="6"/>
      <c r="F16" s="6"/>
      <c r="G16" s="6"/>
      <c r="H16" s="6"/>
      <c r="I16" s="6"/>
      <c r="J16" s="6">
        <f t="shared" si="0"/>
        <v>6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149</v>
      </c>
      <c r="D17" s="6">
        <v>92</v>
      </c>
      <c r="E17" s="6">
        <v>41</v>
      </c>
      <c r="F17" s="6">
        <v>57</v>
      </c>
      <c r="G17" s="6">
        <v>20</v>
      </c>
      <c r="H17" s="6"/>
      <c r="I17" s="6">
        <v>1</v>
      </c>
      <c r="J17" s="6">
        <f t="shared" si="0"/>
        <v>122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203</v>
      </c>
      <c r="D18" s="6"/>
      <c r="E18" s="6">
        <v>7</v>
      </c>
      <c r="F18" s="6">
        <v>23</v>
      </c>
      <c r="G18" s="6">
        <v>20</v>
      </c>
      <c r="H18" s="6"/>
      <c r="I18" s="6"/>
      <c r="J18" s="6">
        <f t="shared" si="0"/>
        <v>153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23</v>
      </c>
      <c r="D19" s="6">
        <v>17</v>
      </c>
      <c r="E19" s="6">
        <v>2</v>
      </c>
      <c r="F19" s="6"/>
      <c r="G19" s="6">
        <v>1</v>
      </c>
      <c r="H19" s="6"/>
      <c r="I19" s="6">
        <v>31</v>
      </c>
      <c r="J19" s="6">
        <f t="shared" si="0"/>
        <v>6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60</v>
      </c>
      <c r="D20" s="6"/>
      <c r="E20" s="6"/>
      <c r="F20" s="6"/>
      <c r="G20" s="6"/>
      <c r="H20" s="6"/>
      <c r="I20" s="6"/>
      <c r="J20" s="6">
        <f t="shared" si="0"/>
        <v>60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29</v>
      </c>
      <c r="D21" s="6"/>
      <c r="E21" s="6"/>
      <c r="F21" s="6"/>
      <c r="G21" s="6">
        <v>1</v>
      </c>
      <c r="H21" s="6"/>
      <c r="I21" s="6">
        <v>23</v>
      </c>
      <c r="J21" s="6">
        <f t="shared" si="0"/>
        <v>5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23</v>
      </c>
      <c r="D22" s="6"/>
      <c r="E22" s="6"/>
      <c r="F22" s="6"/>
      <c r="G22" s="6">
        <v>2</v>
      </c>
      <c r="H22" s="6"/>
      <c r="I22" s="6">
        <v>3</v>
      </c>
      <c r="J22" s="6">
        <f t="shared" si="0"/>
        <v>18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24</v>
      </c>
      <c r="D24" s="6">
        <v>20</v>
      </c>
      <c r="E24" s="6">
        <v>1</v>
      </c>
      <c r="F24" s="6"/>
      <c r="G24" s="6">
        <v>2</v>
      </c>
      <c r="H24" s="6"/>
      <c r="I24" s="6"/>
      <c r="J24" s="6">
        <f t="shared" si="0"/>
        <v>41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7</v>
      </c>
      <c r="D25" s="6"/>
      <c r="E25" s="6">
        <v>2</v>
      </c>
      <c r="F25" s="6"/>
      <c r="G25" s="6"/>
      <c r="H25" s="6"/>
      <c r="I25" s="6"/>
      <c r="J25" s="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418</v>
      </c>
      <c r="D26" s="6"/>
      <c r="E26" s="6"/>
      <c r="F26" s="6">
        <v>8</v>
      </c>
      <c r="G26" s="6"/>
      <c r="H26" s="6"/>
      <c r="I26" s="6">
        <v>10</v>
      </c>
      <c r="J26" s="6">
        <f t="shared" si="0"/>
        <v>400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0</v>
      </c>
      <c r="D32" s="6">
        <v>418</v>
      </c>
      <c r="E32" s="6"/>
      <c r="F32" s="6">
        <v>38</v>
      </c>
      <c r="G32" s="6"/>
      <c r="H32" s="6"/>
      <c r="I32" s="6"/>
      <c r="J32" s="6">
        <f t="shared" si="0"/>
        <v>380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0</v>
      </c>
      <c r="D33" s="6">
        <v>6</v>
      </c>
      <c r="E33" s="6"/>
      <c r="F33" s="6"/>
      <c r="G33" s="6"/>
      <c r="H33" s="6"/>
      <c r="I33" s="6"/>
      <c r="J33" s="6">
        <f t="shared" si="0"/>
        <v>6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74</v>
      </c>
      <c r="D37" s="6"/>
      <c r="E37" s="6">
        <v>5</v>
      </c>
      <c r="F37" s="6"/>
      <c r="G37" s="6"/>
      <c r="H37" s="6"/>
      <c r="I37" s="6"/>
      <c r="J37" s="6">
        <f t="shared" si="0"/>
        <v>69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34</v>
      </c>
      <c r="D39" s="6"/>
      <c r="E39" s="6"/>
      <c r="F39" s="6"/>
      <c r="G39" s="6"/>
      <c r="H39" s="6"/>
      <c r="I39" s="6"/>
      <c r="J39" s="6">
        <f t="shared" si="0"/>
        <v>34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</v>
      </c>
      <c r="D40" s="6"/>
      <c r="E40" s="6"/>
      <c r="F40" s="6"/>
      <c r="G40" s="6"/>
      <c r="H40" s="6"/>
      <c r="I40" s="6"/>
      <c r="J40" s="6">
        <f t="shared" si="0"/>
        <v>3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78</v>
      </c>
      <c r="D41" s="6"/>
      <c r="E41" s="6"/>
      <c r="F41" s="6">
        <v>5</v>
      </c>
      <c r="G41" s="6"/>
      <c r="H41" s="6"/>
      <c r="I41" s="6"/>
      <c r="J41" s="6">
        <f t="shared" si="0"/>
        <v>73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613</v>
      </c>
      <c r="D42" s="6">
        <v>441</v>
      </c>
      <c r="E42" s="6">
        <v>1000</v>
      </c>
      <c r="F42" s="6">
        <v>27</v>
      </c>
      <c r="G42" s="6"/>
      <c r="H42" s="6"/>
      <c r="I42" s="6">
        <v>14</v>
      </c>
      <c r="J42" s="6">
        <f t="shared" si="0"/>
        <v>13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17</v>
      </c>
      <c r="D43" s="6">
        <v>385</v>
      </c>
      <c r="E43" s="6"/>
      <c r="F43" s="6">
        <v>17</v>
      </c>
      <c r="G43" s="6"/>
      <c r="H43" s="6"/>
      <c r="I43" s="6"/>
      <c r="J43" s="6">
        <f t="shared" si="0"/>
        <v>385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55</v>
      </c>
      <c r="D44" s="6"/>
      <c r="E44" s="6"/>
      <c r="F44" s="6"/>
      <c r="G44" s="6"/>
      <c r="H44" s="6"/>
      <c r="I44" s="6"/>
      <c r="J44" s="6">
        <f t="shared" si="0"/>
        <v>55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6">
        <f t="shared" si="0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28</v>
      </c>
      <c r="D46" s="6"/>
      <c r="E46" s="6"/>
      <c r="F46" s="6"/>
      <c r="G46" s="6"/>
      <c r="H46" s="6"/>
      <c r="I46" s="6"/>
      <c r="J46" s="6">
        <f t="shared" si="0"/>
        <v>28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0</v>
      </c>
      <c r="D47" s="6"/>
      <c r="E47" s="6"/>
      <c r="F47" s="6"/>
      <c r="G47" s="6"/>
      <c r="H47" s="6"/>
      <c r="I47" s="6"/>
      <c r="J47" s="6">
        <f t="shared" si="0"/>
        <v>0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330</v>
      </c>
      <c r="D49" s="6"/>
      <c r="E49" s="6"/>
      <c r="F49" s="6"/>
      <c r="G49" s="6"/>
      <c r="H49" s="6"/>
      <c r="I49" s="6"/>
      <c r="J49" s="6">
        <f t="shared" si="0"/>
        <v>330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0</v>
      </c>
      <c r="D50" s="6">
        <v>71</v>
      </c>
      <c r="E50" s="6">
        <v>3</v>
      </c>
      <c r="F50" s="6"/>
      <c r="G50" s="6"/>
      <c r="H50" s="6"/>
      <c r="I50" s="6">
        <v>16</v>
      </c>
      <c r="J50" s="6">
        <f t="shared" si="0"/>
        <v>52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4</v>
      </c>
      <c r="D51" s="6"/>
      <c r="E51" s="6"/>
      <c r="F51" s="6"/>
      <c r="G51" s="6">
        <v>1</v>
      </c>
      <c r="H51" s="6"/>
      <c r="I51" s="6">
        <v>1</v>
      </c>
      <c r="J51" s="6">
        <f t="shared" si="0"/>
        <v>2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5</v>
      </c>
      <c r="D52" s="6"/>
      <c r="E52" s="6"/>
      <c r="F52" s="6"/>
      <c r="G52" s="6"/>
      <c r="H52" s="6"/>
      <c r="I52" s="6"/>
      <c r="J52" s="6">
        <f t="shared" si="0"/>
        <v>5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22</v>
      </c>
      <c r="D53" s="6"/>
      <c r="E53" s="6"/>
      <c r="F53" s="6"/>
      <c r="G53" s="6"/>
      <c r="H53" s="6"/>
      <c r="I53" s="6"/>
      <c r="J53" s="6">
        <f t="shared" si="0"/>
        <v>22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/>
      <c r="G54" s="6"/>
      <c r="H54" s="6"/>
      <c r="I54" s="6"/>
      <c r="J54" s="6">
        <f t="shared" si="0"/>
        <v>29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62</v>
      </c>
      <c r="D56" s="6"/>
      <c r="E56" s="6"/>
      <c r="F56" s="6"/>
      <c r="G56" s="6"/>
      <c r="H56" s="6"/>
      <c r="I56" s="6"/>
      <c r="J56" s="6">
        <f t="shared" si="0"/>
        <v>62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6">
        <f t="shared" si="0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61</v>
      </c>
      <c r="D58" s="6"/>
      <c r="E58" s="6"/>
      <c r="F58" s="6"/>
      <c r="G58" s="6"/>
      <c r="H58" s="6"/>
      <c r="I58" s="6"/>
      <c r="J58" s="6">
        <f t="shared" si="0"/>
        <v>61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20</v>
      </c>
      <c r="D59" s="6"/>
      <c r="E59" s="6"/>
      <c r="F59" s="6"/>
      <c r="G59" s="6"/>
      <c r="H59" s="6"/>
      <c r="I59" s="6"/>
      <c r="J59" s="6">
        <f t="shared" si="0"/>
        <v>20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10</v>
      </c>
      <c r="D60" s="6"/>
      <c r="E60" s="6">
        <v>8</v>
      </c>
      <c r="F60" s="6"/>
      <c r="G60" s="6">
        <v>2</v>
      </c>
      <c r="H60" s="6"/>
      <c r="I60" s="6"/>
      <c r="J60" s="6">
        <f t="shared" si="0"/>
        <v>0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9</v>
      </c>
      <c r="D61" s="6"/>
      <c r="E61" s="6">
        <v>9</v>
      </c>
      <c r="F61" s="6"/>
      <c r="G61" s="6"/>
      <c r="H61" s="6"/>
      <c r="I61" s="6"/>
      <c r="J61" s="6">
        <f t="shared" si="0"/>
        <v>0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120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15</v>
      </c>
      <c r="D63" s="6"/>
      <c r="E63" s="6"/>
      <c r="F63" s="6"/>
      <c r="G63" s="6"/>
      <c r="H63" s="6"/>
      <c r="I63" s="6"/>
      <c r="J63" s="6">
        <f t="shared" si="0"/>
        <v>15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29</v>
      </c>
      <c r="D64" s="6"/>
      <c r="E64" s="6"/>
      <c r="F64" s="6"/>
      <c r="G64" s="6"/>
      <c r="H64" s="6"/>
      <c r="I64" s="6"/>
      <c r="J64" s="6">
        <f t="shared" si="0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6</v>
      </c>
      <c r="D65" s="6">
        <v>43</v>
      </c>
      <c r="E65" s="6">
        <v>5</v>
      </c>
      <c r="F65" s="6">
        <v>1</v>
      </c>
      <c r="G65" s="6">
        <v>6</v>
      </c>
      <c r="H65" s="6"/>
      <c r="I65" s="6">
        <v>2</v>
      </c>
      <c r="J65" s="6">
        <f t="shared" si="0"/>
        <v>35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48</v>
      </c>
      <c r="D66" s="6">
        <v>30</v>
      </c>
      <c r="E66" s="6">
        <v>18</v>
      </c>
      <c r="F66" s="6"/>
      <c r="G66" s="6"/>
      <c r="H66" s="6"/>
      <c r="I66" s="6"/>
      <c r="J66" s="6">
        <f t="shared" si="0"/>
        <v>60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71</v>
      </c>
      <c r="D67" s="6"/>
      <c r="E67" s="6">
        <v>2</v>
      </c>
      <c r="F67" s="6"/>
      <c r="G67" s="6"/>
      <c r="H67" s="6"/>
      <c r="I67" s="6"/>
      <c r="J67" s="6">
        <f t="shared" si="0"/>
        <v>69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9</v>
      </c>
      <c r="D68" s="6"/>
      <c r="E68" s="6"/>
      <c r="F68" s="6">
        <v>6</v>
      </c>
      <c r="G68" s="6"/>
      <c r="H68" s="6"/>
      <c r="I68" s="6">
        <v>2</v>
      </c>
      <c r="J68" s="6">
        <f t="shared" ref="J68:J78" si="1">+C68-E68-F68-G68-H68-I68+D68</f>
        <v>1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45</v>
      </c>
      <c r="D69" s="6"/>
      <c r="E69" s="6"/>
      <c r="F69" s="6">
        <v>2</v>
      </c>
      <c r="G69" s="6"/>
      <c r="H69" s="6"/>
      <c r="I69" s="6"/>
      <c r="J69" s="6">
        <f t="shared" si="1"/>
        <v>43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12</v>
      </c>
      <c r="D70" s="6">
        <v>30</v>
      </c>
      <c r="E70" s="6">
        <v>8</v>
      </c>
      <c r="F70" s="6">
        <v>4</v>
      </c>
      <c r="G70" s="6"/>
      <c r="H70" s="6"/>
      <c r="I70" s="6"/>
      <c r="J70" s="6">
        <f t="shared" si="1"/>
        <v>30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14</v>
      </c>
      <c r="D71" s="6"/>
      <c r="E71" s="6"/>
      <c r="F71" s="6"/>
      <c r="G71" s="6"/>
      <c r="H71" s="6"/>
      <c r="I71" s="6"/>
      <c r="J71" s="6">
        <f t="shared" si="1"/>
        <v>14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0</v>
      </c>
      <c r="D72" s="6">
        <v>11</v>
      </c>
      <c r="E72" s="6"/>
      <c r="F72" s="6"/>
      <c r="G72" s="6">
        <v>6</v>
      </c>
      <c r="H72" s="6"/>
      <c r="I72" s="6"/>
      <c r="J72" s="6">
        <f t="shared" si="1"/>
        <v>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24</v>
      </c>
      <c r="D73" s="6"/>
      <c r="E73" s="6"/>
      <c r="F73" s="6">
        <v>6</v>
      </c>
      <c r="G73" s="6">
        <v>4</v>
      </c>
      <c r="H73" s="6"/>
      <c r="I73" s="6"/>
      <c r="J73" s="6">
        <f t="shared" si="1"/>
        <v>14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65</v>
      </c>
      <c r="D74" s="6">
        <v>76</v>
      </c>
      <c r="E74" s="6">
        <v>20</v>
      </c>
      <c r="F74" s="6">
        <v>0</v>
      </c>
      <c r="G74" s="6">
        <v>10</v>
      </c>
      <c r="H74" s="6"/>
      <c r="I74" s="6">
        <v>4</v>
      </c>
      <c r="J74" s="6">
        <f t="shared" si="1"/>
        <v>107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122</v>
      </c>
      <c r="D75" s="6"/>
      <c r="E75" s="6"/>
      <c r="F75" s="6"/>
      <c r="G75" s="6">
        <v>4</v>
      </c>
      <c r="H75" s="6"/>
      <c r="I75" s="6">
        <v>2</v>
      </c>
      <c r="J75" s="6">
        <f t="shared" si="1"/>
        <v>116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29</v>
      </c>
      <c r="D76" s="6">
        <v>50</v>
      </c>
      <c r="E76" s="6">
        <v>2</v>
      </c>
      <c r="F76" s="6"/>
      <c r="G76" s="6"/>
      <c r="H76" s="6"/>
      <c r="I76" s="6">
        <v>1</v>
      </c>
      <c r="J76" s="6">
        <f t="shared" si="1"/>
        <v>76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18</v>
      </c>
      <c r="D77" s="6">
        <v>43</v>
      </c>
      <c r="E77" s="6"/>
      <c r="F77" s="6">
        <v>0</v>
      </c>
      <c r="G77" s="6">
        <v>3</v>
      </c>
      <c r="H77" s="6"/>
      <c r="I77" s="6"/>
      <c r="J77" s="6">
        <f t="shared" si="1"/>
        <v>58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117</v>
      </c>
      <c r="C78" s="6">
        <v>267</v>
      </c>
      <c r="D78" s="6"/>
      <c r="E78" s="6"/>
      <c r="F78" s="6"/>
      <c r="G78" s="6"/>
      <c r="H78" s="6"/>
      <c r="I78" s="6"/>
      <c r="J78" s="6">
        <f t="shared" si="1"/>
        <v>267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78"/>
  <sheetViews>
    <sheetView zoomScaleNormal="100" workbookViewId="0">
      <selection activeCell="I3" sqref="I3"/>
    </sheetView>
  </sheetViews>
  <sheetFormatPr defaultRowHeight="15" x14ac:dyDescent="0.25"/>
  <cols>
    <col min="1" max="1" width="5.7109375" customWidth="1"/>
    <col min="2" max="2" width="30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45413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45415</v>
      </c>
      <c r="F2" s="4">
        <v>45422</v>
      </c>
      <c r="G2" s="4">
        <v>45429</v>
      </c>
      <c r="H2" s="4">
        <v>45436</v>
      </c>
      <c r="I2" s="4">
        <v>45443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/>
      <c r="E3" s="6"/>
      <c r="F3" s="6"/>
      <c r="G3" s="6">
        <v>0</v>
      </c>
      <c r="H3" s="6"/>
      <c r="I3" s="6">
        <v>0</v>
      </c>
      <c r="J3" s="6">
        <f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9</v>
      </c>
      <c r="D4" s="6"/>
      <c r="E4" s="6">
        <v>1</v>
      </c>
      <c r="F4" s="6"/>
      <c r="G4" s="6">
        <v>5</v>
      </c>
      <c r="H4" s="6"/>
      <c r="I4" s="6"/>
      <c r="J4" s="6">
        <f t="shared" ref="J4:J67" si="0">+C4-E4-F4-G4-H4-I4+D4</f>
        <v>3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</v>
      </c>
      <c r="D5" s="6"/>
      <c r="E5" s="6"/>
      <c r="F5" s="6"/>
      <c r="G5" s="6"/>
      <c r="H5" s="6"/>
      <c r="I5" s="6"/>
      <c r="J5" s="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31</v>
      </c>
      <c r="D6" s="6"/>
      <c r="E6" s="6"/>
      <c r="F6" s="6"/>
      <c r="G6" s="6"/>
      <c r="H6" s="6"/>
      <c r="I6" s="6"/>
      <c r="J6" s="6">
        <f t="shared" si="0"/>
        <v>31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3</v>
      </c>
      <c r="D7" s="6">
        <v>44</v>
      </c>
      <c r="E7" s="6">
        <v>3</v>
      </c>
      <c r="F7" s="6"/>
      <c r="G7" s="6"/>
      <c r="H7" s="6"/>
      <c r="I7" s="6">
        <v>28</v>
      </c>
      <c r="J7" s="6">
        <f t="shared" si="0"/>
        <v>16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0</v>
      </c>
      <c r="D8" s="6"/>
      <c r="E8" s="6"/>
      <c r="F8" s="6"/>
      <c r="G8" s="6"/>
      <c r="H8" s="6"/>
      <c r="I8" s="6"/>
      <c r="J8" s="6">
        <f t="shared" si="0"/>
        <v>0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36</v>
      </c>
      <c r="D9" s="6"/>
      <c r="E9" s="6"/>
      <c r="F9" s="6"/>
      <c r="G9" s="6"/>
      <c r="H9" s="6"/>
      <c r="I9" s="6"/>
      <c r="J9" s="6">
        <f t="shared" si="0"/>
        <v>36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11</v>
      </c>
      <c r="D10" s="6"/>
      <c r="E10" s="6"/>
      <c r="F10" s="6"/>
      <c r="G10" s="6"/>
      <c r="H10" s="6"/>
      <c r="I10" s="6">
        <v>5</v>
      </c>
      <c r="J10" s="6">
        <f t="shared" si="0"/>
        <v>6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60</v>
      </c>
      <c r="D11" s="6"/>
      <c r="E11" s="6">
        <v>15</v>
      </c>
      <c r="F11" s="6"/>
      <c r="G11" s="6"/>
      <c r="H11" s="6"/>
      <c r="I11" s="6">
        <v>30</v>
      </c>
      <c r="J11" s="6">
        <f t="shared" si="0"/>
        <v>15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105</v>
      </c>
      <c r="D12" s="6"/>
      <c r="E12" s="6">
        <v>65</v>
      </c>
      <c r="F12" s="6"/>
      <c r="G12" s="6"/>
      <c r="H12" s="6"/>
      <c r="I12" s="6"/>
      <c r="J12" s="6">
        <f t="shared" si="0"/>
        <v>40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68</v>
      </c>
      <c r="D13" s="6"/>
      <c r="E13" s="6"/>
      <c r="F13" s="6"/>
      <c r="G13" s="6"/>
      <c r="H13" s="6"/>
      <c r="I13" s="6"/>
      <c r="J13" s="6">
        <f t="shared" si="0"/>
        <v>68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73</v>
      </c>
      <c r="D14" s="6"/>
      <c r="E14" s="6"/>
      <c r="F14" s="6"/>
      <c r="G14" s="6"/>
      <c r="H14" s="6"/>
      <c r="I14" s="6"/>
      <c r="J14" s="6">
        <f t="shared" si="0"/>
        <v>73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9</v>
      </c>
      <c r="D15" s="6"/>
      <c r="E15" s="6"/>
      <c r="F15" s="6">
        <v>1</v>
      </c>
      <c r="G15" s="6"/>
      <c r="H15" s="6"/>
      <c r="I15" s="6">
        <v>2</v>
      </c>
      <c r="J15" s="6">
        <f t="shared" si="0"/>
        <v>6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6</v>
      </c>
      <c r="D16" s="6"/>
      <c r="E16" s="6"/>
      <c r="F16" s="6">
        <v>2</v>
      </c>
      <c r="G16" s="6"/>
      <c r="H16" s="6"/>
      <c r="I16" s="6"/>
      <c r="J16" s="6">
        <f t="shared" si="0"/>
        <v>4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122</v>
      </c>
      <c r="D17" s="6"/>
      <c r="E17" s="6">
        <v>22</v>
      </c>
      <c r="F17" s="6">
        <v>15</v>
      </c>
      <c r="G17" s="6">
        <v>5</v>
      </c>
      <c r="H17" s="6"/>
      <c r="I17" s="6"/>
      <c r="J17" s="6">
        <f t="shared" si="0"/>
        <v>80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153</v>
      </c>
      <c r="D18" s="6"/>
      <c r="E18" s="6">
        <v>28</v>
      </c>
      <c r="F18" s="6">
        <v>3</v>
      </c>
      <c r="G18" s="6"/>
      <c r="H18" s="6"/>
      <c r="I18" s="6"/>
      <c r="J18" s="6">
        <f t="shared" si="0"/>
        <v>122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6</v>
      </c>
      <c r="D19" s="6">
        <v>135</v>
      </c>
      <c r="E19" s="6"/>
      <c r="F19" s="6"/>
      <c r="G19" s="6">
        <v>103</v>
      </c>
      <c r="H19" s="6"/>
      <c r="I19" s="6">
        <v>2</v>
      </c>
      <c r="J19" s="6">
        <f t="shared" si="0"/>
        <v>36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60</v>
      </c>
      <c r="D20" s="6"/>
      <c r="E20" s="6"/>
      <c r="F20" s="6"/>
      <c r="G20" s="6"/>
      <c r="H20" s="6"/>
      <c r="I20" s="6">
        <v>4</v>
      </c>
      <c r="J20" s="6">
        <f t="shared" si="0"/>
        <v>56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5</v>
      </c>
      <c r="D21" s="6">
        <v>29</v>
      </c>
      <c r="E21" s="6">
        <v>1</v>
      </c>
      <c r="F21" s="6"/>
      <c r="G21" s="6"/>
      <c r="H21" s="6"/>
      <c r="I21" s="6">
        <v>3</v>
      </c>
      <c r="J21" s="6">
        <f t="shared" si="0"/>
        <v>30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18</v>
      </c>
      <c r="D22" s="6"/>
      <c r="E22" s="6"/>
      <c r="F22" s="6"/>
      <c r="G22" s="6"/>
      <c r="H22" s="6"/>
      <c r="I22" s="6"/>
      <c r="J22" s="6">
        <f t="shared" si="0"/>
        <v>18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41</v>
      </c>
      <c r="D24" s="6"/>
      <c r="E24" s="6"/>
      <c r="F24" s="6">
        <v>3</v>
      </c>
      <c r="G24" s="6"/>
      <c r="H24" s="6"/>
      <c r="I24" s="6">
        <v>4</v>
      </c>
      <c r="J24" s="6">
        <f t="shared" si="0"/>
        <v>34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5</v>
      </c>
      <c r="D25" s="6"/>
      <c r="E25" s="6"/>
      <c r="F25" s="6"/>
      <c r="G25" s="6"/>
      <c r="H25" s="6"/>
      <c r="I25" s="6"/>
      <c r="J25" s="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400</v>
      </c>
      <c r="D26" s="6"/>
      <c r="E26" s="6">
        <v>5</v>
      </c>
      <c r="F26" s="6"/>
      <c r="G26" s="6"/>
      <c r="H26" s="6"/>
      <c r="I26" s="6"/>
      <c r="J26" s="6">
        <f t="shared" si="0"/>
        <v>395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380</v>
      </c>
      <c r="D32" s="6"/>
      <c r="E32" s="6"/>
      <c r="F32" s="6"/>
      <c r="G32" s="6"/>
      <c r="H32" s="6"/>
      <c r="I32" s="6"/>
      <c r="J32" s="6">
        <f t="shared" si="0"/>
        <v>380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6</v>
      </c>
      <c r="D33" s="6"/>
      <c r="E33" s="6"/>
      <c r="F33" s="6">
        <v>1</v>
      </c>
      <c r="G33" s="6"/>
      <c r="H33" s="6"/>
      <c r="I33" s="6"/>
      <c r="J33" s="6">
        <f t="shared" si="0"/>
        <v>5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69</v>
      </c>
      <c r="D37" s="6"/>
      <c r="E37" s="6"/>
      <c r="F37" s="6"/>
      <c r="G37" s="6"/>
      <c r="H37" s="6"/>
      <c r="I37" s="6"/>
      <c r="J37" s="6">
        <f t="shared" si="0"/>
        <v>69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34</v>
      </c>
      <c r="D39" s="6"/>
      <c r="E39" s="6"/>
      <c r="F39" s="6"/>
      <c r="G39" s="6"/>
      <c r="H39" s="6"/>
      <c r="I39" s="6"/>
      <c r="J39" s="6">
        <f t="shared" si="0"/>
        <v>34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</v>
      </c>
      <c r="D40" s="6"/>
      <c r="E40" s="6"/>
      <c r="F40" s="6"/>
      <c r="G40" s="6"/>
      <c r="H40" s="6"/>
      <c r="I40" s="6"/>
      <c r="J40" s="6">
        <f t="shared" si="0"/>
        <v>3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73</v>
      </c>
      <c r="D41" s="6"/>
      <c r="E41" s="6"/>
      <c r="F41" s="6"/>
      <c r="G41" s="6"/>
      <c r="H41" s="6"/>
      <c r="I41" s="6"/>
      <c r="J41" s="6">
        <f t="shared" si="0"/>
        <v>73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13</v>
      </c>
      <c r="D42" s="6">
        <v>27</v>
      </c>
      <c r="E42" s="6"/>
      <c r="F42" s="6">
        <v>3</v>
      </c>
      <c r="G42" s="6"/>
      <c r="H42" s="6"/>
      <c r="I42" s="6"/>
      <c r="J42" s="6">
        <f t="shared" si="0"/>
        <v>37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385</v>
      </c>
      <c r="D43" s="6"/>
      <c r="E43" s="6"/>
      <c r="F43" s="6">
        <v>8</v>
      </c>
      <c r="G43" s="6"/>
      <c r="H43" s="6"/>
      <c r="I43" s="6">
        <v>28</v>
      </c>
      <c r="J43" s="6">
        <f t="shared" si="0"/>
        <v>349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55</v>
      </c>
      <c r="D44" s="6"/>
      <c r="E44" s="6"/>
      <c r="F44" s="6"/>
      <c r="G44" s="6"/>
      <c r="H44" s="6"/>
      <c r="I44" s="6"/>
      <c r="J44" s="6">
        <f t="shared" si="0"/>
        <v>55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6">
        <f t="shared" si="0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28</v>
      </c>
      <c r="D46" s="6"/>
      <c r="E46" s="6"/>
      <c r="F46" s="6"/>
      <c r="G46" s="6"/>
      <c r="H46" s="6"/>
      <c r="I46" s="6"/>
      <c r="J46" s="6">
        <f t="shared" si="0"/>
        <v>28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0</v>
      </c>
      <c r="D47" s="6"/>
      <c r="E47" s="6"/>
      <c r="F47" s="6"/>
      <c r="G47" s="6"/>
      <c r="H47" s="6"/>
      <c r="I47" s="6"/>
      <c r="J47" s="6">
        <f t="shared" si="0"/>
        <v>0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330</v>
      </c>
      <c r="D49" s="6"/>
      <c r="E49" s="6"/>
      <c r="F49" s="6"/>
      <c r="G49" s="6"/>
      <c r="H49" s="6"/>
      <c r="I49" s="6"/>
      <c r="J49" s="6">
        <f t="shared" si="0"/>
        <v>330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52</v>
      </c>
      <c r="D50" s="6"/>
      <c r="E50" s="6">
        <v>4</v>
      </c>
      <c r="F50" s="6"/>
      <c r="G50" s="6"/>
      <c r="H50" s="6"/>
      <c r="I50" s="6"/>
      <c r="J50" s="6">
        <f t="shared" si="0"/>
        <v>48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</v>
      </c>
      <c r="D51" s="6">
        <v>34</v>
      </c>
      <c r="E51" s="6"/>
      <c r="F51" s="6"/>
      <c r="G51" s="6">
        <v>2</v>
      </c>
      <c r="H51" s="6"/>
      <c r="I51" s="6">
        <v>1</v>
      </c>
      <c r="J51" s="6">
        <f t="shared" si="0"/>
        <v>33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5</v>
      </c>
      <c r="D52" s="6">
        <v>34</v>
      </c>
      <c r="E52" s="6"/>
      <c r="F52" s="6"/>
      <c r="G52" s="6"/>
      <c r="H52" s="6"/>
      <c r="I52" s="6"/>
      <c r="J52" s="6">
        <f t="shared" si="0"/>
        <v>39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22</v>
      </c>
      <c r="D53" s="6">
        <v>20</v>
      </c>
      <c r="E53" s="6">
        <v>4</v>
      </c>
      <c r="F53" s="6"/>
      <c r="G53" s="6"/>
      <c r="H53" s="6"/>
      <c r="I53" s="6"/>
      <c r="J53" s="6">
        <f t="shared" si="0"/>
        <v>38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/>
      <c r="G54" s="6"/>
      <c r="H54" s="6"/>
      <c r="I54" s="6"/>
      <c r="J54" s="6">
        <f t="shared" si="0"/>
        <v>29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62</v>
      </c>
      <c r="D56" s="6"/>
      <c r="E56" s="6"/>
      <c r="F56" s="6"/>
      <c r="G56" s="6"/>
      <c r="H56" s="6"/>
      <c r="I56" s="6"/>
      <c r="J56" s="6">
        <f t="shared" si="0"/>
        <v>62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6">
        <f t="shared" si="0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61</v>
      </c>
      <c r="D58" s="6"/>
      <c r="E58" s="6"/>
      <c r="F58" s="6"/>
      <c r="G58" s="6"/>
      <c r="H58" s="6"/>
      <c r="I58" s="6"/>
      <c r="J58" s="6">
        <f t="shared" si="0"/>
        <v>61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20</v>
      </c>
      <c r="D59" s="6"/>
      <c r="E59" s="6"/>
      <c r="F59" s="6"/>
      <c r="G59" s="6"/>
      <c r="H59" s="6"/>
      <c r="I59" s="6"/>
      <c r="J59" s="6">
        <f t="shared" si="0"/>
        <v>20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0</v>
      </c>
      <c r="D60" s="6">
        <v>70</v>
      </c>
      <c r="E60" s="6">
        <v>1</v>
      </c>
      <c r="F60" s="6"/>
      <c r="G60" s="6"/>
      <c r="H60" s="6"/>
      <c r="I60" s="6"/>
      <c r="J60" s="6">
        <f t="shared" si="0"/>
        <v>69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/>
      <c r="E61" s="6"/>
      <c r="F61" s="6"/>
      <c r="G61" s="6"/>
      <c r="H61" s="6"/>
      <c r="I61" s="6"/>
      <c r="J61" s="6">
        <f t="shared" si="0"/>
        <v>0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120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15</v>
      </c>
      <c r="D63" s="6"/>
      <c r="E63" s="6"/>
      <c r="F63" s="6"/>
      <c r="G63" s="6"/>
      <c r="H63" s="6"/>
      <c r="I63" s="6"/>
      <c r="J63" s="6">
        <f t="shared" si="0"/>
        <v>15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29</v>
      </c>
      <c r="D64" s="6"/>
      <c r="E64" s="6"/>
      <c r="F64" s="6"/>
      <c r="G64" s="6"/>
      <c r="H64" s="6"/>
      <c r="I64" s="6"/>
      <c r="J64" s="6">
        <f t="shared" si="0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35</v>
      </c>
      <c r="D65" s="6">
        <v>30</v>
      </c>
      <c r="E65" s="6"/>
      <c r="F65" s="6">
        <v>2</v>
      </c>
      <c r="G65" s="6"/>
      <c r="H65" s="6"/>
      <c r="I65" s="6"/>
      <c r="J65" s="6">
        <f t="shared" si="0"/>
        <v>63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60</v>
      </c>
      <c r="D66" s="6"/>
      <c r="E66" s="6"/>
      <c r="F66" s="6"/>
      <c r="G66" s="6"/>
      <c r="H66" s="6"/>
      <c r="I66" s="6"/>
      <c r="J66" s="6">
        <f t="shared" si="0"/>
        <v>60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69</v>
      </c>
      <c r="D67" s="6"/>
      <c r="E67" s="6"/>
      <c r="F67" s="6"/>
      <c r="G67" s="6"/>
      <c r="H67" s="6"/>
      <c r="I67" s="6"/>
      <c r="J67" s="6">
        <f t="shared" si="0"/>
        <v>69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1</v>
      </c>
      <c r="D68" s="6"/>
      <c r="E68" s="6">
        <v>1</v>
      </c>
      <c r="F68" s="6"/>
      <c r="G68" s="6"/>
      <c r="H68" s="6"/>
      <c r="I68" s="6"/>
      <c r="J68" s="6">
        <f t="shared" ref="J68:J78" si="1">+C68-E68-F68-G68-H68-I68+D68</f>
        <v>0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43</v>
      </c>
      <c r="D69" s="6"/>
      <c r="E69" s="6"/>
      <c r="F69" s="6"/>
      <c r="G69" s="6"/>
      <c r="H69" s="6"/>
      <c r="I69" s="6"/>
      <c r="J69" s="6">
        <f t="shared" si="1"/>
        <v>43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30</v>
      </c>
      <c r="D70" s="6">
        <v>22</v>
      </c>
      <c r="E70" s="6"/>
      <c r="F70" s="6"/>
      <c r="G70" s="6"/>
      <c r="H70" s="6"/>
      <c r="I70" s="6"/>
      <c r="J70" s="6">
        <f t="shared" si="1"/>
        <v>52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14</v>
      </c>
      <c r="D71" s="6"/>
      <c r="E71" s="6"/>
      <c r="F71" s="6"/>
      <c r="G71" s="6"/>
      <c r="H71" s="6"/>
      <c r="I71" s="6"/>
      <c r="J71" s="6">
        <f t="shared" si="1"/>
        <v>14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5</v>
      </c>
      <c r="D72" s="6">
        <v>35</v>
      </c>
      <c r="E72" s="6"/>
      <c r="F72" s="6"/>
      <c r="G72" s="6"/>
      <c r="H72" s="6"/>
      <c r="I72" s="6">
        <v>2</v>
      </c>
      <c r="J72" s="6">
        <f t="shared" si="1"/>
        <v>38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14</v>
      </c>
      <c r="D73" s="6"/>
      <c r="E73" s="6"/>
      <c r="F73" s="6"/>
      <c r="G73" s="6"/>
      <c r="H73" s="6"/>
      <c r="I73" s="6"/>
      <c r="J73" s="6">
        <f t="shared" si="1"/>
        <v>14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107</v>
      </c>
      <c r="D74" s="6">
        <v>86</v>
      </c>
      <c r="E74" s="6">
        <v>15</v>
      </c>
      <c r="F74" s="6">
        <v>7</v>
      </c>
      <c r="G74" s="6"/>
      <c r="H74" s="6"/>
      <c r="I74" s="6">
        <v>6</v>
      </c>
      <c r="J74" s="6">
        <f t="shared" si="1"/>
        <v>165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116</v>
      </c>
      <c r="D75" s="6"/>
      <c r="E75" s="6"/>
      <c r="F75" s="6"/>
      <c r="G75" s="6"/>
      <c r="H75" s="6"/>
      <c r="I75" s="6"/>
      <c r="J75" s="6">
        <f t="shared" si="1"/>
        <v>116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76</v>
      </c>
      <c r="D76" s="6"/>
      <c r="E76" s="6">
        <v>3</v>
      </c>
      <c r="F76" s="6"/>
      <c r="G76" s="6"/>
      <c r="H76" s="6"/>
      <c r="I76" s="6"/>
      <c r="J76" s="6">
        <f t="shared" si="1"/>
        <v>73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58</v>
      </c>
      <c r="D77" s="6"/>
      <c r="E77" s="6">
        <v>7</v>
      </c>
      <c r="F77" s="6">
        <v>1</v>
      </c>
      <c r="G77" s="6"/>
      <c r="H77" s="6"/>
      <c r="I77" s="6"/>
      <c r="J77" s="6">
        <f t="shared" si="1"/>
        <v>50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124</v>
      </c>
      <c r="C78" s="6">
        <v>0</v>
      </c>
      <c r="D78" s="6">
        <v>25</v>
      </c>
      <c r="E78" s="6"/>
      <c r="F78" s="6"/>
      <c r="G78" s="6"/>
      <c r="H78" s="6"/>
      <c r="I78" s="6"/>
      <c r="J78" s="6">
        <f t="shared" si="1"/>
        <v>25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78"/>
  <sheetViews>
    <sheetView zoomScaleNormal="100" workbookViewId="0">
      <selection activeCell="I11" sqref="I11"/>
    </sheetView>
  </sheetViews>
  <sheetFormatPr defaultRowHeight="15" x14ac:dyDescent="0.25"/>
  <cols>
    <col min="1" max="1" width="5.7109375" customWidth="1"/>
    <col min="2" max="2" width="30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45444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45450</v>
      </c>
      <c r="F2" s="4">
        <v>45457</v>
      </c>
      <c r="G2" s="4">
        <v>45461</v>
      </c>
      <c r="H2" s="4">
        <v>45467</v>
      </c>
      <c r="I2" s="4">
        <v>45473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/>
      <c r="E3" s="6"/>
      <c r="F3" s="6"/>
      <c r="G3" s="6"/>
      <c r="H3" s="6"/>
      <c r="I3" s="6"/>
      <c r="J3" s="6">
        <f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3</v>
      </c>
      <c r="D4" s="6">
        <v>25</v>
      </c>
      <c r="E4" s="6">
        <v>4</v>
      </c>
      <c r="F4" s="6"/>
      <c r="G4" s="6"/>
      <c r="H4" s="6"/>
      <c r="I4" s="6"/>
      <c r="J4" s="6">
        <f t="shared" ref="J4:J67" si="0">+C4-E4-F4-G4-H4-I4+D4</f>
        <v>24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</v>
      </c>
      <c r="D5" s="6"/>
      <c r="E5" s="6"/>
      <c r="F5" s="6"/>
      <c r="G5" s="6"/>
      <c r="H5" s="6"/>
      <c r="I5" s="6"/>
      <c r="J5" s="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31</v>
      </c>
      <c r="D6" s="6"/>
      <c r="E6" s="6"/>
      <c r="F6" s="6"/>
      <c r="G6" s="6"/>
      <c r="H6" s="6"/>
      <c r="I6" s="6"/>
      <c r="J6" s="6">
        <f t="shared" si="0"/>
        <v>31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16</v>
      </c>
      <c r="D7" s="6"/>
      <c r="E7" s="6">
        <v>3</v>
      </c>
      <c r="F7" s="6"/>
      <c r="G7" s="6"/>
      <c r="H7" s="6"/>
      <c r="I7" s="6"/>
      <c r="J7" s="6">
        <f t="shared" si="0"/>
        <v>13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0</v>
      </c>
      <c r="D8" s="6">
        <v>36</v>
      </c>
      <c r="E8" s="6"/>
      <c r="F8" s="6"/>
      <c r="G8" s="6"/>
      <c r="H8" s="6"/>
      <c r="I8" s="6"/>
      <c r="J8" s="6">
        <f t="shared" si="0"/>
        <v>36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36</v>
      </c>
      <c r="D9" s="6"/>
      <c r="E9" s="6">
        <v>2</v>
      </c>
      <c r="F9" s="6"/>
      <c r="G9" s="6"/>
      <c r="H9" s="6"/>
      <c r="I9" s="6"/>
      <c r="J9" s="6">
        <f t="shared" si="0"/>
        <v>34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6</v>
      </c>
      <c r="D10" s="6">
        <v>15</v>
      </c>
      <c r="E10" s="6">
        <v>12</v>
      </c>
      <c r="F10" s="6">
        <v>2</v>
      </c>
      <c r="G10" s="6"/>
      <c r="H10" s="6"/>
      <c r="I10" s="6">
        <v>6</v>
      </c>
      <c r="J10" s="6">
        <f t="shared" si="0"/>
        <v>1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15</v>
      </c>
      <c r="D11" s="6">
        <v>235</v>
      </c>
      <c r="E11" s="6"/>
      <c r="F11" s="6"/>
      <c r="G11" s="6"/>
      <c r="H11" s="6"/>
      <c r="I11" s="6">
        <v>60</v>
      </c>
      <c r="J11" s="6">
        <f t="shared" si="0"/>
        <v>190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40</v>
      </c>
      <c r="D12" s="6"/>
      <c r="E12" s="6">
        <v>23</v>
      </c>
      <c r="F12" s="6"/>
      <c r="G12" s="6"/>
      <c r="H12" s="6"/>
      <c r="I12" s="6">
        <v>17</v>
      </c>
      <c r="J12" s="6">
        <f t="shared" si="0"/>
        <v>0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68</v>
      </c>
      <c r="D13" s="6"/>
      <c r="E13" s="6"/>
      <c r="F13" s="6"/>
      <c r="G13" s="6"/>
      <c r="H13" s="6"/>
      <c r="I13" s="6"/>
      <c r="J13" s="6">
        <f t="shared" si="0"/>
        <v>68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73</v>
      </c>
      <c r="D14" s="6"/>
      <c r="E14" s="6"/>
      <c r="F14" s="6"/>
      <c r="G14" s="6"/>
      <c r="H14" s="6"/>
      <c r="I14" s="6"/>
      <c r="J14" s="6">
        <f t="shared" si="0"/>
        <v>73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6</v>
      </c>
      <c r="D15" s="6"/>
      <c r="E15" s="6"/>
      <c r="F15" s="6"/>
      <c r="G15" s="6"/>
      <c r="H15" s="6"/>
      <c r="I15" s="6"/>
      <c r="J15" s="6">
        <f t="shared" si="0"/>
        <v>6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4</v>
      </c>
      <c r="D16" s="6"/>
      <c r="E16" s="6"/>
      <c r="F16" s="6"/>
      <c r="G16" s="6"/>
      <c r="H16" s="6"/>
      <c r="I16" s="6"/>
      <c r="J16" s="6">
        <f t="shared" si="0"/>
        <v>4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80</v>
      </c>
      <c r="D17" s="6">
        <v>87</v>
      </c>
      <c r="E17" s="6">
        <v>24</v>
      </c>
      <c r="F17" s="6">
        <v>7</v>
      </c>
      <c r="G17" s="6"/>
      <c r="H17" s="6"/>
      <c r="I17" s="6">
        <v>109</v>
      </c>
      <c r="J17" s="6">
        <f t="shared" si="0"/>
        <v>27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122</v>
      </c>
      <c r="D18" s="6"/>
      <c r="E18" s="6">
        <v>2</v>
      </c>
      <c r="F18" s="6"/>
      <c r="G18" s="6"/>
      <c r="H18" s="6"/>
      <c r="I18" s="6">
        <v>8</v>
      </c>
      <c r="J18" s="6">
        <f t="shared" si="0"/>
        <v>112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36</v>
      </c>
      <c r="D19" s="6">
        <v>113</v>
      </c>
      <c r="E19" s="6">
        <v>6</v>
      </c>
      <c r="F19" s="6">
        <v>104</v>
      </c>
      <c r="G19" s="6"/>
      <c r="H19" s="6"/>
      <c r="I19" s="6"/>
      <c r="J19" s="6">
        <f t="shared" si="0"/>
        <v>39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56</v>
      </c>
      <c r="D20" s="6"/>
      <c r="E20" s="6"/>
      <c r="F20" s="6"/>
      <c r="G20" s="6"/>
      <c r="H20" s="6"/>
      <c r="I20" s="6"/>
      <c r="J20" s="6">
        <f t="shared" si="0"/>
        <v>56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30</v>
      </c>
      <c r="D21" s="6">
        <v>111</v>
      </c>
      <c r="E21" s="6">
        <v>2</v>
      </c>
      <c r="F21" s="6">
        <v>1</v>
      </c>
      <c r="G21" s="6"/>
      <c r="H21" s="6"/>
      <c r="I21" s="6">
        <v>1</v>
      </c>
      <c r="J21" s="6">
        <f t="shared" si="0"/>
        <v>137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18</v>
      </c>
      <c r="D22" s="6"/>
      <c r="E22" s="6"/>
      <c r="F22" s="6"/>
      <c r="G22" s="6"/>
      <c r="H22" s="6"/>
      <c r="I22" s="6"/>
      <c r="J22" s="6">
        <f t="shared" si="0"/>
        <v>18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34</v>
      </c>
      <c r="D24" s="6"/>
      <c r="E24" s="6"/>
      <c r="F24" s="6"/>
      <c r="G24" s="6"/>
      <c r="H24" s="6"/>
      <c r="I24" s="6"/>
      <c r="J24" s="6">
        <f t="shared" si="0"/>
        <v>34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5</v>
      </c>
      <c r="D25" s="6"/>
      <c r="E25" s="6"/>
      <c r="F25" s="6"/>
      <c r="G25" s="6"/>
      <c r="H25" s="6"/>
      <c r="I25" s="6"/>
      <c r="J25" s="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395</v>
      </c>
      <c r="D26" s="6"/>
      <c r="E26" s="6"/>
      <c r="F26" s="6">
        <v>1</v>
      </c>
      <c r="G26" s="6"/>
      <c r="H26" s="6"/>
      <c r="I26" s="6"/>
      <c r="J26" s="6">
        <f t="shared" si="0"/>
        <v>394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380</v>
      </c>
      <c r="D32" s="6"/>
      <c r="E32" s="6"/>
      <c r="F32" s="6"/>
      <c r="G32" s="6"/>
      <c r="H32" s="6"/>
      <c r="I32" s="6"/>
      <c r="J32" s="6">
        <f t="shared" si="0"/>
        <v>380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5</v>
      </c>
      <c r="D33" s="6"/>
      <c r="E33" s="6">
        <v>3</v>
      </c>
      <c r="F33" s="6"/>
      <c r="G33" s="6"/>
      <c r="H33" s="6"/>
      <c r="I33" s="6"/>
      <c r="J33" s="6">
        <f t="shared" si="0"/>
        <v>2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69</v>
      </c>
      <c r="D37" s="6"/>
      <c r="E37" s="6"/>
      <c r="F37" s="6"/>
      <c r="G37" s="6"/>
      <c r="H37" s="6"/>
      <c r="I37" s="6"/>
      <c r="J37" s="6">
        <f t="shared" si="0"/>
        <v>69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34</v>
      </c>
      <c r="D39" s="6"/>
      <c r="E39" s="6"/>
      <c r="F39" s="6"/>
      <c r="G39" s="6"/>
      <c r="H39" s="6"/>
      <c r="I39" s="6"/>
      <c r="J39" s="6">
        <f t="shared" si="0"/>
        <v>34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</v>
      </c>
      <c r="D40" s="6">
        <v>66</v>
      </c>
      <c r="E40" s="6"/>
      <c r="F40" s="6">
        <v>1</v>
      </c>
      <c r="G40" s="6"/>
      <c r="H40" s="6"/>
      <c r="I40" s="6"/>
      <c r="J40" s="6">
        <f t="shared" si="0"/>
        <v>68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73</v>
      </c>
      <c r="D41" s="6"/>
      <c r="E41" s="6"/>
      <c r="F41" s="6"/>
      <c r="G41" s="6"/>
      <c r="H41" s="6"/>
      <c r="I41" s="6"/>
      <c r="J41" s="6">
        <f t="shared" si="0"/>
        <v>73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37</v>
      </c>
      <c r="D42" s="6"/>
      <c r="E42" s="6"/>
      <c r="F42" s="6"/>
      <c r="G42" s="6"/>
      <c r="H42" s="6"/>
      <c r="I42" s="6"/>
      <c r="J42" s="6">
        <f t="shared" si="0"/>
        <v>37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349</v>
      </c>
      <c r="D43" s="6"/>
      <c r="E43" s="6">
        <v>4</v>
      </c>
      <c r="F43" s="6"/>
      <c r="G43" s="6"/>
      <c r="H43" s="6"/>
      <c r="I43" s="6"/>
      <c r="J43" s="6">
        <f t="shared" si="0"/>
        <v>345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55</v>
      </c>
      <c r="D44" s="6"/>
      <c r="E44" s="6"/>
      <c r="F44" s="6"/>
      <c r="G44" s="6"/>
      <c r="H44" s="6"/>
      <c r="I44" s="6"/>
      <c r="J44" s="6">
        <f t="shared" si="0"/>
        <v>55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6">
        <f t="shared" si="0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28</v>
      </c>
      <c r="D46" s="6"/>
      <c r="E46" s="6"/>
      <c r="F46" s="6"/>
      <c r="G46" s="6"/>
      <c r="H46" s="6"/>
      <c r="I46" s="6"/>
      <c r="J46" s="6">
        <f t="shared" si="0"/>
        <v>28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0</v>
      </c>
      <c r="D47" s="6"/>
      <c r="E47" s="6"/>
      <c r="F47" s="6"/>
      <c r="G47" s="6"/>
      <c r="H47" s="6"/>
      <c r="I47" s="6"/>
      <c r="J47" s="6">
        <f t="shared" si="0"/>
        <v>0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330</v>
      </c>
      <c r="D49" s="6"/>
      <c r="E49" s="6"/>
      <c r="F49" s="6"/>
      <c r="G49" s="6"/>
      <c r="H49" s="6"/>
      <c r="I49" s="6"/>
      <c r="J49" s="6">
        <f t="shared" si="0"/>
        <v>330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48</v>
      </c>
      <c r="D50" s="6"/>
      <c r="E50" s="6">
        <v>17</v>
      </c>
      <c r="F50" s="6"/>
      <c r="G50" s="6"/>
      <c r="H50" s="6"/>
      <c r="I50" s="6"/>
      <c r="J50" s="6">
        <f t="shared" si="0"/>
        <v>31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33</v>
      </c>
      <c r="D51" s="6"/>
      <c r="E51" s="6">
        <v>3</v>
      </c>
      <c r="F51" s="6">
        <v>4</v>
      </c>
      <c r="G51" s="6"/>
      <c r="H51" s="6"/>
      <c r="I51" s="6"/>
      <c r="J51" s="6">
        <f t="shared" si="0"/>
        <v>26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39</v>
      </c>
      <c r="D52" s="6"/>
      <c r="E52" s="6">
        <v>6</v>
      </c>
      <c r="F52" s="6"/>
      <c r="G52" s="6"/>
      <c r="H52" s="6"/>
      <c r="I52" s="6"/>
      <c r="J52" s="6">
        <f t="shared" si="0"/>
        <v>33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38</v>
      </c>
      <c r="D53" s="6"/>
      <c r="E53" s="6">
        <v>2</v>
      </c>
      <c r="F53" s="6">
        <v>1</v>
      </c>
      <c r="G53" s="6"/>
      <c r="H53" s="6"/>
      <c r="I53" s="6"/>
      <c r="J53" s="6">
        <f t="shared" si="0"/>
        <v>35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/>
      <c r="G54" s="6"/>
      <c r="H54" s="6"/>
      <c r="I54" s="6"/>
      <c r="J54" s="6">
        <f t="shared" si="0"/>
        <v>29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62</v>
      </c>
      <c r="D56" s="6"/>
      <c r="E56" s="6"/>
      <c r="F56" s="6"/>
      <c r="G56" s="6"/>
      <c r="H56" s="6"/>
      <c r="I56" s="6"/>
      <c r="J56" s="6">
        <f t="shared" si="0"/>
        <v>62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6">
        <f t="shared" si="0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61</v>
      </c>
      <c r="D58" s="6"/>
      <c r="E58" s="6">
        <v>4</v>
      </c>
      <c r="F58" s="6"/>
      <c r="G58" s="6"/>
      <c r="H58" s="6"/>
      <c r="I58" s="6"/>
      <c r="J58" s="6">
        <f t="shared" si="0"/>
        <v>57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20</v>
      </c>
      <c r="D59" s="6"/>
      <c r="E59" s="6"/>
      <c r="F59" s="6"/>
      <c r="G59" s="6"/>
      <c r="H59" s="6"/>
      <c r="I59" s="6"/>
      <c r="J59" s="6">
        <f t="shared" si="0"/>
        <v>20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69</v>
      </c>
      <c r="D60" s="6"/>
      <c r="E60" s="6"/>
      <c r="F60" s="6">
        <v>2</v>
      </c>
      <c r="G60" s="6"/>
      <c r="H60" s="6"/>
      <c r="I60" s="6"/>
      <c r="J60" s="6">
        <f t="shared" si="0"/>
        <v>67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/>
      <c r="E61" s="6"/>
      <c r="F61" s="6"/>
      <c r="G61" s="6"/>
      <c r="H61" s="6"/>
      <c r="I61" s="6"/>
      <c r="J61" s="6">
        <f t="shared" si="0"/>
        <v>0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120</v>
      </c>
      <c r="C62" s="6">
        <v>0</v>
      </c>
      <c r="D62" s="6"/>
      <c r="E62" s="6"/>
      <c r="F62" s="6"/>
      <c r="G62" s="6"/>
      <c r="H62" s="6"/>
      <c r="I62" s="6"/>
      <c r="J62" s="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15</v>
      </c>
      <c r="D63" s="6"/>
      <c r="E63" s="6"/>
      <c r="F63" s="6"/>
      <c r="G63" s="6"/>
      <c r="H63" s="6"/>
      <c r="I63" s="6">
        <v>4</v>
      </c>
      <c r="J63" s="6">
        <f t="shared" si="0"/>
        <v>11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29</v>
      </c>
      <c r="D64" s="6"/>
      <c r="E64" s="6"/>
      <c r="F64" s="6"/>
      <c r="G64" s="6"/>
      <c r="H64" s="6"/>
      <c r="I64" s="6"/>
      <c r="J64" s="6">
        <f t="shared" si="0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63</v>
      </c>
      <c r="D65" s="6"/>
      <c r="E65" s="6">
        <v>5</v>
      </c>
      <c r="F65" s="6">
        <v>3</v>
      </c>
      <c r="G65" s="6"/>
      <c r="H65" s="6"/>
      <c r="I65" s="6">
        <v>3</v>
      </c>
      <c r="J65" s="6">
        <f t="shared" si="0"/>
        <v>52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60</v>
      </c>
      <c r="D66" s="6"/>
      <c r="E66" s="6"/>
      <c r="F66" s="6"/>
      <c r="G66" s="6"/>
      <c r="H66" s="6"/>
      <c r="I66" s="6"/>
      <c r="J66" s="6">
        <f t="shared" si="0"/>
        <v>60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69</v>
      </c>
      <c r="D67" s="6"/>
      <c r="E67" s="6"/>
      <c r="F67" s="6"/>
      <c r="G67" s="6"/>
      <c r="H67" s="6"/>
      <c r="I67" s="6"/>
      <c r="J67" s="6">
        <f t="shared" si="0"/>
        <v>69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0</v>
      </c>
      <c r="D68" s="6"/>
      <c r="E68" s="6"/>
      <c r="F68" s="6"/>
      <c r="G68" s="6"/>
      <c r="H68" s="6"/>
      <c r="I68" s="6"/>
      <c r="J68" s="6">
        <f t="shared" ref="J68:J78" si="1">+C68-E68-F68-G68-H68-I68+D68</f>
        <v>0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43</v>
      </c>
      <c r="D69" s="6"/>
      <c r="E69" s="6"/>
      <c r="F69" s="6"/>
      <c r="G69" s="6"/>
      <c r="H69" s="6"/>
      <c r="I69" s="6"/>
      <c r="J69" s="6">
        <f t="shared" si="1"/>
        <v>43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52</v>
      </c>
      <c r="D70" s="6"/>
      <c r="E70" s="6">
        <v>4</v>
      </c>
      <c r="F70" s="6"/>
      <c r="G70" s="6"/>
      <c r="H70" s="6"/>
      <c r="I70" s="6"/>
      <c r="J70" s="6">
        <f t="shared" si="1"/>
        <v>48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14</v>
      </c>
      <c r="D71" s="6"/>
      <c r="E71" s="6"/>
      <c r="F71" s="6"/>
      <c r="G71" s="6"/>
      <c r="H71" s="6"/>
      <c r="I71" s="6"/>
      <c r="J71" s="6">
        <f t="shared" si="1"/>
        <v>14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38</v>
      </c>
      <c r="D72" s="6"/>
      <c r="E72" s="6">
        <v>8</v>
      </c>
      <c r="F72" s="6"/>
      <c r="G72" s="6"/>
      <c r="H72" s="6"/>
      <c r="I72" s="6"/>
      <c r="J72" s="6">
        <f t="shared" si="1"/>
        <v>30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14</v>
      </c>
      <c r="D73" s="6"/>
      <c r="E73" s="6">
        <v>4</v>
      </c>
      <c r="F73" s="6"/>
      <c r="G73" s="6"/>
      <c r="H73" s="6"/>
      <c r="I73" s="6"/>
      <c r="J73" s="6">
        <f t="shared" si="1"/>
        <v>10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165</v>
      </c>
      <c r="D74" s="6"/>
      <c r="E74" s="6">
        <v>8</v>
      </c>
      <c r="F74" s="6">
        <v>7</v>
      </c>
      <c r="G74" s="6"/>
      <c r="H74" s="6"/>
      <c r="I74" s="6">
        <v>3</v>
      </c>
      <c r="J74" s="6">
        <f t="shared" si="1"/>
        <v>147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116</v>
      </c>
      <c r="D75" s="6"/>
      <c r="E75" s="6"/>
      <c r="F75" s="6"/>
      <c r="G75" s="6"/>
      <c r="H75" s="6"/>
      <c r="I75" s="6"/>
      <c r="J75" s="6">
        <f t="shared" si="1"/>
        <v>116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73</v>
      </c>
      <c r="D76" s="6"/>
      <c r="E76" s="6">
        <v>7</v>
      </c>
      <c r="F76" s="6">
        <v>1</v>
      </c>
      <c r="G76" s="6"/>
      <c r="H76" s="6"/>
      <c r="I76" s="6">
        <v>1</v>
      </c>
      <c r="J76" s="6">
        <f t="shared" si="1"/>
        <v>64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50</v>
      </c>
      <c r="D77" s="6"/>
      <c r="E77" s="6">
        <v>4</v>
      </c>
      <c r="F77" s="6"/>
      <c r="G77" s="6"/>
      <c r="H77" s="6"/>
      <c r="I77" s="6"/>
      <c r="J77" s="6">
        <f t="shared" si="1"/>
        <v>46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124</v>
      </c>
      <c r="C78" s="6">
        <v>25</v>
      </c>
      <c r="D78" s="6"/>
      <c r="E78" s="6"/>
      <c r="F78" s="6"/>
      <c r="G78" s="6"/>
      <c r="H78" s="6"/>
      <c r="I78" s="6"/>
      <c r="J78" s="6">
        <f t="shared" si="1"/>
        <v>25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78"/>
  <sheetViews>
    <sheetView topLeftCell="A40" zoomScaleNormal="100" workbookViewId="0">
      <selection activeCell="G23" sqref="G23"/>
    </sheetView>
  </sheetViews>
  <sheetFormatPr defaultRowHeight="15" x14ac:dyDescent="0.25"/>
  <cols>
    <col min="1" max="1" width="5.7109375" customWidth="1"/>
    <col min="2" max="2" width="30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45474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45478</v>
      </c>
      <c r="F2" s="4">
        <v>45485</v>
      </c>
      <c r="G2" s="4">
        <v>45492</v>
      </c>
      <c r="H2" s="4">
        <v>45499</v>
      </c>
      <c r="I2" s="4">
        <v>45504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/>
      <c r="E3" s="6"/>
      <c r="F3" s="6"/>
      <c r="G3" s="6"/>
      <c r="H3" s="6"/>
      <c r="I3" s="6"/>
      <c r="J3" s="6">
        <f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24</v>
      </c>
      <c r="D4" s="6">
        <v>60</v>
      </c>
      <c r="E4" s="6">
        <v>2</v>
      </c>
      <c r="F4" s="6"/>
      <c r="G4" s="6"/>
      <c r="H4" s="6">
        <v>7</v>
      </c>
      <c r="I4" s="6">
        <v>2</v>
      </c>
      <c r="J4" s="6">
        <f t="shared" ref="J4:J67" si="0">+C4-E4-F4-G4-H4-I4+D4</f>
        <v>73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</v>
      </c>
      <c r="D5" s="6"/>
      <c r="E5" s="6"/>
      <c r="F5" s="6"/>
      <c r="G5" s="6"/>
      <c r="H5" s="6"/>
      <c r="I5" s="6"/>
      <c r="J5" s="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31</v>
      </c>
      <c r="D6" s="6">
        <v>51</v>
      </c>
      <c r="E6" s="6"/>
      <c r="F6" s="6"/>
      <c r="G6" s="6"/>
      <c r="H6" s="6"/>
      <c r="I6" s="6"/>
      <c r="J6" s="6">
        <f t="shared" si="0"/>
        <v>82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13</v>
      </c>
      <c r="D7" s="6">
        <v>98</v>
      </c>
      <c r="E7" s="6">
        <v>2</v>
      </c>
      <c r="F7" s="6"/>
      <c r="G7" s="6"/>
      <c r="H7" s="6">
        <v>5</v>
      </c>
      <c r="I7" s="6"/>
      <c r="J7" s="6">
        <f t="shared" si="0"/>
        <v>104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36</v>
      </c>
      <c r="D8" s="6"/>
      <c r="E8" s="6"/>
      <c r="F8" s="6"/>
      <c r="G8" s="6"/>
      <c r="H8" s="6"/>
      <c r="I8" s="6"/>
      <c r="J8" s="6">
        <f t="shared" si="0"/>
        <v>36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34</v>
      </c>
      <c r="D9" s="6"/>
      <c r="E9" s="6"/>
      <c r="F9" s="6"/>
      <c r="G9" s="6"/>
      <c r="H9" s="6"/>
      <c r="I9" s="6"/>
      <c r="J9" s="6">
        <f t="shared" si="0"/>
        <v>34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</v>
      </c>
      <c r="D10" s="6">
        <v>10</v>
      </c>
      <c r="E10" s="6"/>
      <c r="F10" s="6"/>
      <c r="G10" s="6"/>
      <c r="H10" s="6">
        <v>3</v>
      </c>
      <c r="I10" s="6"/>
      <c r="J10" s="6">
        <f t="shared" si="0"/>
        <v>8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190</v>
      </c>
      <c r="D11" s="6">
        <v>144</v>
      </c>
      <c r="E11" s="6">
        <v>30</v>
      </c>
      <c r="F11" s="6">
        <v>30</v>
      </c>
      <c r="G11" s="6"/>
      <c r="H11" s="6"/>
      <c r="I11" s="6"/>
      <c r="J11" s="6">
        <f t="shared" si="0"/>
        <v>274</v>
      </c>
      <c r="K11" s="13">
        <v>150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0</v>
      </c>
      <c r="D12" s="6">
        <v>319</v>
      </c>
      <c r="E12" s="6"/>
      <c r="F12" s="6">
        <v>125</v>
      </c>
      <c r="G12" s="6"/>
      <c r="H12" s="6"/>
      <c r="I12" s="6"/>
      <c r="J12" s="6">
        <f t="shared" si="0"/>
        <v>194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68</v>
      </c>
      <c r="D13" s="6"/>
      <c r="E13" s="6"/>
      <c r="F13" s="6"/>
      <c r="G13" s="6"/>
      <c r="H13" s="6"/>
      <c r="I13" s="6"/>
      <c r="J13" s="6">
        <f t="shared" si="0"/>
        <v>68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73</v>
      </c>
      <c r="D14" s="6"/>
      <c r="E14" s="6"/>
      <c r="F14" s="6"/>
      <c r="G14" s="6"/>
      <c r="H14" s="6"/>
      <c r="I14" s="6"/>
      <c r="J14" s="6">
        <f t="shared" si="0"/>
        <v>73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6</v>
      </c>
      <c r="D15" s="6"/>
      <c r="E15" s="6"/>
      <c r="F15" s="6"/>
      <c r="G15" s="6"/>
      <c r="H15" s="6"/>
      <c r="I15" s="6"/>
      <c r="J15" s="6">
        <f t="shared" si="0"/>
        <v>6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4</v>
      </c>
      <c r="D16" s="6"/>
      <c r="E16" s="6"/>
      <c r="F16" s="6"/>
      <c r="G16" s="6"/>
      <c r="H16" s="6"/>
      <c r="I16" s="6"/>
      <c r="J16" s="6">
        <f t="shared" si="0"/>
        <v>4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27</v>
      </c>
      <c r="D17" s="6">
        <v>182</v>
      </c>
      <c r="E17" s="6">
        <v>2</v>
      </c>
      <c r="F17" s="6">
        <v>16</v>
      </c>
      <c r="G17" s="6">
        <v>15</v>
      </c>
      <c r="H17" s="6">
        <v>20</v>
      </c>
      <c r="I17" s="6">
        <v>92</v>
      </c>
      <c r="J17" s="6">
        <f t="shared" si="0"/>
        <v>64</v>
      </c>
      <c r="K17" s="13">
        <v>50</v>
      </c>
      <c r="L17" s="14">
        <v>200</v>
      </c>
    </row>
    <row r="18" spans="1:12" x14ac:dyDescent="0.25">
      <c r="A18" s="6">
        <v>16</v>
      </c>
      <c r="B18" s="7" t="s">
        <v>17</v>
      </c>
      <c r="C18" s="6">
        <v>112</v>
      </c>
      <c r="D18" s="6">
        <v>462</v>
      </c>
      <c r="E18" s="6">
        <v>349</v>
      </c>
      <c r="F18" s="6">
        <v>10</v>
      </c>
      <c r="G18" s="6">
        <v>10</v>
      </c>
      <c r="H18" s="6">
        <v>25</v>
      </c>
      <c r="I18" s="6">
        <v>8</v>
      </c>
      <c r="J18" s="6">
        <f t="shared" si="0"/>
        <v>172</v>
      </c>
      <c r="K18" s="13">
        <v>50</v>
      </c>
      <c r="L18" s="14">
        <v>150</v>
      </c>
    </row>
    <row r="19" spans="1:12" x14ac:dyDescent="0.25">
      <c r="A19" s="6">
        <v>17</v>
      </c>
      <c r="B19" s="7" t="s">
        <v>103</v>
      </c>
      <c r="C19" s="6">
        <v>39</v>
      </c>
      <c r="D19" s="6">
        <v>59</v>
      </c>
      <c r="E19" s="6"/>
      <c r="F19" s="6"/>
      <c r="G19" s="6"/>
      <c r="H19" s="6"/>
      <c r="I19" s="6">
        <v>4</v>
      </c>
      <c r="J19" s="6">
        <f t="shared" si="0"/>
        <v>94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56</v>
      </c>
      <c r="D20" s="6"/>
      <c r="E20" s="6">
        <v>4</v>
      </c>
      <c r="F20" s="6"/>
      <c r="G20" s="6"/>
      <c r="H20" s="6"/>
      <c r="I20" s="6"/>
      <c r="J20" s="6">
        <f t="shared" si="0"/>
        <v>52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137</v>
      </c>
      <c r="D21" s="6"/>
      <c r="E21" s="6"/>
      <c r="F21" s="6">
        <v>1</v>
      </c>
      <c r="G21" s="6"/>
      <c r="H21" s="6">
        <v>4</v>
      </c>
      <c r="I21" s="6"/>
      <c r="J21" s="6">
        <f t="shared" si="0"/>
        <v>132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18</v>
      </c>
      <c r="D22" s="6">
        <v>7</v>
      </c>
      <c r="E22" s="6"/>
      <c r="F22" s="6"/>
      <c r="G22" s="6"/>
      <c r="H22" s="6"/>
      <c r="I22" s="6"/>
      <c r="J22" s="6">
        <f t="shared" si="0"/>
        <v>25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34</v>
      </c>
      <c r="D24" s="6"/>
      <c r="E24" s="6"/>
      <c r="F24" s="6"/>
      <c r="G24" s="6"/>
      <c r="H24" s="6"/>
      <c r="I24" s="6"/>
      <c r="J24" s="6">
        <f t="shared" si="0"/>
        <v>34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5</v>
      </c>
      <c r="D25" s="6"/>
      <c r="E25" s="6"/>
      <c r="F25" s="6"/>
      <c r="G25" s="6"/>
      <c r="H25" s="6"/>
      <c r="I25" s="6"/>
      <c r="J25" s="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394</v>
      </c>
      <c r="D26" s="6"/>
      <c r="E26" s="6"/>
      <c r="F26" s="6"/>
      <c r="G26" s="6"/>
      <c r="H26" s="6"/>
      <c r="I26" s="6"/>
      <c r="J26" s="6">
        <f t="shared" si="0"/>
        <v>394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24</v>
      </c>
      <c r="C28" s="6">
        <v>0</v>
      </c>
      <c r="D28" s="6"/>
      <c r="E28" s="6"/>
      <c r="F28" s="6"/>
      <c r="G28" s="6"/>
      <c r="H28" s="6"/>
      <c r="I28" s="6"/>
      <c r="J28" s="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49</v>
      </c>
      <c r="C30" s="6">
        <v>0</v>
      </c>
      <c r="D30" s="6"/>
      <c r="E30" s="6"/>
      <c r="F30" s="6"/>
      <c r="G30" s="6"/>
      <c r="H30" s="6"/>
      <c r="I30" s="6"/>
      <c r="J30" s="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380</v>
      </c>
      <c r="D32" s="6">
        <v>546</v>
      </c>
      <c r="E32" s="6">
        <v>24</v>
      </c>
      <c r="F32" s="6"/>
      <c r="G32" s="6"/>
      <c r="H32" s="6">
        <v>596</v>
      </c>
      <c r="I32" s="6"/>
      <c r="J32" s="6">
        <f t="shared" si="0"/>
        <v>306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2</v>
      </c>
      <c r="D33" s="6">
        <v>22</v>
      </c>
      <c r="E33" s="6"/>
      <c r="F33" s="6"/>
      <c r="G33" s="6"/>
      <c r="H33" s="6"/>
      <c r="I33" s="6"/>
      <c r="J33" s="6">
        <f t="shared" si="0"/>
        <v>24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17</v>
      </c>
      <c r="D34" s="6"/>
      <c r="E34" s="6"/>
      <c r="F34" s="6"/>
      <c r="G34" s="6"/>
      <c r="H34" s="6"/>
      <c r="I34" s="6"/>
      <c r="J34" s="6">
        <f t="shared" si="0"/>
        <v>17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69</v>
      </c>
      <c r="D37" s="6"/>
      <c r="E37" s="6"/>
      <c r="F37" s="6"/>
      <c r="G37" s="6"/>
      <c r="H37" s="6"/>
      <c r="I37" s="6"/>
      <c r="J37" s="6">
        <f t="shared" si="0"/>
        <v>69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34</v>
      </c>
      <c r="D39" s="6"/>
      <c r="E39" s="6"/>
      <c r="F39" s="6"/>
      <c r="G39" s="6"/>
      <c r="H39" s="6"/>
      <c r="I39" s="6"/>
      <c r="J39" s="6">
        <f t="shared" si="0"/>
        <v>34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68</v>
      </c>
      <c r="D40" s="6"/>
      <c r="E40" s="6"/>
      <c r="F40" s="6">
        <v>5</v>
      </c>
      <c r="G40" s="6"/>
      <c r="H40" s="6"/>
      <c r="I40" s="6"/>
      <c r="J40" s="6">
        <f t="shared" si="0"/>
        <v>63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73</v>
      </c>
      <c r="D41" s="6"/>
      <c r="E41" s="6"/>
      <c r="F41" s="6"/>
      <c r="G41" s="6"/>
      <c r="H41" s="6"/>
      <c r="I41" s="6"/>
      <c r="J41" s="6">
        <f t="shared" si="0"/>
        <v>73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37</v>
      </c>
      <c r="D42" s="6">
        <v>60</v>
      </c>
      <c r="E42" s="6">
        <v>1</v>
      </c>
      <c r="F42" s="6"/>
      <c r="G42" s="6"/>
      <c r="H42" s="6"/>
      <c r="I42" s="6"/>
      <c r="J42" s="6">
        <f t="shared" si="0"/>
        <v>96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345</v>
      </c>
      <c r="D43" s="6"/>
      <c r="E43" s="6"/>
      <c r="F43" s="6"/>
      <c r="G43" s="6"/>
      <c r="H43" s="6"/>
      <c r="I43" s="6"/>
      <c r="J43" s="6">
        <f t="shared" si="0"/>
        <v>345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55</v>
      </c>
      <c r="D44" s="6"/>
      <c r="E44" s="6"/>
      <c r="F44" s="6"/>
      <c r="G44" s="6"/>
      <c r="H44" s="6"/>
      <c r="I44" s="6"/>
      <c r="J44" s="6">
        <f t="shared" si="0"/>
        <v>55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6">
        <f t="shared" si="0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28</v>
      </c>
      <c r="D46" s="6"/>
      <c r="E46" s="6"/>
      <c r="F46" s="6"/>
      <c r="G46" s="6"/>
      <c r="H46" s="6"/>
      <c r="I46" s="6"/>
      <c r="J46" s="6">
        <f t="shared" si="0"/>
        <v>28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0</v>
      </c>
      <c r="D47" s="6">
        <v>36</v>
      </c>
      <c r="E47" s="6"/>
      <c r="F47" s="6"/>
      <c r="G47" s="6"/>
      <c r="H47" s="6">
        <v>2</v>
      </c>
      <c r="I47" s="6"/>
      <c r="J47" s="6">
        <f t="shared" si="0"/>
        <v>34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330</v>
      </c>
      <c r="D49" s="6"/>
      <c r="E49" s="6">
        <v>23</v>
      </c>
      <c r="F49" s="6"/>
      <c r="G49" s="6"/>
      <c r="H49" s="6"/>
      <c r="I49" s="6"/>
      <c r="J49" s="6">
        <f t="shared" si="0"/>
        <v>307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31</v>
      </c>
      <c r="D50" s="6">
        <v>185</v>
      </c>
      <c r="E50" s="6">
        <v>6</v>
      </c>
      <c r="F50" s="6"/>
      <c r="G50" s="6"/>
      <c r="H50" s="6">
        <v>1</v>
      </c>
      <c r="I50" s="6"/>
      <c r="J50" s="6">
        <f t="shared" si="0"/>
        <v>209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26</v>
      </c>
      <c r="D51" s="6"/>
      <c r="E51" s="6">
        <v>1</v>
      </c>
      <c r="F51" s="6"/>
      <c r="G51" s="6"/>
      <c r="H51" s="6"/>
      <c r="I51" s="6"/>
      <c r="J51" s="6">
        <f t="shared" si="0"/>
        <v>25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33</v>
      </c>
      <c r="D52" s="6"/>
      <c r="E52" s="6"/>
      <c r="F52" s="6"/>
      <c r="G52" s="6"/>
      <c r="H52" s="6"/>
      <c r="I52" s="6"/>
      <c r="J52" s="6">
        <f t="shared" si="0"/>
        <v>33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35</v>
      </c>
      <c r="D53" s="6"/>
      <c r="E53" s="6"/>
      <c r="F53" s="6"/>
      <c r="G53" s="6"/>
      <c r="H53" s="6"/>
      <c r="I53" s="6">
        <v>1</v>
      </c>
      <c r="J53" s="6">
        <f t="shared" si="0"/>
        <v>34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/>
      <c r="G54" s="6"/>
      <c r="H54" s="6"/>
      <c r="I54" s="6"/>
      <c r="J54" s="6">
        <f t="shared" si="0"/>
        <v>29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62</v>
      </c>
      <c r="D56" s="6"/>
      <c r="E56" s="6"/>
      <c r="F56" s="6"/>
      <c r="G56" s="6"/>
      <c r="H56" s="6"/>
      <c r="I56" s="6"/>
      <c r="J56" s="6">
        <f t="shared" si="0"/>
        <v>62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6">
        <f t="shared" si="0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57</v>
      </c>
      <c r="D58" s="6"/>
      <c r="E58" s="6"/>
      <c r="F58" s="6"/>
      <c r="G58" s="6"/>
      <c r="H58" s="6"/>
      <c r="I58" s="6"/>
      <c r="J58" s="6">
        <f t="shared" si="0"/>
        <v>57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20</v>
      </c>
      <c r="D59" s="6"/>
      <c r="E59" s="6"/>
      <c r="F59" s="6"/>
      <c r="G59" s="6"/>
      <c r="H59" s="6"/>
      <c r="I59" s="6"/>
      <c r="J59" s="6">
        <f t="shared" si="0"/>
        <v>20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67</v>
      </c>
      <c r="D60" s="6"/>
      <c r="E60" s="6">
        <v>1</v>
      </c>
      <c r="F60" s="6">
        <v>2</v>
      </c>
      <c r="G60" s="6"/>
      <c r="H60" s="6">
        <v>1</v>
      </c>
      <c r="I60" s="6"/>
      <c r="J60" s="6">
        <f t="shared" si="0"/>
        <v>63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/>
      <c r="E61" s="6"/>
      <c r="F61" s="6"/>
      <c r="G61" s="6"/>
      <c r="H61" s="6"/>
      <c r="I61" s="6"/>
      <c r="J61" s="6">
        <f t="shared" si="0"/>
        <v>0</v>
      </c>
      <c r="K61" s="13">
        <v>10</v>
      </c>
      <c r="L61" s="14">
        <v>20</v>
      </c>
    </row>
    <row r="62" spans="1:12" x14ac:dyDescent="0.25">
      <c r="A62" s="6">
        <v>60</v>
      </c>
      <c r="B62" s="8" t="s">
        <v>125</v>
      </c>
      <c r="C62" s="6">
        <v>0</v>
      </c>
      <c r="D62" s="6">
        <v>413</v>
      </c>
      <c r="E62" s="6"/>
      <c r="F62" s="6"/>
      <c r="G62" s="6"/>
      <c r="H62" s="6"/>
      <c r="I62" s="6"/>
      <c r="J62" s="6">
        <f t="shared" si="0"/>
        <v>413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11</v>
      </c>
      <c r="D63" s="6"/>
      <c r="E63" s="6"/>
      <c r="F63" s="6"/>
      <c r="G63" s="6"/>
      <c r="H63" s="6"/>
      <c r="I63" s="6"/>
      <c r="J63" s="6">
        <f t="shared" si="0"/>
        <v>11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29</v>
      </c>
      <c r="D64" s="6"/>
      <c r="E64" s="6"/>
      <c r="F64" s="6"/>
      <c r="G64" s="6"/>
      <c r="H64" s="6"/>
      <c r="I64" s="6"/>
      <c r="J64" s="6">
        <f t="shared" si="0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52</v>
      </c>
      <c r="D65" s="6"/>
      <c r="E65" s="6">
        <v>1</v>
      </c>
      <c r="F65" s="6">
        <v>1</v>
      </c>
      <c r="G65" s="6"/>
      <c r="H65" s="6">
        <v>1</v>
      </c>
      <c r="I65" s="6">
        <v>2</v>
      </c>
      <c r="J65" s="6">
        <f t="shared" si="0"/>
        <v>47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60</v>
      </c>
      <c r="D66" s="6">
        <v>123</v>
      </c>
      <c r="E66" s="6"/>
      <c r="F66" s="6"/>
      <c r="G66" s="6"/>
      <c r="H66" s="6"/>
      <c r="I66" s="6">
        <v>1</v>
      </c>
      <c r="J66" s="6">
        <f t="shared" si="0"/>
        <v>182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69</v>
      </c>
      <c r="D67" s="6"/>
      <c r="E67" s="6"/>
      <c r="F67" s="6"/>
      <c r="G67" s="6"/>
      <c r="H67" s="6"/>
      <c r="I67" s="6"/>
      <c r="J67" s="6">
        <f t="shared" si="0"/>
        <v>69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0</v>
      </c>
      <c r="D68" s="6"/>
      <c r="E68" s="6"/>
      <c r="F68" s="6"/>
      <c r="G68" s="6"/>
      <c r="H68" s="6"/>
      <c r="I68" s="6"/>
      <c r="J68" s="6">
        <f t="shared" ref="J68:J78" si="1">+C68-E68-F68-G68-H68-I68+D68</f>
        <v>0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43</v>
      </c>
      <c r="D69" s="6"/>
      <c r="E69" s="6"/>
      <c r="F69" s="6"/>
      <c r="G69" s="6"/>
      <c r="H69" s="6"/>
      <c r="I69" s="6"/>
      <c r="J69" s="6">
        <f t="shared" si="1"/>
        <v>43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48</v>
      </c>
      <c r="D70" s="6"/>
      <c r="E70" s="6">
        <v>1</v>
      </c>
      <c r="F70" s="6">
        <v>1</v>
      </c>
      <c r="G70" s="6"/>
      <c r="H70" s="6"/>
      <c r="I70" s="6"/>
      <c r="J70" s="6">
        <f t="shared" si="1"/>
        <v>46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14</v>
      </c>
      <c r="D71" s="6"/>
      <c r="E71" s="6"/>
      <c r="F71" s="6"/>
      <c r="G71" s="6"/>
      <c r="H71" s="6"/>
      <c r="I71" s="6"/>
      <c r="J71" s="6">
        <f t="shared" si="1"/>
        <v>14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30</v>
      </c>
      <c r="D72" s="6"/>
      <c r="E72" s="6"/>
      <c r="F72" s="6"/>
      <c r="G72" s="6"/>
      <c r="H72" s="6"/>
      <c r="I72" s="6"/>
      <c r="J72" s="6">
        <f t="shared" si="1"/>
        <v>30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10</v>
      </c>
      <c r="D73" s="6"/>
      <c r="E73" s="6"/>
      <c r="F73" s="6"/>
      <c r="G73" s="6"/>
      <c r="H73" s="6"/>
      <c r="I73" s="6"/>
      <c r="J73" s="6">
        <f t="shared" si="1"/>
        <v>10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147</v>
      </c>
      <c r="D74" s="6">
        <v>104</v>
      </c>
      <c r="E74" s="6">
        <v>3</v>
      </c>
      <c r="F74" s="6">
        <v>4</v>
      </c>
      <c r="G74" s="6">
        <v>14</v>
      </c>
      <c r="H74" s="6">
        <v>3</v>
      </c>
      <c r="I74" s="6">
        <v>8</v>
      </c>
      <c r="J74" s="6">
        <f t="shared" si="1"/>
        <v>219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116</v>
      </c>
      <c r="D75" s="6"/>
      <c r="E75" s="6"/>
      <c r="F75" s="6"/>
      <c r="G75" s="6">
        <v>12</v>
      </c>
      <c r="H75" s="6"/>
      <c r="I75" s="6">
        <v>2</v>
      </c>
      <c r="J75" s="6">
        <f t="shared" si="1"/>
        <v>102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64</v>
      </c>
      <c r="D76" s="6"/>
      <c r="E76" s="6"/>
      <c r="F76" s="6">
        <v>2</v>
      </c>
      <c r="G76" s="6">
        <v>2</v>
      </c>
      <c r="H76" s="6"/>
      <c r="I76" s="6">
        <v>2</v>
      </c>
      <c r="J76" s="6">
        <f t="shared" si="1"/>
        <v>58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46</v>
      </c>
      <c r="D77" s="6"/>
      <c r="E77" s="6"/>
      <c r="F77" s="6"/>
      <c r="G77" s="6"/>
      <c r="H77" s="6"/>
      <c r="I77" s="6">
        <v>3</v>
      </c>
      <c r="J77" s="6">
        <f t="shared" si="1"/>
        <v>43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124</v>
      </c>
      <c r="C78" s="6">
        <v>25</v>
      </c>
      <c r="D78" s="6"/>
      <c r="E78" s="6"/>
      <c r="F78" s="6"/>
      <c r="G78" s="6"/>
      <c r="H78" s="6"/>
      <c r="I78" s="6">
        <v>1</v>
      </c>
      <c r="J78" s="6">
        <f t="shared" si="1"/>
        <v>24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78"/>
  <sheetViews>
    <sheetView topLeftCell="A15" zoomScaleNormal="100" workbookViewId="0">
      <selection activeCell="I22" sqref="I22"/>
    </sheetView>
  </sheetViews>
  <sheetFormatPr defaultRowHeight="15" x14ac:dyDescent="0.25"/>
  <cols>
    <col min="1" max="1" width="5.7109375" customWidth="1"/>
    <col min="2" max="2" width="30.5703125" customWidth="1"/>
    <col min="3" max="4" width="11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45505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45509</v>
      </c>
      <c r="F2" s="4">
        <v>45516</v>
      </c>
      <c r="G2" s="4">
        <v>45527</v>
      </c>
      <c r="H2" s="4">
        <v>45530</v>
      </c>
      <c r="I2" s="4">
        <v>45534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/>
      <c r="E3" s="6"/>
      <c r="F3" s="6"/>
      <c r="G3" s="6"/>
      <c r="H3" s="6"/>
      <c r="I3" s="6"/>
      <c r="J3" s="16">
        <f t="shared" ref="J3:J34" si="0"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73</v>
      </c>
      <c r="D4" s="6"/>
      <c r="E4" s="6">
        <v>8</v>
      </c>
      <c r="F4" s="6">
        <v>1</v>
      </c>
      <c r="G4" s="6">
        <v>1</v>
      </c>
      <c r="H4" s="6">
        <v>3</v>
      </c>
      <c r="I4" s="6">
        <v>12</v>
      </c>
      <c r="J4" s="16">
        <f t="shared" si="0"/>
        <v>48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</v>
      </c>
      <c r="D5" s="6"/>
      <c r="E5" s="6"/>
      <c r="F5" s="6"/>
      <c r="G5" s="6"/>
      <c r="H5" s="6"/>
      <c r="I5" s="6"/>
      <c r="J5" s="1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82</v>
      </c>
      <c r="D6" s="6"/>
      <c r="E6" s="6"/>
      <c r="F6" s="6">
        <v>11</v>
      </c>
      <c r="G6" s="6"/>
      <c r="H6" s="6"/>
      <c r="I6" s="6"/>
      <c r="J6" s="16">
        <f t="shared" si="0"/>
        <v>71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104</v>
      </c>
      <c r="D7" s="6"/>
      <c r="E7" s="6">
        <v>2</v>
      </c>
      <c r="F7" s="6">
        <v>3</v>
      </c>
      <c r="G7" s="6">
        <v>2</v>
      </c>
      <c r="H7" s="6">
        <v>3</v>
      </c>
      <c r="I7" s="6"/>
      <c r="J7" s="16">
        <f t="shared" si="0"/>
        <v>94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36</v>
      </c>
      <c r="D8" s="6"/>
      <c r="E8" s="6"/>
      <c r="F8" s="6"/>
      <c r="G8" s="6"/>
      <c r="H8" s="6"/>
      <c r="I8" s="6"/>
      <c r="J8" s="16">
        <f t="shared" si="0"/>
        <v>36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34</v>
      </c>
      <c r="D9" s="6"/>
      <c r="E9" s="6"/>
      <c r="F9" s="6"/>
      <c r="G9" s="6"/>
      <c r="H9" s="6"/>
      <c r="I9" s="6"/>
      <c r="J9" s="16">
        <f t="shared" si="0"/>
        <v>34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8</v>
      </c>
      <c r="D10" s="6"/>
      <c r="E10" s="6"/>
      <c r="F10" s="6"/>
      <c r="G10" s="6"/>
      <c r="H10" s="6"/>
      <c r="I10" s="6"/>
      <c r="J10" s="16">
        <f t="shared" si="0"/>
        <v>8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274</v>
      </c>
      <c r="D11" s="6"/>
      <c r="E11" s="6"/>
      <c r="F11" s="6"/>
      <c r="G11" s="6"/>
      <c r="H11" s="6"/>
      <c r="I11" s="6"/>
      <c r="J11" s="16">
        <f t="shared" si="0"/>
        <v>274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194</v>
      </c>
      <c r="D12" s="6"/>
      <c r="E12" s="6"/>
      <c r="F12" s="6"/>
      <c r="G12" s="6"/>
      <c r="H12" s="6">
        <v>12</v>
      </c>
      <c r="I12" s="6"/>
      <c r="J12" s="16">
        <f t="shared" si="0"/>
        <v>182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68</v>
      </c>
      <c r="D13" s="6"/>
      <c r="E13" s="6"/>
      <c r="F13" s="6"/>
      <c r="G13" s="6"/>
      <c r="H13" s="6"/>
      <c r="I13" s="6"/>
      <c r="J13" s="16">
        <f t="shared" si="0"/>
        <v>68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73</v>
      </c>
      <c r="D14" s="6"/>
      <c r="E14" s="6"/>
      <c r="F14" s="6"/>
      <c r="G14" s="6"/>
      <c r="H14" s="6"/>
      <c r="I14" s="6"/>
      <c r="J14" s="16">
        <f t="shared" si="0"/>
        <v>73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6</v>
      </c>
      <c r="D15" s="6"/>
      <c r="E15" s="6">
        <v>1</v>
      </c>
      <c r="F15" s="6"/>
      <c r="G15" s="6">
        <v>5</v>
      </c>
      <c r="H15" s="6"/>
      <c r="I15" s="6"/>
      <c r="J15" s="16">
        <f t="shared" si="0"/>
        <v>0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4</v>
      </c>
      <c r="D16" s="6"/>
      <c r="E16" s="6"/>
      <c r="F16" s="6"/>
      <c r="G16" s="6">
        <v>3</v>
      </c>
      <c r="H16" s="6"/>
      <c r="I16" s="6"/>
      <c r="J16" s="16">
        <f t="shared" si="0"/>
        <v>1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27</v>
      </c>
      <c r="D17" s="6">
        <v>37</v>
      </c>
      <c r="E17" s="6"/>
      <c r="F17" s="6">
        <v>2</v>
      </c>
      <c r="G17" s="6">
        <v>13</v>
      </c>
      <c r="H17" s="6">
        <v>12</v>
      </c>
      <c r="I17" s="6">
        <v>1</v>
      </c>
      <c r="J17" s="16">
        <f t="shared" si="0"/>
        <v>36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166</v>
      </c>
      <c r="D18" s="6">
        <v>6</v>
      </c>
      <c r="E18" s="6"/>
      <c r="F18" s="6">
        <v>81</v>
      </c>
      <c r="G18" s="6">
        <v>91</v>
      </c>
      <c r="H18" s="6"/>
      <c r="I18" s="6"/>
      <c r="J18" s="16">
        <f t="shared" si="0"/>
        <v>0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94</v>
      </c>
      <c r="D19" s="6"/>
      <c r="E19" s="6"/>
      <c r="F19" s="6">
        <v>8</v>
      </c>
      <c r="G19" s="6"/>
      <c r="H19" s="6"/>
      <c r="I19" s="6"/>
      <c r="J19" s="16">
        <f t="shared" si="0"/>
        <v>86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52</v>
      </c>
      <c r="D20" s="6"/>
      <c r="E20" s="6"/>
      <c r="F20" s="6">
        <v>1</v>
      </c>
      <c r="G20" s="6"/>
      <c r="H20" s="6"/>
      <c r="I20" s="6"/>
      <c r="J20" s="16">
        <f t="shared" si="0"/>
        <v>51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132</v>
      </c>
      <c r="D21" s="6"/>
      <c r="E21" s="6">
        <v>2</v>
      </c>
      <c r="F21" s="6"/>
      <c r="G21" s="6"/>
      <c r="H21" s="6"/>
      <c r="I21" s="6">
        <v>1</v>
      </c>
      <c r="J21" s="16">
        <f t="shared" si="0"/>
        <v>129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18</v>
      </c>
      <c r="D22" s="6">
        <v>7</v>
      </c>
      <c r="E22" s="6"/>
      <c r="F22" s="6"/>
      <c r="G22" s="6"/>
      <c r="H22" s="6">
        <v>4</v>
      </c>
      <c r="I22" s="6"/>
      <c r="J22" s="16">
        <f t="shared" si="0"/>
        <v>21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1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34</v>
      </c>
      <c r="D24" s="6"/>
      <c r="E24" s="6"/>
      <c r="F24" s="6"/>
      <c r="G24" s="6"/>
      <c r="H24" s="6"/>
      <c r="I24" s="6"/>
      <c r="J24" s="16">
        <f t="shared" si="0"/>
        <v>34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5</v>
      </c>
      <c r="D25" s="6"/>
      <c r="E25" s="6"/>
      <c r="F25" s="6"/>
      <c r="G25" s="6"/>
      <c r="H25" s="6"/>
      <c r="I25" s="6"/>
      <c r="J25" s="1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394</v>
      </c>
      <c r="D26" s="6"/>
      <c r="E26" s="6"/>
      <c r="F26" s="6"/>
      <c r="G26" s="6"/>
      <c r="H26" s="6"/>
      <c r="I26" s="6"/>
      <c r="J26" s="16">
        <f t="shared" si="0"/>
        <v>394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1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126</v>
      </c>
      <c r="C28" s="6">
        <v>0</v>
      </c>
      <c r="D28" s="6">
        <v>666</v>
      </c>
      <c r="E28" s="6"/>
      <c r="F28" s="6"/>
      <c r="G28" s="6"/>
      <c r="H28" s="6"/>
      <c r="I28" s="6"/>
      <c r="J28" s="16">
        <f t="shared" si="0"/>
        <v>666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127</v>
      </c>
      <c r="C30" s="6">
        <v>0</v>
      </c>
      <c r="D30" s="6">
        <v>202</v>
      </c>
      <c r="E30" s="6"/>
      <c r="F30" s="6"/>
      <c r="G30" s="6"/>
      <c r="H30" s="6"/>
      <c r="I30" s="6"/>
      <c r="J30" s="16">
        <f t="shared" si="0"/>
        <v>202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>
        <v>226</v>
      </c>
      <c r="E31" s="6"/>
      <c r="F31" s="6"/>
      <c r="G31" s="6"/>
      <c r="H31" s="6"/>
      <c r="I31" s="6"/>
      <c r="J31" s="16">
        <f t="shared" si="0"/>
        <v>226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306</v>
      </c>
      <c r="D32" s="6"/>
      <c r="E32" s="6"/>
      <c r="F32" s="6"/>
      <c r="G32" s="6"/>
      <c r="H32" s="6"/>
      <c r="I32" s="6"/>
      <c r="J32" s="16">
        <f t="shared" si="0"/>
        <v>306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24</v>
      </c>
      <c r="D33" s="6"/>
      <c r="E33" s="6"/>
      <c r="F33" s="6"/>
      <c r="G33" s="6">
        <v>2</v>
      </c>
      <c r="H33" s="6"/>
      <c r="I33" s="6"/>
      <c r="J33" s="16">
        <f t="shared" si="0"/>
        <v>22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17</v>
      </c>
      <c r="D34" s="6"/>
      <c r="E34" s="6"/>
      <c r="F34" s="6"/>
      <c r="G34" s="6">
        <v>4</v>
      </c>
      <c r="H34" s="6"/>
      <c r="I34" s="6"/>
      <c r="J34" s="16">
        <f t="shared" si="0"/>
        <v>13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16">
        <f t="shared" ref="J35:J66" si="1">+C35-E35-F35-G35-H35-I35+D35</f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16">
        <f t="shared" si="1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69</v>
      </c>
      <c r="D37" s="6"/>
      <c r="E37" s="6"/>
      <c r="F37" s="6"/>
      <c r="G37" s="6"/>
      <c r="H37" s="6"/>
      <c r="I37" s="6"/>
      <c r="J37" s="16">
        <f t="shared" si="1"/>
        <v>69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16">
        <f t="shared" si="1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34</v>
      </c>
      <c r="D39" s="6"/>
      <c r="E39" s="6"/>
      <c r="F39" s="6"/>
      <c r="G39" s="6"/>
      <c r="H39" s="6"/>
      <c r="I39" s="6"/>
      <c r="J39" s="16">
        <f t="shared" si="1"/>
        <v>34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63</v>
      </c>
      <c r="D40" s="6"/>
      <c r="E40" s="6"/>
      <c r="F40" s="6"/>
      <c r="G40" s="6"/>
      <c r="H40" s="6"/>
      <c r="I40" s="6"/>
      <c r="J40" s="16">
        <f t="shared" si="1"/>
        <v>63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73</v>
      </c>
      <c r="D41" s="6"/>
      <c r="E41" s="6"/>
      <c r="F41" s="6"/>
      <c r="G41" s="6"/>
      <c r="H41" s="6"/>
      <c r="I41" s="6"/>
      <c r="J41" s="16">
        <f t="shared" si="1"/>
        <v>73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36</v>
      </c>
      <c r="D42" s="6">
        <v>60</v>
      </c>
      <c r="E42" s="6">
        <v>1</v>
      </c>
      <c r="F42" s="6"/>
      <c r="G42" s="6"/>
      <c r="H42" s="6"/>
      <c r="I42" s="6"/>
      <c r="J42" s="16">
        <f t="shared" si="1"/>
        <v>95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345</v>
      </c>
      <c r="D43" s="6"/>
      <c r="E43" s="6">
        <v>6</v>
      </c>
      <c r="F43" s="6">
        <v>12</v>
      </c>
      <c r="G43" s="6"/>
      <c r="H43" s="6">
        <v>7</v>
      </c>
      <c r="I43" s="6">
        <v>6</v>
      </c>
      <c r="J43" s="16">
        <f t="shared" si="1"/>
        <v>314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55</v>
      </c>
      <c r="D44" s="6"/>
      <c r="E44" s="6"/>
      <c r="F44" s="6"/>
      <c r="G44" s="6"/>
      <c r="H44" s="6"/>
      <c r="I44" s="6"/>
      <c r="J44" s="16">
        <f t="shared" si="1"/>
        <v>55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16">
        <f t="shared" si="1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28</v>
      </c>
      <c r="D46" s="6"/>
      <c r="E46" s="6"/>
      <c r="F46" s="6"/>
      <c r="G46" s="6"/>
      <c r="H46" s="6"/>
      <c r="I46" s="6"/>
      <c r="J46" s="16">
        <f t="shared" si="1"/>
        <v>28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34</v>
      </c>
      <c r="D47" s="6">
        <v>0</v>
      </c>
      <c r="E47" s="6"/>
      <c r="F47" s="6"/>
      <c r="G47" s="6"/>
      <c r="H47" s="6"/>
      <c r="I47" s="6"/>
      <c r="J47" s="16">
        <f t="shared" si="1"/>
        <v>34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16">
        <f t="shared" si="1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307</v>
      </c>
      <c r="D49" s="6"/>
      <c r="E49" s="6"/>
      <c r="F49" s="6"/>
      <c r="G49" s="6"/>
      <c r="H49" s="6"/>
      <c r="I49" s="6"/>
      <c r="J49" s="16">
        <f t="shared" si="1"/>
        <v>307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125</v>
      </c>
      <c r="D50" s="6">
        <v>122</v>
      </c>
      <c r="E50" s="6">
        <v>5</v>
      </c>
      <c r="F50" s="6">
        <v>1</v>
      </c>
      <c r="G50" s="6"/>
      <c r="H50" s="6"/>
      <c r="I50" s="6"/>
      <c r="J50" s="16">
        <f t="shared" si="1"/>
        <v>241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25</v>
      </c>
      <c r="D51" s="6">
        <v>40</v>
      </c>
      <c r="E51" s="6">
        <v>1</v>
      </c>
      <c r="F51" s="6">
        <v>1</v>
      </c>
      <c r="G51" s="6"/>
      <c r="H51" s="6"/>
      <c r="I51" s="6"/>
      <c r="J51" s="16">
        <f t="shared" si="1"/>
        <v>63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33</v>
      </c>
      <c r="D52" s="6"/>
      <c r="E52" s="6">
        <v>4</v>
      </c>
      <c r="F52" s="6"/>
      <c r="G52" s="6"/>
      <c r="H52" s="6"/>
      <c r="I52" s="6"/>
      <c r="J52" s="16">
        <f t="shared" si="1"/>
        <v>29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34</v>
      </c>
      <c r="D53" s="6">
        <v>94</v>
      </c>
      <c r="E53" s="6"/>
      <c r="F53" s="6">
        <v>1</v>
      </c>
      <c r="G53" s="6"/>
      <c r="H53" s="6"/>
      <c r="I53" s="6"/>
      <c r="J53" s="16">
        <f t="shared" si="1"/>
        <v>127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29</v>
      </c>
      <c r="D54" s="6"/>
      <c r="E54" s="6"/>
      <c r="F54" s="6">
        <v>3</v>
      </c>
      <c r="G54" s="6"/>
      <c r="H54" s="6"/>
      <c r="I54" s="6"/>
      <c r="J54" s="16">
        <f t="shared" si="1"/>
        <v>26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16">
        <f t="shared" si="1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62</v>
      </c>
      <c r="D56" s="6"/>
      <c r="E56" s="6"/>
      <c r="F56" s="6"/>
      <c r="G56" s="6"/>
      <c r="H56" s="6"/>
      <c r="I56" s="6"/>
      <c r="J56" s="16">
        <f t="shared" si="1"/>
        <v>62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16">
        <f t="shared" si="1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57</v>
      </c>
      <c r="D58" s="6"/>
      <c r="E58" s="6"/>
      <c r="F58" s="6">
        <v>1</v>
      </c>
      <c r="G58" s="6">
        <v>1</v>
      </c>
      <c r="H58" s="6"/>
      <c r="I58" s="6"/>
      <c r="J58" s="16">
        <f t="shared" si="1"/>
        <v>55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20</v>
      </c>
      <c r="D59" s="6"/>
      <c r="E59" s="6"/>
      <c r="F59" s="6"/>
      <c r="G59" s="6"/>
      <c r="H59" s="6"/>
      <c r="I59" s="6"/>
      <c r="J59" s="16">
        <f t="shared" si="1"/>
        <v>20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63</v>
      </c>
      <c r="D60" s="6"/>
      <c r="E60" s="6"/>
      <c r="F60" s="6"/>
      <c r="G60" s="6">
        <v>1</v>
      </c>
      <c r="H60" s="6"/>
      <c r="I60" s="6"/>
      <c r="J60" s="16">
        <f t="shared" si="1"/>
        <v>62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/>
      <c r="E61" s="6"/>
      <c r="F61" s="6"/>
      <c r="G61" s="6"/>
      <c r="H61" s="6"/>
      <c r="I61" s="6"/>
      <c r="J61" s="16">
        <f t="shared" si="1"/>
        <v>0</v>
      </c>
      <c r="K61" s="13">
        <v>10</v>
      </c>
      <c r="L61" s="14">
        <v>20</v>
      </c>
    </row>
    <row r="62" spans="1:12" x14ac:dyDescent="0.25">
      <c r="A62" s="6">
        <v>60</v>
      </c>
      <c r="B62" s="17" t="s">
        <v>125</v>
      </c>
      <c r="C62" s="6">
        <v>327</v>
      </c>
      <c r="D62" s="6">
        <v>256</v>
      </c>
      <c r="E62" s="6">
        <v>112</v>
      </c>
      <c r="F62" s="6">
        <v>102</v>
      </c>
      <c r="G62" s="6">
        <v>102</v>
      </c>
      <c r="H62" s="6">
        <v>43</v>
      </c>
      <c r="I62" s="6">
        <v>150</v>
      </c>
      <c r="J62" s="16">
        <f t="shared" si="1"/>
        <v>74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11</v>
      </c>
      <c r="D63" s="6"/>
      <c r="E63" s="6"/>
      <c r="F63" s="6"/>
      <c r="G63" s="6"/>
      <c r="H63" s="6"/>
      <c r="I63" s="6"/>
      <c r="J63" s="16">
        <f t="shared" si="1"/>
        <v>11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29</v>
      </c>
      <c r="D64" s="6"/>
      <c r="E64" s="6"/>
      <c r="F64" s="6"/>
      <c r="G64" s="6"/>
      <c r="H64" s="6"/>
      <c r="I64" s="6"/>
      <c r="J64" s="16">
        <f t="shared" si="1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47</v>
      </c>
      <c r="D65" s="6"/>
      <c r="E65" s="6">
        <v>1</v>
      </c>
      <c r="F65" s="6"/>
      <c r="G65" s="6">
        <v>3</v>
      </c>
      <c r="H65" s="6"/>
      <c r="I65" s="6">
        <v>1</v>
      </c>
      <c r="J65" s="16">
        <f t="shared" si="1"/>
        <v>42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104</v>
      </c>
      <c r="D66" s="6">
        <v>78</v>
      </c>
      <c r="E66" s="6"/>
      <c r="F66" s="6"/>
      <c r="G66" s="6">
        <v>4</v>
      </c>
      <c r="H66" s="6"/>
      <c r="I66" s="6">
        <v>3</v>
      </c>
      <c r="J66" s="16">
        <f t="shared" si="1"/>
        <v>175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69</v>
      </c>
      <c r="D67" s="6"/>
      <c r="E67" s="6"/>
      <c r="F67" s="6"/>
      <c r="G67" s="6"/>
      <c r="H67" s="6"/>
      <c r="I67" s="6">
        <v>2</v>
      </c>
      <c r="J67" s="16">
        <f t="shared" ref="J67:J78" si="2">+C67-E67-F67-G67-H67-I67+D67</f>
        <v>67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0</v>
      </c>
      <c r="D68" s="6"/>
      <c r="E68" s="6"/>
      <c r="F68" s="6"/>
      <c r="G68" s="6"/>
      <c r="H68" s="6"/>
      <c r="I68" s="6"/>
      <c r="J68" s="16">
        <f t="shared" si="2"/>
        <v>0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43</v>
      </c>
      <c r="D69" s="6"/>
      <c r="E69" s="6"/>
      <c r="F69" s="6"/>
      <c r="G69" s="6"/>
      <c r="H69" s="6"/>
      <c r="I69" s="6"/>
      <c r="J69" s="16">
        <f t="shared" si="2"/>
        <v>43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46</v>
      </c>
      <c r="D70" s="6"/>
      <c r="E70" s="6"/>
      <c r="F70" s="6"/>
      <c r="G70" s="6"/>
      <c r="H70" s="6"/>
      <c r="I70" s="6"/>
      <c r="J70" s="16">
        <f t="shared" si="2"/>
        <v>46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14</v>
      </c>
      <c r="D71" s="6"/>
      <c r="E71" s="6"/>
      <c r="F71" s="6"/>
      <c r="G71" s="6"/>
      <c r="H71" s="6"/>
      <c r="I71" s="6"/>
      <c r="J71" s="16">
        <f t="shared" si="2"/>
        <v>14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30</v>
      </c>
      <c r="D72" s="6"/>
      <c r="E72" s="6"/>
      <c r="F72" s="6"/>
      <c r="G72" s="6"/>
      <c r="H72" s="6"/>
      <c r="I72" s="6"/>
      <c r="J72" s="16">
        <f t="shared" si="2"/>
        <v>30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10</v>
      </c>
      <c r="D73" s="6"/>
      <c r="E73" s="6"/>
      <c r="F73" s="6"/>
      <c r="G73" s="6"/>
      <c r="H73" s="6"/>
      <c r="I73" s="6"/>
      <c r="J73" s="16">
        <f t="shared" si="2"/>
        <v>10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219</v>
      </c>
      <c r="D74" s="6"/>
      <c r="E74" s="6">
        <v>4</v>
      </c>
      <c r="F74" s="6">
        <v>4</v>
      </c>
      <c r="G74" s="6">
        <v>32</v>
      </c>
      <c r="H74" s="6"/>
      <c r="I74" s="6">
        <v>7</v>
      </c>
      <c r="J74" s="16">
        <f t="shared" si="2"/>
        <v>172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102</v>
      </c>
      <c r="D75" s="6">
        <v>58</v>
      </c>
      <c r="E75" s="6"/>
      <c r="F75" s="6"/>
      <c r="G75" s="6">
        <v>15</v>
      </c>
      <c r="H75" s="6">
        <v>1</v>
      </c>
      <c r="I75" s="6"/>
      <c r="J75" s="16">
        <f t="shared" si="2"/>
        <v>144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58</v>
      </c>
      <c r="D76" s="6"/>
      <c r="E76" s="6"/>
      <c r="F76" s="6">
        <v>1</v>
      </c>
      <c r="G76" s="6"/>
      <c r="H76" s="6">
        <v>1</v>
      </c>
      <c r="I76" s="6">
        <v>3</v>
      </c>
      <c r="J76" s="16">
        <f t="shared" si="2"/>
        <v>53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43</v>
      </c>
      <c r="D77" s="6">
        <v>11</v>
      </c>
      <c r="E77" s="6"/>
      <c r="F77" s="6"/>
      <c r="G77" s="6"/>
      <c r="H77" s="6"/>
      <c r="I77" s="6"/>
      <c r="J77" s="16">
        <f t="shared" si="2"/>
        <v>54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124</v>
      </c>
      <c r="C78" s="6">
        <v>24</v>
      </c>
      <c r="D78" s="6"/>
      <c r="E78" s="6"/>
      <c r="F78" s="6"/>
      <c r="G78" s="6"/>
      <c r="H78" s="6"/>
      <c r="I78" s="6"/>
      <c r="J78" s="16">
        <f t="shared" si="2"/>
        <v>24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78"/>
  <sheetViews>
    <sheetView topLeftCell="A12" zoomScaleNormal="100" workbookViewId="0">
      <selection activeCell="I27" sqref="I27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45536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45541</v>
      </c>
      <c r="F2" s="4">
        <v>45548</v>
      </c>
      <c r="G2" s="4">
        <v>45555</v>
      </c>
      <c r="H2" s="4">
        <v>45562</v>
      </c>
      <c r="I2" s="4">
        <v>45565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/>
      <c r="E3" s="6"/>
      <c r="F3" s="6"/>
      <c r="G3" s="6"/>
      <c r="H3" s="6"/>
      <c r="I3" s="6"/>
      <c r="J3" s="16">
        <f t="shared" ref="J3:J66" si="0"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48</v>
      </c>
      <c r="D4" s="6"/>
      <c r="E4" s="6"/>
      <c r="F4" s="6"/>
      <c r="G4" s="6"/>
      <c r="H4" s="6"/>
      <c r="I4" s="6"/>
      <c r="J4" s="16">
        <f t="shared" si="0"/>
        <v>48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</v>
      </c>
      <c r="D5" s="6"/>
      <c r="E5" s="6"/>
      <c r="F5" s="6"/>
      <c r="G5" s="6"/>
      <c r="H5" s="6"/>
      <c r="I5" s="6"/>
      <c r="J5" s="1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71</v>
      </c>
      <c r="D6" s="6"/>
      <c r="E6" s="6"/>
      <c r="F6" s="6"/>
      <c r="G6" s="6">
        <v>2</v>
      </c>
      <c r="H6" s="6"/>
      <c r="I6" s="6">
        <v>2</v>
      </c>
      <c r="J6" s="16">
        <f t="shared" si="0"/>
        <v>67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94</v>
      </c>
      <c r="D7" s="6"/>
      <c r="E7" s="6"/>
      <c r="F7" s="6"/>
      <c r="G7" s="6">
        <v>13</v>
      </c>
      <c r="H7" s="6"/>
      <c r="I7" s="6"/>
      <c r="J7" s="16">
        <f t="shared" si="0"/>
        <v>81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36</v>
      </c>
      <c r="D8" s="6"/>
      <c r="E8" s="6"/>
      <c r="F8" s="6"/>
      <c r="G8" s="6">
        <v>0</v>
      </c>
      <c r="H8" s="6">
        <v>15</v>
      </c>
      <c r="I8" s="6">
        <v>6</v>
      </c>
      <c r="J8" s="16">
        <f t="shared" si="0"/>
        <v>15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34</v>
      </c>
      <c r="D9" s="6"/>
      <c r="E9" s="6"/>
      <c r="F9" s="6"/>
      <c r="G9" s="6"/>
      <c r="H9" s="6">
        <v>2</v>
      </c>
      <c r="I9" s="6">
        <v>2</v>
      </c>
      <c r="J9" s="16">
        <f t="shared" si="0"/>
        <v>30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8</v>
      </c>
      <c r="D10" s="6">
        <v>3</v>
      </c>
      <c r="E10" s="6"/>
      <c r="F10" s="6"/>
      <c r="G10" s="6"/>
      <c r="H10" s="6"/>
      <c r="I10" s="6"/>
      <c r="J10" s="16">
        <f t="shared" si="0"/>
        <v>11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274</v>
      </c>
      <c r="D11" s="6"/>
      <c r="E11" s="6"/>
      <c r="F11" s="6"/>
      <c r="G11" s="6"/>
      <c r="H11" s="6">
        <v>3</v>
      </c>
      <c r="I11" s="6"/>
      <c r="J11" s="16">
        <f t="shared" si="0"/>
        <v>271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182</v>
      </c>
      <c r="D12" s="6"/>
      <c r="E12" s="6"/>
      <c r="F12" s="6"/>
      <c r="G12" s="6"/>
      <c r="H12" s="6"/>
      <c r="I12" s="6"/>
      <c r="J12" s="16">
        <f t="shared" si="0"/>
        <v>182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68</v>
      </c>
      <c r="D13" s="6"/>
      <c r="E13" s="6"/>
      <c r="F13" s="6"/>
      <c r="G13" s="6"/>
      <c r="H13" s="6"/>
      <c r="I13" s="6"/>
      <c r="J13" s="16">
        <f t="shared" si="0"/>
        <v>68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73</v>
      </c>
      <c r="D14" s="6"/>
      <c r="E14" s="6"/>
      <c r="F14" s="6"/>
      <c r="G14" s="6"/>
      <c r="H14" s="6"/>
      <c r="I14" s="6"/>
      <c r="J14" s="16">
        <f t="shared" si="0"/>
        <v>73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0</v>
      </c>
      <c r="D15" s="6">
        <v>25</v>
      </c>
      <c r="E15" s="6"/>
      <c r="F15" s="6"/>
      <c r="G15" s="6"/>
      <c r="H15" s="6"/>
      <c r="I15" s="6"/>
      <c r="J15" s="16">
        <f t="shared" si="0"/>
        <v>25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</v>
      </c>
      <c r="D16" s="6">
        <v>24</v>
      </c>
      <c r="E16" s="6"/>
      <c r="F16" s="6"/>
      <c r="G16" s="6"/>
      <c r="H16" s="6"/>
      <c r="I16" s="6"/>
      <c r="J16" s="16">
        <f t="shared" si="0"/>
        <v>25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98</v>
      </c>
      <c r="C17" s="6">
        <v>36</v>
      </c>
      <c r="D17" s="6">
        <v>120</v>
      </c>
      <c r="E17" s="6">
        <v>2</v>
      </c>
      <c r="F17" s="6"/>
      <c r="G17" s="6">
        <v>5</v>
      </c>
      <c r="H17" s="6">
        <v>8</v>
      </c>
      <c r="I17" s="6">
        <v>45</v>
      </c>
      <c r="J17" s="16">
        <f t="shared" si="0"/>
        <v>96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0</v>
      </c>
      <c r="D18" s="6">
        <v>859</v>
      </c>
      <c r="E18" s="6"/>
      <c r="F18" s="6">
        <v>106</v>
      </c>
      <c r="G18" s="6">
        <v>158</v>
      </c>
      <c r="H18" s="6">
        <v>70</v>
      </c>
      <c r="I18" s="6">
        <v>82</v>
      </c>
      <c r="J18" s="16">
        <f t="shared" si="0"/>
        <v>443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86</v>
      </c>
      <c r="D19" s="6"/>
      <c r="E19" s="6"/>
      <c r="F19" s="6"/>
      <c r="G19" s="6"/>
      <c r="H19" s="6"/>
      <c r="I19" s="6"/>
      <c r="J19" s="16">
        <f t="shared" si="0"/>
        <v>86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51</v>
      </c>
      <c r="D20" s="6"/>
      <c r="E20" s="6"/>
      <c r="F20" s="6"/>
      <c r="G20" s="6"/>
      <c r="H20" s="6"/>
      <c r="I20" s="6"/>
      <c r="J20" s="16">
        <f t="shared" si="0"/>
        <v>51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129</v>
      </c>
      <c r="D21" s="6"/>
      <c r="E21" s="6"/>
      <c r="F21" s="6"/>
      <c r="G21" s="6"/>
      <c r="H21" s="6"/>
      <c r="I21" s="6"/>
      <c r="J21" s="16">
        <f t="shared" si="0"/>
        <v>129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21</v>
      </c>
      <c r="D22" s="6"/>
      <c r="E22" s="6"/>
      <c r="F22" s="6"/>
      <c r="G22" s="6"/>
      <c r="H22" s="6"/>
      <c r="I22" s="6"/>
      <c r="J22" s="16">
        <f t="shared" si="0"/>
        <v>21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1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34</v>
      </c>
      <c r="D24" s="6"/>
      <c r="E24" s="6"/>
      <c r="F24" s="6"/>
      <c r="G24" s="6"/>
      <c r="H24" s="6"/>
      <c r="I24" s="6"/>
      <c r="J24" s="16">
        <f t="shared" si="0"/>
        <v>34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5</v>
      </c>
      <c r="D25" s="6"/>
      <c r="E25" s="6"/>
      <c r="F25" s="6"/>
      <c r="G25" s="6"/>
      <c r="H25" s="6"/>
      <c r="I25" s="6"/>
      <c r="J25" s="1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394</v>
      </c>
      <c r="D26" s="6"/>
      <c r="E26" s="6"/>
      <c r="F26" s="6"/>
      <c r="G26" s="6"/>
      <c r="H26" s="6"/>
      <c r="I26" s="6"/>
      <c r="J26" s="16">
        <f t="shared" si="0"/>
        <v>394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1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126</v>
      </c>
      <c r="C28" s="6">
        <v>666</v>
      </c>
      <c r="D28" s="6">
        <v>1222</v>
      </c>
      <c r="E28" s="6"/>
      <c r="F28" s="6"/>
      <c r="G28" s="6"/>
      <c r="H28" s="6"/>
      <c r="I28" s="6"/>
      <c r="J28" s="16">
        <f t="shared" si="0"/>
        <v>1888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127</v>
      </c>
      <c r="C30" s="6">
        <v>202</v>
      </c>
      <c r="D30" s="6">
        <v>1987</v>
      </c>
      <c r="E30" s="6"/>
      <c r="F30" s="6"/>
      <c r="G30" s="6"/>
      <c r="H30" s="6"/>
      <c r="I30" s="6"/>
      <c r="J30" s="16">
        <f t="shared" si="0"/>
        <v>2189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226</v>
      </c>
      <c r="D31" s="6"/>
      <c r="E31" s="6"/>
      <c r="F31" s="6"/>
      <c r="G31" s="6"/>
      <c r="H31" s="6"/>
      <c r="I31" s="6"/>
      <c r="J31" s="16">
        <f t="shared" si="0"/>
        <v>226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306</v>
      </c>
      <c r="D32" s="6">
        <v>301</v>
      </c>
      <c r="E32" s="6">
        <v>180</v>
      </c>
      <c r="F32" s="6"/>
      <c r="G32" s="6"/>
      <c r="H32" s="6"/>
      <c r="I32" s="6"/>
      <c r="J32" s="16">
        <f t="shared" si="0"/>
        <v>427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22</v>
      </c>
      <c r="D33" s="6">
        <v>27</v>
      </c>
      <c r="E33" s="6"/>
      <c r="F33" s="6"/>
      <c r="G33" s="6"/>
      <c r="H33" s="6"/>
      <c r="I33" s="6"/>
      <c r="J33" s="16">
        <f t="shared" si="0"/>
        <v>49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13</v>
      </c>
      <c r="D34" s="6"/>
      <c r="E34" s="6"/>
      <c r="F34" s="6"/>
      <c r="G34" s="6"/>
      <c r="H34" s="6"/>
      <c r="I34" s="6"/>
      <c r="J34" s="16">
        <f t="shared" si="0"/>
        <v>13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28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69</v>
      </c>
      <c r="D37" s="6"/>
      <c r="E37" s="6"/>
      <c r="F37" s="6"/>
      <c r="G37" s="6"/>
      <c r="H37" s="6"/>
      <c r="I37" s="6"/>
      <c r="J37" s="16">
        <f t="shared" si="0"/>
        <v>69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1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34</v>
      </c>
      <c r="D39" s="6"/>
      <c r="E39" s="6"/>
      <c r="F39" s="6"/>
      <c r="G39" s="6"/>
      <c r="H39" s="6"/>
      <c r="I39" s="6"/>
      <c r="J39" s="16">
        <f t="shared" si="0"/>
        <v>34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63</v>
      </c>
      <c r="D40" s="6">
        <v>12</v>
      </c>
      <c r="E40" s="6"/>
      <c r="F40" s="6"/>
      <c r="G40" s="6">
        <v>2</v>
      </c>
      <c r="H40" s="6"/>
      <c r="I40" s="6"/>
      <c r="J40" s="16">
        <f t="shared" si="0"/>
        <v>73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73</v>
      </c>
      <c r="D41" s="6"/>
      <c r="E41" s="6"/>
      <c r="F41" s="6"/>
      <c r="G41" s="6">
        <v>2</v>
      </c>
      <c r="H41" s="6"/>
      <c r="I41" s="6"/>
      <c r="J41" s="16">
        <f t="shared" si="0"/>
        <v>71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95</v>
      </c>
      <c r="D42" s="6"/>
      <c r="E42" s="6">
        <v>1</v>
      </c>
      <c r="F42" s="6"/>
      <c r="G42" s="6">
        <v>3</v>
      </c>
      <c r="H42" s="6">
        <v>11</v>
      </c>
      <c r="I42" s="6"/>
      <c r="J42" s="16">
        <f t="shared" si="0"/>
        <v>80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314</v>
      </c>
      <c r="D43" s="6"/>
      <c r="E43" s="6">
        <v>17</v>
      </c>
      <c r="F43" s="6"/>
      <c r="G43" s="6"/>
      <c r="H43" s="6">
        <v>30</v>
      </c>
      <c r="I43" s="6"/>
      <c r="J43" s="16">
        <f t="shared" si="0"/>
        <v>267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55</v>
      </c>
      <c r="D44" s="6"/>
      <c r="E44" s="6"/>
      <c r="F44" s="6"/>
      <c r="G44" s="6"/>
      <c r="H44" s="6"/>
      <c r="I44" s="6"/>
      <c r="J44" s="16">
        <f t="shared" si="0"/>
        <v>55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16">
        <f t="shared" si="0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28</v>
      </c>
      <c r="D46" s="6"/>
      <c r="E46" s="6"/>
      <c r="F46" s="6"/>
      <c r="G46" s="6"/>
      <c r="H46" s="6"/>
      <c r="I46" s="6"/>
      <c r="J46" s="16">
        <f t="shared" si="0"/>
        <v>28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34</v>
      </c>
      <c r="D47" s="6"/>
      <c r="E47" s="6"/>
      <c r="F47" s="6"/>
      <c r="G47" s="6"/>
      <c r="H47" s="6"/>
      <c r="I47" s="6"/>
      <c r="J47" s="16">
        <f t="shared" si="0"/>
        <v>34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1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307</v>
      </c>
      <c r="D49" s="6"/>
      <c r="E49" s="6"/>
      <c r="F49" s="6"/>
      <c r="G49" s="6"/>
      <c r="H49" s="6"/>
      <c r="I49" s="6"/>
      <c r="J49" s="16">
        <f t="shared" si="0"/>
        <v>307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241</v>
      </c>
      <c r="D50" s="6"/>
      <c r="E50" s="6"/>
      <c r="F50" s="6">
        <v>100</v>
      </c>
      <c r="G50" s="6">
        <v>2</v>
      </c>
      <c r="H50" s="6"/>
      <c r="I50" s="6"/>
      <c r="J50" s="16">
        <f t="shared" si="0"/>
        <v>139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63</v>
      </c>
      <c r="D51" s="6"/>
      <c r="E51" s="6"/>
      <c r="F51" s="6"/>
      <c r="G51" s="6"/>
      <c r="H51" s="6"/>
      <c r="I51" s="6"/>
      <c r="J51" s="16">
        <f t="shared" si="0"/>
        <v>63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29</v>
      </c>
      <c r="D52" s="6"/>
      <c r="E52" s="6"/>
      <c r="F52" s="6"/>
      <c r="G52" s="6">
        <v>2</v>
      </c>
      <c r="H52" s="6"/>
      <c r="I52" s="6"/>
      <c r="J52" s="16">
        <f t="shared" si="0"/>
        <v>27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127</v>
      </c>
      <c r="D53" s="6">
        <v>35</v>
      </c>
      <c r="E53" s="6"/>
      <c r="F53" s="6">
        <v>100</v>
      </c>
      <c r="G53" s="6"/>
      <c r="H53" s="6"/>
      <c r="I53" s="6"/>
      <c r="J53" s="16">
        <f t="shared" si="0"/>
        <v>62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26</v>
      </c>
      <c r="D54" s="6"/>
      <c r="E54" s="6"/>
      <c r="F54" s="6"/>
      <c r="G54" s="6"/>
      <c r="H54" s="6"/>
      <c r="I54" s="6"/>
      <c r="J54" s="16">
        <f t="shared" si="0"/>
        <v>26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62</v>
      </c>
      <c r="D56" s="6"/>
      <c r="E56" s="6"/>
      <c r="F56" s="6"/>
      <c r="G56" s="6"/>
      <c r="H56" s="6"/>
      <c r="I56" s="6"/>
      <c r="J56" s="16">
        <f t="shared" si="0"/>
        <v>62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16">
        <f t="shared" si="0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55</v>
      </c>
      <c r="D58" s="6"/>
      <c r="E58" s="6"/>
      <c r="F58" s="6"/>
      <c r="G58" s="6"/>
      <c r="H58" s="6"/>
      <c r="I58" s="6"/>
      <c r="J58" s="16">
        <f t="shared" si="0"/>
        <v>55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20</v>
      </c>
      <c r="D59" s="6"/>
      <c r="E59" s="6"/>
      <c r="F59" s="6"/>
      <c r="G59" s="6"/>
      <c r="H59" s="6"/>
      <c r="I59" s="6"/>
      <c r="J59" s="16">
        <f t="shared" si="0"/>
        <v>20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62</v>
      </c>
      <c r="D60" s="6"/>
      <c r="E60" s="6"/>
      <c r="F60" s="6">
        <v>1</v>
      </c>
      <c r="G60" s="6">
        <v>1</v>
      </c>
      <c r="H60" s="6"/>
      <c r="I60" s="6"/>
      <c r="J60" s="16">
        <f t="shared" si="0"/>
        <v>60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10</v>
      </c>
      <c r="L61" s="14">
        <v>20</v>
      </c>
    </row>
    <row r="62" spans="1:12" x14ac:dyDescent="0.25">
      <c r="A62" s="6">
        <v>60</v>
      </c>
      <c r="B62" s="17" t="s">
        <v>125</v>
      </c>
      <c r="C62" s="6">
        <v>74</v>
      </c>
      <c r="D62" s="6">
        <v>101</v>
      </c>
      <c r="E62" s="6">
        <v>4</v>
      </c>
      <c r="F62" s="6">
        <v>5</v>
      </c>
      <c r="G62" s="6">
        <v>104</v>
      </c>
      <c r="H62" s="6">
        <v>62</v>
      </c>
      <c r="I62" s="6"/>
      <c r="J62" s="1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11</v>
      </c>
      <c r="D63" s="6"/>
      <c r="E63" s="6"/>
      <c r="F63" s="6"/>
      <c r="G63" s="6"/>
      <c r="H63" s="6"/>
      <c r="I63" s="6"/>
      <c r="J63" s="16">
        <f t="shared" si="0"/>
        <v>11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29</v>
      </c>
      <c r="D64" s="6"/>
      <c r="E64" s="6"/>
      <c r="F64" s="6"/>
      <c r="G64" s="6"/>
      <c r="H64" s="6"/>
      <c r="I64" s="6"/>
      <c r="J64" s="16">
        <f t="shared" si="0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42</v>
      </c>
      <c r="D65" s="6"/>
      <c r="E65" s="6"/>
      <c r="F65" s="6">
        <v>1</v>
      </c>
      <c r="G65" s="6">
        <v>1</v>
      </c>
      <c r="H65" s="6">
        <v>1</v>
      </c>
      <c r="I65" s="6"/>
      <c r="J65" s="16">
        <f t="shared" si="0"/>
        <v>39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175</v>
      </c>
      <c r="D66" s="6"/>
      <c r="E66" s="6"/>
      <c r="F66" s="6"/>
      <c r="G66" s="6">
        <v>1</v>
      </c>
      <c r="H66" s="6"/>
      <c r="I66" s="6"/>
      <c r="J66" s="16">
        <f t="shared" si="0"/>
        <v>174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67</v>
      </c>
      <c r="D67" s="6"/>
      <c r="E67" s="6"/>
      <c r="F67" s="6"/>
      <c r="G67" s="6"/>
      <c r="H67" s="6"/>
      <c r="I67" s="6"/>
      <c r="J67" s="16">
        <f t="shared" ref="J67:J78" si="1">+C67-E67-F67-G67-H67-I67+D67</f>
        <v>67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0</v>
      </c>
      <c r="D68" s="6"/>
      <c r="E68" s="6"/>
      <c r="F68" s="6"/>
      <c r="G68" s="6"/>
      <c r="H68" s="6"/>
      <c r="I68" s="6"/>
      <c r="J68" s="16">
        <f t="shared" si="1"/>
        <v>0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43</v>
      </c>
      <c r="D69" s="6"/>
      <c r="E69" s="6"/>
      <c r="F69" s="6"/>
      <c r="G69" s="6"/>
      <c r="H69" s="6">
        <v>2</v>
      </c>
      <c r="I69" s="6">
        <v>2</v>
      </c>
      <c r="J69" s="16">
        <f t="shared" si="1"/>
        <v>39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46</v>
      </c>
      <c r="D70" s="6"/>
      <c r="E70" s="6"/>
      <c r="F70" s="6">
        <v>1</v>
      </c>
      <c r="G70" s="6"/>
      <c r="H70" s="6"/>
      <c r="I70" s="6"/>
      <c r="J70" s="16">
        <f t="shared" si="1"/>
        <v>45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14</v>
      </c>
      <c r="D71" s="6"/>
      <c r="E71" s="6"/>
      <c r="F71" s="6"/>
      <c r="G71" s="6"/>
      <c r="H71" s="6"/>
      <c r="I71" s="6"/>
      <c r="J71" s="16">
        <f t="shared" si="1"/>
        <v>14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30</v>
      </c>
      <c r="D72" s="6"/>
      <c r="E72" s="6"/>
      <c r="F72" s="6"/>
      <c r="G72" s="6">
        <v>2</v>
      </c>
      <c r="H72" s="6"/>
      <c r="I72" s="6"/>
      <c r="J72" s="16">
        <f t="shared" si="1"/>
        <v>28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10</v>
      </c>
      <c r="D73" s="6"/>
      <c r="E73" s="6"/>
      <c r="F73" s="6"/>
      <c r="G73" s="6"/>
      <c r="H73" s="6"/>
      <c r="I73" s="6"/>
      <c r="J73" s="16">
        <f t="shared" si="1"/>
        <v>10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172</v>
      </c>
      <c r="D74" s="6"/>
      <c r="E74" s="6"/>
      <c r="F74" s="6"/>
      <c r="G74" s="6">
        <v>12</v>
      </c>
      <c r="H74" s="6">
        <v>3</v>
      </c>
      <c r="I74" s="6"/>
      <c r="J74" s="16">
        <f t="shared" si="1"/>
        <v>157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144</v>
      </c>
      <c r="D75" s="6"/>
      <c r="E75" s="6"/>
      <c r="F75" s="6"/>
      <c r="G75" s="6"/>
      <c r="H75" s="6"/>
      <c r="I75" s="6"/>
      <c r="J75" s="16">
        <f t="shared" si="1"/>
        <v>144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53</v>
      </c>
      <c r="D76" s="6"/>
      <c r="E76" s="6"/>
      <c r="F76" s="6">
        <v>1</v>
      </c>
      <c r="G76" s="6">
        <v>11</v>
      </c>
      <c r="H76" s="6"/>
      <c r="I76" s="6"/>
      <c r="J76" s="16">
        <f t="shared" si="1"/>
        <v>41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54</v>
      </c>
      <c r="D77" s="6"/>
      <c r="E77" s="6"/>
      <c r="F77" s="6"/>
      <c r="G77" s="6">
        <v>1</v>
      </c>
      <c r="H77" s="6">
        <v>2</v>
      </c>
      <c r="I77" s="6"/>
      <c r="J77" s="16">
        <f t="shared" si="1"/>
        <v>51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124</v>
      </c>
      <c r="C78" s="6">
        <v>24</v>
      </c>
      <c r="D78" s="6"/>
      <c r="E78" s="6"/>
      <c r="F78" s="6"/>
      <c r="G78" s="6"/>
      <c r="H78" s="6"/>
      <c r="I78" s="6"/>
      <c r="J78" s="16">
        <f t="shared" si="1"/>
        <v>24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78"/>
  <sheetViews>
    <sheetView zoomScaleNormal="100" workbookViewId="0">
      <selection activeCell="I43" sqref="I43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45566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45569</v>
      </c>
      <c r="F2" s="4">
        <v>45576</v>
      </c>
      <c r="G2" s="4">
        <v>45583</v>
      </c>
      <c r="H2" s="4">
        <v>45590</v>
      </c>
      <c r="I2" s="4">
        <v>45596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>
        <v>33</v>
      </c>
      <c r="E3" s="6"/>
      <c r="F3" s="6"/>
      <c r="G3" s="6"/>
      <c r="H3" s="6"/>
      <c r="I3" s="6"/>
      <c r="J3" s="16">
        <f t="shared" ref="J3:J66" si="0">+C3-E3-F3-G3-H3-I3+D3</f>
        <v>33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48</v>
      </c>
      <c r="D4" s="6">
        <v>34</v>
      </c>
      <c r="E4" s="6"/>
      <c r="F4" s="6"/>
      <c r="G4" s="6"/>
      <c r="H4" s="6"/>
      <c r="I4" s="6"/>
      <c r="J4" s="16">
        <f t="shared" si="0"/>
        <v>82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</v>
      </c>
      <c r="D5" s="6"/>
      <c r="E5" s="6"/>
      <c r="F5" s="6"/>
      <c r="G5" s="6"/>
      <c r="H5" s="6"/>
      <c r="I5" s="6"/>
      <c r="J5" s="1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67</v>
      </c>
      <c r="D6" s="6"/>
      <c r="E6" s="6"/>
      <c r="F6" s="6"/>
      <c r="G6" s="6"/>
      <c r="H6" s="6"/>
      <c r="I6" s="6">
        <v>2</v>
      </c>
      <c r="J6" s="16">
        <f t="shared" si="0"/>
        <v>65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81</v>
      </c>
      <c r="D7" s="6"/>
      <c r="E7" s="6"/>
      <c r="F7" s="6"/>
      <c r="G7" s="6"/>
      <c r="H7" s="6">
        <v>2</v>
      </c>
      <c r="I7" s="6">
        <v>2</v>
      </c>
      <c r="J7" s="16">
        <f t="shared" si="0"/>
        <v>77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15</v>
      </c>
      <c r="D8" s="6"/>
      <c r="E8" s="6"/>
      <c r="F8" s="6">
        <v>4</v>
      </c>
      <c r="G8" s="6"/>
      <c r="H8" s="6"/>
      <c r="I8" s="6"/>
      <c r="J8" s="16">
        <f t="shared" si="0"/>
        <v>11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30</v>
      </c>
      <c r="D9" s="6"/>
      <c r="E9" s="6"/>
      <c r="F9" s="6"/>
      <c r="G9" s="6"/>
      <c r="H9" s="6"/>
      <c r="I9" s="6"/>
      <c r="J9" s="16">
        <f t="shared" si="0"/>
        <v>30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11</v>
      </c>
      <c r="D10" s="6">
        <v>30</v>
      </c>
      <c r="E10" s="6"/>
      <c r="F10" s="6"/>
      <c r="G10" s="6">
        <v>3</v>
      </c>
      <c r="H10" s="6"/>
      <c r="I10" s="6"/>
      <c r="J10" s="16">
        <f t="shared" si="0"/>
        <v>38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271</v>
      </c>
      <c r="D11" s="6">
        <v>216</v>
      </c>
      <c r="E11" s="6"/>
      <c r="F11" s="6"/>
      <c r="G11" s="6"/>
      <c r="H11" s="6"/>
      <c r="I11" s="6">
        <v>105</v>
      </c>
      <c r="J11" s="16">
        <f t="shared" si="0"/>
        <v>382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182</v>
      </c>
      <c r="D12" s="6">
        <v>494</v>
      </c>
      <c r="E12" s="6"/>
      <c r="F12" s="6">
        <v>97</v>
      </c>
      <c r="G12" s="6"/>
      <c r="H12" s="6"/>
      <c r="I12" s="6"/>
      <c r="J12" s="16">
        <f t="shared" si="0"/>
        <v>579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68</v>
      </c>
      <c r="D13" s="6"/>
      <c r="E13" s="6"/>
      <c r="F13" s="6"/>
      <c r="G13" s="6"/>
      <c r="H13" s="6"/>
      <c r="I13" s="6"/>
      <c r="J13" s="16">
        <f t="shared" si="0"/>
        <v>68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73</v>
      </c>
      <c r="D14" s="6">
        <v>15</v>
      </c>
      <c r="E14" s="6"/>
      <c r="F14" s="6"/>
      <c r="G14" s="6"/>
      <c r="H14" s="6"/>
      <c r="I14" s="6">
        <v>2</v>
      </c>
      <c r="J14" s="16">
        <f t="shared" si="0"/>
        <v>86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25</v>
      </c>
      <c r="D15" s="6"/>
      <c r="E15" s="6"/>
      <c r="F15" s="6"/>
      <c r="G15" s="6"/>
      <c r="H15" s="6"/>
      <c r="I15" s="6"/>
      <c r="J15" s="16">
        <f t="shared" si="0"/>
        <v>25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24</v>
      </c>
      <c r="D16" s="6"/>
      <c r="E16" s="6"/>
      <c r="F16" s="6"/>
      <c r="G16" s="6"/>
      <c r="H16" s="6"/>
      <c r="I16" s="6"/>
      <c r="J16" s="16">
        <f t="shared" si="0"/>
        <v>24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96</v>
      </c>
      <c r="D17" s="6">
        <v>86</v>
      </c>
      <c r="E17" s="6"/>
      <c r="F17" s="6">
        <v>3</v>
      </c>
      <c r="G17" s="6">
        <v>4</v>
      </c>
      <c r="H17" s="6">
        <v>13</v>
      </c>
      <c r="I17" s="6">
        <v>26</v>
      </c>
      <c r="J17" s="16">
        <f t="shared" si="0"/>
        <v>136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443</v>
      </c>
      <c r="D18" s="6">
        <v>355</v>
      </c>
      <c r="E18" s="6">
        <v>250</v>
      </c>
      <c r="F18" s="6">
        <v>8</v>
      </c>
      <c r="G18" s="6">
        <v>200</v>
      </c>
      <c r="H18" s="6">
        <v>8</v>
      </c>
      <c r="I18" s="6">
        <v>11</v>
      </c>
      <c r="J18" s="16">
        <f t="shared" si="0"/>
        <v>321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86</v>
      </c>
      <c r="D19" s="6"/>
      <c r="E19" s="6">
        <v>5</v>
      </c>
      <c r="F19" s="6">
        <v>5</v>
      </c>
      <c r="G19" s="6"/>
      <c r="H19" s="6"/>
      <c r="I19" s="6">
        <v>1</v>
      </c>
      <c r="J19" s="16">
        <f t="shared" si="0"/>
        <v>75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51</v>
      </c>
      <c r="D20" s="6"/>
      <c r="E20" s="6"/>
      <c r="F20" s="6">
        <v>13</v>
      </c>
      <c r="G20" s="6"/>
      <c r="H20" s="6"/>
      <c r="I20" s="6">
        <v>9</v>
      </c>
      <c r="J20" s="16">
        <f t="shared" si="0"/>
        <v>29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129</v>
      </c>
      <c r="D21" s="6"/>
      <c r="E21" s="6"/>
      <c r="F21" s="6">
        <v>2</v>
      </c>
      <c r="G21" s="6"/>
      <c r="H21" s="6"/>
      <c r="I21" s="6">
        <v>2</v>
      </c>
      <c r="J21" s="16">
        <f t="shared" si="0"/>
        <v>125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21</v>
      </c>
      <c r="D22" s="6"/>
      <c r="E22" s="6"/>
      <c r="F22" s="6"/>
      <c r="G22" s="6"/>
      <c r="H22" s="6">
        <v>3</v>
      </c>
      <c r="I22" s="6">
        <v>2</v>
      </c>
      <c r="J22" s="16">
        <f t="shared" si="0"/>
        <v>16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1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34</v>
      </c>
      <c r="D24" s="6"/>
      <c r="E24" s="6"/>
      <c r="F24" s="6">
        <v>3</v>
      </c>
      <c r="G24" s="6"/>
      <c r="H24" s="6"/>
      <c r="I24" s="6"/>
      <c r="J24" s="16">
        <f t="shared" si="0"/>
        <v>31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5</v>
      </c>
      <c r="D25" s="6"/>
      <c r="E25" s="6"/>
      <c r="F25" s="6"/>
      <c r="G25" s="6"/>
      <c r="H25" s="6"/>
      <c r="I25" s="6"/>
      <c r="J25" s="1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394</v>
      </c>
      <c r="D26" s="6"/>
      <c r="E26" s="6"/>
      <c r="F26" s="6"/>
      <c r="G26" s="6"/>
      <c r="H26" s="6"/>
      <c r="I26" s="6"/>
      <c r="J26" s="16">
        <f t="shared" si="0"/>
        <v>394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1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126</v>
      </c>
      <c r="C28" s="6">
        <v>600</v>
      </c>
      <c r="D28" s="6"/>
      <c r="E28" s="6"/>
      <c r="F28" s="6"/>
      <c r="G28" s="6"/>
      <c r="H28" s="6"/>
      <c r="I28" s="6"/>
      <c r="J28" s="16">
        <f t="shared" si="0"/>
        <v>600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127</v>
      </c>
      <c r="C30" s="6">
        <v>1200</v>
      </c>
      <c r="D30" s="6"/>
      <c r="E30" s="6"/>
      <c r="F30" s="6">
        <v>1200</v>
      </c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226</v>
      </c>
      <c r="D31" s="6"/>
      <c r="E31" s="6">
        <v>200</v>
      </c>
      <c r="F31" s="6"/>
      <c r="G31" s="6">
        <v>25</v>
      </c>
      <c r="H31" s="6"/>
      <c r="I31" s="6"/>
      <c r="J31" s="16">
        <f t="shared" si="0"/>
        <v>1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427</v>
      </c>
      <c r="D32" s="6"/>
      <c r="E32" s="6"/>
      <c r="F32" s="6"/>
      <c r="G32" s="6"/>
      <c r="H32" s="6"/>
      <c r="I32" s="6"/>
      <c r="J32" s="16">
        <f t="shared" si="0"/>
        <v>427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49</v>
      </c>
      <c r="D33" s="6"/>
      <c r="E33" s="6"/>
      <c r="F33" s="6"/>
      <c r="G33" s="6"/>
      <c r="H33" s="6"/>
      <c r="I33" s="6">
        <v>2</v>
      </c>
      <c r="J33" s="16">
        <f t="shared" si="0"/>
        <v>47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13</v>
      </c>
      <c r="D34" s="6"/>
      <c r="E34" s="6"/>
      <c r="F34" s="6"/>
      <c r="G34" s="6"/>
      <c r="H34" s="6"/>
      <c r="I34" s="6"/>
      <c r="J34" s="16">
        <f t="shared" si="0"/>
        <v>13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>
        <v>28</v>
      </c>
      <c r="E35" s="6"/>
      <c r="F35" s="6"/>
      <c r="G35" s="6"/>
      <c r="H35" s="6"/>
      <c r="I35" s="6"/>
      <c r="J35" s="16">
        <f t="shared" si="0"/>
        <v>28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69</v>
      </c>
      <c r="D37" s="6"/>
      <c r="E37" s="6"/>
      <c r="F37" s="6">
        <v>1</v>
      </c>
      <c r="G37" s="6"/>
      <c r="H37" s="6"/>
      <c r="I37" s="6"/>
      <c r="J37" s="16">
        <f t="shared" si="0"/>
        <v>68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1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34</v>
      </c>
      <c r="D39" s="6"/>
      <c r="E39" s="6"/>
      <c r="F39" s="6">
        <v>8</v>
      </c>
      <c r="G39" s="6">
        <v>7</v>
      </c>
      <c r="H39" s="6"/>
      <c r="I39" s="6"/>
      <c r="J39" s="16">
        <f t="shared" si="0"/>
        <v>19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73</v>
      </c>
      <c r="D40" s="6"/>
      <c r="E40" s="6"/>
      <c r="F40" s="6">
        <v>11</v>
      </c>
      <c r="G40" s="6">
        <v>3</v>
      </c>
      <c r="H40" s="6">
        <v>1</v>
      </c>
      <c r="I40" s="6">
        <v>4</v>
      </c>
      <c r="J40" s="16">
        <f t="shared" si="0"/>
        <v>54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71</v>
      </c>
      <c r="D41" s="6"/>
      <c r="E41" s="6"/>
      <c r="F41" s="6">
        <v>4</v>
      </c>
      <c r="G41" s="6"/>
      <c r="H41" s="6"/>
      <c r="I41" s="6"/>
      <c r="J41" s="16">
        <f t="shared" si="0"/>
        <v>67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80</v>
      </c>
      <c r="D42" s="6"/>
      <c r="E42" s="6"/>
      <c r="F42" s="6">
        <v>16</v>
      </c>
      <c r="G42" s="6">
        <v>3</v>
      </c>
      <c r="H42" s="6">
        <v>7</v>
      </c>
      <c r="I42" s="6">
        <v>3</v>
      </c>
      <c r="J42" s="16">
        <f t="shared" si="0"/>
        <v>51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267</v>
      </c>
      <c r="D43" s="6">
        <v>176</v>
      </c>
      <c r="E43" s="6"/>
      <c r="F43" s="6">
        <v>97</v>
      </c>
      <c r="G43" s="6"/>
      <c r="H43" s="6">
        <v>51</v>
      </c>
      <c r="I43" s="6">
        <v>75</v>
      </c>
      <c r="J43" s="16">
        <f t="shared" si="0"/>
        <v>220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55</v>
      </c>
      <c r="D44" s="6"/>
      <c r="E44" s="6"/>
      <c r="F44" s="6"/>
      <c r="G44" s="6"/>
      <c r="H44" s="6"/>
      <c r="I44" s="6"/>
      <c r="J44" s="16">
        <f t="shared" si="0"/>
        <v>55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16">
        <f t="shared" si="0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28</v>
      </c>
      <c r="D46" s="6"/>
      <c r="E46" s="6"/>
      <c r="F46" s="6"/>
      <c r="G46" s="6"/>
      <c r="H46" s="6"/>
      <c r="I46" s="6"/>
      <c r="J46" s="16">
        <f t="shared" si="0"/>
        <v>28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34</v>
      </c>
      <c r="D47" s="6"/>
      <c r="E47" s="6"/>
      <c r="F47" s="6"/>
      <c r="G47" s="6"/>
      <c r="H47" s="6"/>
      <c r="I47" s="6"/>
      <c r="J47" s="16">
        <f t="shared" si="0"/>
        <v>34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1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307</v>
      </c>
      <c r="D49" s="6"/>
      <c r="E49" s="6"/>
      <c r="F49" s="6"/>
      <c r="G49" s="6"/>
      <c r="H49" s="6">
        <v>150</v>
      </c>
      <c r="I49" s="6"/>
      <c r="J49" s="16">
        <f t="shared" si="0"/>
        <v>157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139</v>
      </c>
      <c r="D50" s="6"/>
      <c r="E50" s="6">
        <v>8</v>
      </c>
      <c r="F50" s="6">
        <v>1</v>
      </c>
      <c r="G50" s="6"/>
      <c r="H50" s="6">
        <v>2</v>
      </c>
      <c r="I50" s="6">
        <v>1</v>
      </c>
      <c r="J50" s="16">
        <f t="shared" si="0"/>
        <v>127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63</v>
      </c>
      <c r="D51" s="6"/>
      <c r="E51" s="6">
        <v>4</v>
      </c>
      <c r="F51" s="6">
        <v>1</v>
      </c>
      <c r="G51" s="6"/>
      <c r="H51" s="6">
        <v>2</v>
      </c>
      <c r="I51" s="6"/>
      <c r="J51" s="16">
        <f t="shared" si="0"/>
        <v>56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27</v>
      </c>
      <c r="D52" s="6"/>
      <c r="E52" s="6">
        <v>4</v>
      </c>
      <c r="F52" s="6"/>
      <c r="G52" s="6"/>
      <c r="H52" s="6"/>
      <c r="I52" s="6"/>
      <c r="J52" s="16">
        <f t="shared" si="0"/>
        <v>23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62</v>
      </c>
      <c r="D53" s="6"/>
      <c r="E53" s="6"/>
      <c r="F53" s="6"/>
      <c r="G53" s="6"/>
      <c r="H53" s="6"/>
      <c r="I53" s="6"/>
      <c r="J53" s="16">
        <f t="shared" si="0"/>
        <v>62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26</v>
      </c>
      <c r="D54" s="6"/>
      <c r="E54" s="6"/>
      <c r="F54" s="6"/>
      <c r="G54" s="6"/>
      <c r="H54" s="6"/>
      <c r="I54" s="6"/>
      <c r="J54" s="16">
        <f t="shared" si="0"/>
        <v>26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62</v>
      </c>
      <c r="D56" s="6"/>
      <c r="E56" s="6"/>
      <c r="F56" s="6"/>
      <c r="G56" s="6"/>
      <c r="H56" s="6"/>
      <c r="I56" s="6"/>
      <c r="J56" s="16">
        <f t="shared" si="0"/>
        <v>62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16">
        <f t="shared" si="0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55</v>
      </c>
      <c r="D58" s="6"/>
      <c r="E58" s="6"/>
      <c r="F58" s="6"/>
      <c r="G58" s="6"/>
      <c r="H58" s="6"/>
      <c r="I58" s="6"/>
      <c r="J58" s="16">
        <f t="shared" si="0"/>
        <v>55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20</v>
      </c>
      <c r="D59" s="6"/>
      <c r="E59" s="6"/>
      <c r="F59" s="6"/>
      <c r="G59" s="6"/>
      <c r="H59" s="6"/>
      <c r="I59" s="6"/>
      <c r="J59" s="16">
        <f t="shared" si="0"/>
        <v>20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60</v>
      </c>
      <c r="D60" s="6"/>
      <c r="E60" s="6"/>
      <c r="F60" s="6"/>
      <c r="G60" s="6"/>
      <c r="H60" s="6"/>
      <c r="I60" s="6">
        <v>2</v>
      </c>
      <c r="J60" s="16">
        <f t="shared" si="0"/>
        <v>58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10</v>
      </c>
      <c r="L61" s="14">
        <v>20</v>
      </c>
    </row>
    <row r="62" spans="1:12" x14ac:dyDescent="0.25">
      <c r="A62" s="6">
        <v>60</v>
      </c>
      <c r="B62" s="17" t="s">
        <v>125</v>
      </c>
      <c r="C62" s="6">
        <v>0</v>
      </c>
      <c r="D62" s="6"/>
      <c r="E62" s="6"/>
      <c r="F62" s="6"/>
      <c r="G62" s="6"/>
      <c r="H62" s="6"/>
      <c r="I62" s="6"/>
      <c r="J62" s="1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11</v>
      </c>
      <c r="D63" s="6"/>
      <c r="E63" s="6"/>
      <c r="F63" s="6"/>
      <c r="G63" s="6"/>
      <c r="H63" s="6"/>
      <c r="I63" s="6"/>
      <c r="J63" s="16">
        <f t="shared" si="0"/>
        <v>11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29</v>
      </c>
      <c r="D64" s="6"/>
      <c r="E64" s="6"/>
      <c r="F64" s="6"/>
      <c r="G64" s="6"/>
      <c r="H64" s="6"/>
      <c r="I64" s="6"/>
      <c r="J64" s="16">
        <f t="shared" si="0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39</v>
      </c>
      <c r="D65" s="6"/>
      <c r="E65" s="6"/>
      <c r="F65" s="6"/>
      <c r="G65" s="6"/>
      <c r="H65" s="6"/>
      <c r="I65" s="6">
        <v>7</v>
      </c>
      <c r="J65" s="16">
        <f t="shared" si="0"/>
        <v>32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174</v>
      </c>
      <c r="D66" s="6"/>
      <c r="E66" s="6"/>
      <c r="F66" s="6"/>
      <c r="G66" s="6"/>
      <c r="H66" s="6">
        <v>1</v>
      </c>
      <c r="I66" s="6"/>
      <c r="J66" s="16">
        <f t="shared" si="0"/>
        <v>173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67</v>
      </c>
      <c r="D67" s="6"/>
      <c r="E67" s="6"/>
      <c r="F67" s="6">
        <v>12</v>
      </c>
      <c r="G67" s="6"/>
      <c r="H67" s="6">
        <v>10</v>
      </c>
      <c r="I67" s="6"/>
      <c r="J67" s="16">
        <f t="shared" ref="J67:J78" si="1">+C67-E67-F67-G67-H67-I67+D67</f>
        <v>45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0</v>
      </c>
      <c r="D68" s="6"/>
      <c r="E68" s="6"/>
      <c r="F68" s="6"/>
      <c r="G68" s="6"/>
      <c r="H68" s="6"/>
      <c r="I68" s="6"/>
      <c r="J68" s="16">
        <f t="shared" si="1"/>
        <v>0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39</v>
      </c>
      <c r="D69" s="6"/>
      <c r="E69" s="6"/>
      <c r="F69" s="6"/>
      <c r="G69" s="6"/>
      <c r="H69" s="6"/>
      <c r="I69" s="6"/>
      <c r="J69" s="16">
        <f t="shared" si="1"/>
        <v>39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45</v>
      </c>
      <c r="D70" s="6"/>
      <c r="E70" s="6"/>
      <c r="F70" s="6"/>
      <c r="G70" s="6"/>
      <c r="H70" s="6"/>
      <c r="I70" s="6"/>
      <c r="J70" s="16">
        <f t="shared" si="1"/>
        <v>45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14</v>
      </c>
      <c r="D71" s="6"/>
      <c r="E71" s="6"/>
      <c r="F71" s="6">
        <v>4</v>
      </c>
      <c r="G71" s="6"/>
      <c r="H71" s="6"/>
      <c r="I71" s="6"/>
      <c r="J71" s="16">
        <f t="shared" si="1"/>
        <v>10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28</v>
      </c>
      <c r="D72" s="6"/>
      <c r="E72" s="6"/>
      <c r="F72" s="6"/>
      <c r="G72" s="6">
        <v>1</v>
      </c>
      <c r="H72" s="6">
        <v>2</v>
      </c>
      <c r="I72" s="6"/>
      <c r="J72" s="16">
        <f t="shared" si="1"/>
        <v>25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10</v>
      </c>
      <c r="D73" s="6"/>
      <c r="E73" s="6"/>
      <c r="F73" s="6"/>
      <c r="G73" s="6"/>
      <c r="H73" s="6"/>
      <c r="I73" s="6"/>
      <c r="J73" s="16">
        <f t="shared" si="1"/>
        <v>10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157</v>
      </c>
      <c r="D74" s="6"/>
      <c r="E74" s="6"/>
      <c r="F74" s="6">
        <v>8</v>
      </c>
      <c r="G74" s="6">
        <v>1</v>
      </c>
      <c r="H74" s="6">
        <v>15</v>
      </c>
      <c r="I74" s="6">
        <v>9</v>
      </c>
      <c r="J74" s="16">
        <f t="shared" si="1"/>
        <v>124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144</v>
      </c>
      <c r="D75" s="6"/>
      <c r="E75" s="6"/>
      <c r="F75" s="6"/>
      <c r="G75" s="6"/>
      <c r="H75" s="6"/>
      <c r="I75" s="6"/>
      <c r="J75" s="16">
        <f t="shared" si="1"/>
        <v>144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41</v>
      </c>
      <c r="D76" s="6"/>
      <c r="E76" s="6"/>
      <c r="F76" s="6">
        <v>1</v>
      </c>
      <c r="G76" s="6"/>
      <c r="H76" s="6"/>
      <c r="I76" s="6">
        <v>1</v>
      </c>
      <c r="J76" s="16">
        <f t="shared" si="1"/>
        <v>39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51</v>
      </c>
      <c r="D77" s="6"/>
      <c r="E77" s="6"/>
      <c r="F77" s="6">
        <v>1</v>
      </c>
      <c r="G77" s="6">
        <v>1</v>
      </c>
      <c r="H77" s="6"/>
      <c r="I77" s="6"/>
      <c r="J77" s="16">
        <f t="shared" si="1"/>
        <v>49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124</v>
      </c>
      <c r="C78" s="6">
        <v>24</v>
      </c>
      <c r="D78" s="6"/>
      <c r="E78" s="6"/>
      <c r="F78" s="6"/>
      <c r="G78" s="6"/>
      <c r="H78" s="6"/>
      <c r="I78" s="6"/>
      <c r="J78" s="16">
        <f t="shared" si="1"/>
        <v>24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78"/>
  <sheetViews>
    <sheetView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45597</v>
      </c>
      <c r="J1" s="1" t="s">
        <v>92</v>
      </c>
      <c r="L1" s="1">
        <v>44837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4">
        <v>45604</v>
      </c>
      <c r="F2" s="4">
        <v>45611</v>
      </c>
      <c r="G2" s="4">
        <v>45618</v>
      </c>
      <c r="H2" s="4">
        <v>45625</v>
      </c>
      <c r="I2" s="4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33</v>
      </c>
      <c r="D3" s="6"/>
      <c r="E3" s="6"/>
      <c r="F3" s="6"/>
      <c r="G3" s="6"/>
      <c r="H3" s="6"/>
      <c r="I3" s="6"/>
      <c r="J3" s="16">
        <f t="shared" ref="J3:J66" si="0">+C3-E3-F3-G3-H3-I3+D3</f>
        <v>33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82</v>
      </c>
      <c r="D4" s="6"/>
      <c r="E4" s="6"/>
      <c r="F4" s="6"/>
      <c r="G4" s="6">
        <v>1</v>
      </c>
      <c r="H4" s="6"/>
      <c r="I4" s="6"/>
      <c r="J4" s="16">
        <f t="shared" si="0"/>
        <v>81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4</v>
      </c>
      <c r="D5" s="6"/>
      <c r="E5" s="6"/>
      <c r="F5" s="6"/>
      <c r="G5" s="6"/>
      <c r="H5" s="6"/>
      <c r="I5" s="6"/>
      <c r="J5" s="16">
        <f t="shared" si="0"/>
        <v>4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65</v>
      </c>
      <c r="D6" s="6"/>
      <c r="E6" s="6"/>
      <c r="F6" s="6"/>
      <c r="G6" s="6"/>
      <c r="H6" s="6"/>
      <c r="I6" s="6"/>
      <c r="J6" s="16">
        <f t="shared" si="0"/>
        <v>65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77</v>
      </c>
      <c r="D7" s="6"/>
      <c r="E7" s="6">
        <v>3</v>
      </c>
      <c r="F7" s="6"/>
      <c r="G7" s="6"/>
      <c r="H7" s="6"/>
      <c r="I7" s="6"/>
      <c r="J7" s="16">
        <f t="shared" si="0"/>
        <v>74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11</v>
      </c>
      <c r="D8" s="6">
        <v>66</v>
      </c>
      <c r="E8" s="6"/>
      <c r="F8" s="6">
        <v>5</v>
      </c>
      <c r="G8" s="6"/>
      <c r="H8" s="6">
        <v>6</v>
      </c>
      <c r="I8" s="6"/>
      <c r="J8" s="16">
        <f t="shared" si="0"/>
        <v>66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60</v>
      </c>
      <c r="D9" s="6">
        <v>54</v>
      </c>
      <c r="E9" s="6">
        <v>18</v>
      </c>
      <c r="F9" s="6">
        <v>18</v>
      </c>
      <c r="G9" s="6"/>
      <c r="H9" s="6">
        <v>58</v>
      </c>
      <c r="I9" s="6"/>
      <c r="J9" s="16">
        <f t="shared" si="0"/>
        <v>20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38</v>
      </c>
      <c r="D10" s="6"/>
      <c r="E10" s="6"/>
      <c r="F10" s="6"/>
      <c r="G10" s="6">
        <v>3</v>
      </c>
      <c r="H10" s="6"/>
      <c r="I10" s="6"/>
      <c r="J10" s="16">
        <f t="shared" si="0"/>
        <v>35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382</v>
      </c>
      <c r="D11" s="6">
        <v>20</v>
      </c>
      <c r="E11" s="6"/>
      <c r="F11" s="6">
        <v>13</v>
      </c>
      <c r="G11" s="6"/>
      <c r="H11" s="6"/>
      <c r="I11" s="6"/>
      <c r="J11" s="16">
        <f t="shared" si="0"/>
        <v>389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579</v>
      </c>
      <c r="D12" s="6"/>
      <c r="E12" s="6"/>
      <c r="F12" s="6">
        <v>216</v>
      </c>
      <c r="G12" s="6"/>
      <c r="H12" s="6"/>
      <c r="I12" s="6"/>
      <c r="J12" s="16">
        <f t="shared" si="0"/>
        <v>363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68</v>
      </c>
      <c r="D13" s="6"/>
      <c r="E13" s="6"/>
      <c r="F13" s="6"/>
      <c r="G13" s="6"/>
      <c r="H13" s="6"/>
      <c r="I13" s="6"/>
      <c r="J13" s="16">
        <f t="shared" si="0"/>
        <v>68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86</v>
      </c>
      <c r="D14" s="6">
        <v>30</v>
      </c>
      <c r="E14" s="6"/>
      <c r="F14" s="6"/>
      <c r="G14" s="6"/>
      <c r="H14" s="6"/>
      <c r="I14" s="6"/>
      <c r="J14" s="16">
        <f t="shared" si="0"/>
        <v>116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25</v>
      </c>
      <c r="D15" s="6">
        <v>55</v>
      </c>
      <c r="E15" s="6"/>
      <c r="F15" s="6">
        <v>25</v>
      </c>
      <c r="G15" s="6"/>
      <c r="H15" s="6"/>
      <c r="I15" s="6"/>
      <c r="J15" s="16">
        <f t="shared" si="0"/>
        <v>55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24</v>
      </c>
      <c r="D16" s="6"/>
      <c r="E16" s="6"/>
      <c r="F16" s="6"/>
      <c r="G16" s="6"/>
      <c r="H16" s="6"/>
      <c r="I16" s="6"/>
      <c r="J16" s="16">
        <f t="shared" si="0"/>
        <v>24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86</v>
      </c>
      <c r="D17" s="6">
        <v>443</v>
      </c>
      <c r="E17" s="6">
        <v>63</v>
      </c>
      <c r="F17" s="6">
        <v>26</v>
      </c>
      <c r="G17" s="6">
        <v>150</v>
      </c>
      <c r="H17" s="6">
        <v>200</v>
      </c>
      <c r="I17" s="6"/>
      <c r="J17" s="16">
        <f t="shared" si="0"/>
        <v>90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321</v>
      </c>
      <c r="D18" s="6">
        <v>62</v>
      </c>
      <c r="E18" s="6">
        <v>50</v>
      </c>
      <c r="F18" s="6"/>
      <c r="G18" s="6">
        <v>159</v>
      </c>
      <c r="H18" s="6"/>
      <c r="I18" s="6"/>
      <c r="J18" s="16">
        <f t="shared" si="0"/>
        <v>174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75</v>
      </c>
      <c r="D19" s="6"/>
      <c r="E19" s="6">
        <v>2</v>
      </c>
      <c r="F19" s="6"/>
      <c r="G19" s="6"/>
      <c r="H19" s="6"/>
      <c r="I19" s="6"/>
      <c r="J19" s="16">
        <f t="shared" si="0"/>
        <v>73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29</v>
      </c>
      <c r="D20" s="6"/>
      <c r="E20" s="6">
        <v>2</v>
      </c>
      <c r="F20" s="6"/>
      <c r="G20" s="6"/>
      <c r="H20" s="6"/>
      <c r="I20" s="6"/>
      <c r="J20" s="16">
        <f t="shared" si="0"/>
        <v>27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125</v>
      </c>
      <c r="D21" s="6"/>
      <c r="E21" s="6"/>
      <c r="F21" s="6"/>
      <c r="G21" s="6"/>
      <c r="H21" s="6"/>
      <c r="I21" s="6"/>
      <c r="J21" s="16">
        <f t="shared" si="0"/>
        <v>125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16</v>
      </c>
      <c r="D22" s="6"/>
      <c r="E22" s="6"/>
      <c r="F22" s="6"/>
      <c r="G22" s="6"/>
      <c r="H22" s="6"/>
      <c r="I22" s="6"/>
      <c r="J22" s="16">
        <f t="shared" si="0"/>
        <v>16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1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31</v>
      </c>
      <c r="D24" s="6"/>
      <c r="E24" s="6"/>
      <c r="F24" s="6"/>
      <c r="G24" s="6"/>
      <c r="H24" s="6"/>
      <c r="I24" s="6"/>
      <c r="J24" s="16">
        <f t="shared" si="0"/>
        <v>31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5</v>
      </c>
      <c r="D25" s="6"/>
      <c r="E25" s="6"/>
      <c r="F25" s="6"/>
      <c r="G25" s="6"/>
      <c r="H25" s="6"/>
      <c r="I25" s="6"/>
      <c r="J25" s="16">
        <f t="shared" si="0"/>
        <v>5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394</v>
      </c>
      <c r="D26" s="6"/>
      <c r="E26" s="6"/>
      <c r="F26" s="6"/>
      <c r="G26" s="6"/>
      <c r="H26" s="6"/>
      <c r="I26" s="6"/>
      <c r="J26" s="16">
        <f t="shared" si="0"/>
        <v>394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23</v>
      </c>
      <c r="C27" s="6">
        <v>0</v>
      </c>
      <c r="D27" s="6"/>
      <c r="E27" s="6"/>
      <c r="F27" s="6"/>
      <c r="G27" s="6"/>
      <c r="H27" s="6"/>
      <c r="I27" s="6"/>
      <c r="J27" s="16">
        <f t="shared" si="0"/>
        <v>0</v>
      </c>
      <c r="K27" s="13">
        <v>0</v>
      </c>
      <c r="L27" s="14"/>
    </row>
    <row r="28" spans="1:12" x14ac:dyDescent="0.25">
      <c r="A28" s="6">
        <v>26</v>
      </c>
      <c r="B28" s="7" t="s">
        <v>126</v>
      </c>
      <c r="C28" s="6">
        <v>0</v>
      </c>
      <c r="D28" s="6">
        <v>103</v>
      </c>
      <c r="E28" s="6"/>
      <c r="F28" s="6">
        <v>103</v>
      </c>
      <c r="G28" s="6"/>
      <c r="H28" s="6"/>
      <c r="I28" s="6"/>
      <c r="J28" s="1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48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127</v>
      </c>
      <c r="C30" s="6">
        <v>0</v>
      </c>
      <c r="D30" s="6">
        <v>103</v>
      </c>
      <c r="E30" s="6"/>
      <c r="F30" s="6">
        <v>103</v>
      </c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16">
        <f t="shared" si="0"/>
        <v>0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427</v>
      </c>
      <c r="D32" s="6"/>
      <c r="E32" s="6"/>
      <c r="F32" s="6"/>
      <c r="G32" s="6"/>
      <c r="H32" s="6"/>
      <c r="I32" s="6"/>
      <c r="J32" s="16">
        <f t="shared" si="0"/>
        <v>427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47</v>
      </c>
      <c r="D33" s="6"/>
      <c r="E33" s="6">
        <v>4</v>
      </c>
      <c r="F33" s="6"/>
      <c r="G33" s="6"/>
      <c r="H33" s="6"/>
      <c r="I33" s="6"/>
      <c r="J33" s="16">
        <f t="shared" si="0"/>
        <v>43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13</v>
      </c>
      <c r="D34" s="6"/>
      <c r="E34" s="6"/>
      <c r="F34" s="6"/>
      <c r="G34" s="6"/>
      <c r="H34" s="6"/>
      <c r="I34" s="6"/>
      <c r="J34" s="16">
        <f t="shared" si="0"/>
        <v>13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68</v>
      </c>
      <c r="D37" s="6"/>
      <c r="E37" s="6"/>
      <c r="F37" s="6"/>
      <c r="G37" s="6"/>
      <c r="H37" s="6"/>
      <c r="I37" s="6"/>
      <c r="J37" s="16">
        <f t="shared" si="0"/>
        <v>68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31</v>
      </c>
      <c r="C38" s="6">
        <v>0</v>
      </c>
      <c r="D38" s="6"/>
      <c r="E38" s="6"/>
      <c r="F38" s="6"/>
      <c r="G38" s="6"/>
      <c r="H38" s="6"/>
      <c r="I38" s="6"/>
      <c r="J38" s="1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19</v>
      </c>
      <c r="D39" s="6"/>
      <c r="E39" s="6"/>
      <c r="F39" s="6"/>
      <c r="G39" s="6"/>
      <c r="H39" s="6"/>
      <c r="I39" s="6"/>
      <c r="J39" s="16">
        <f t="shared" si="0"/>
        <v>19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54</v>
      </c>
      <c r="D40" s="6"/>
      <c r="E40" s="6"/>
      <c r="F40" s="6"/>
      <c r="G40" s="6"/>
      <c r="H40" s="6"/>
      <c r="I40" s="6"/>
      <c r="J40" s="16">
        <f t="shared" si="0"/>
        <v>54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67</v>
      </c>
      <c r="D41" s="6"/>
      <c r="E41" s="6"/>
      <c r="F41" s="6"/>
      <c r="G41" s="6"/>
      <c r="H41" s="6"/>
      <c r="I41" s="6"/>
      <c r="J41" s="16">
        <f t="shared" si="0"/>
        <v>67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51</v>
      </c>
      <c r="D42" s="6"/>
      <c r="E42" s="6">
        <v>1</v>
      </c>
      <c r="F42" s="6"/>
      <c r="G42" s="6"/>
      <c r="H42" s="6"/>
      <c r="I42" s="6"/>
      <c r="J42" s="16">
        <f t="shared" si="0"/>
        <v>50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220</v>
      </c>
      <c r="D43" s="6"/>
      <c r="E43" s="6">
        <v>55</v>
      </c>
      <c r="F43" s="6"/>
      <c r="G43" s="6"/>
      <c r="H43" s="6"/>
      <c r="I43" s="6"/>
      <c r="J43" s="16">
        <f t="shared" si="0"/>
        <v>165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55</v>
      </c>
      <c r="D44" s="6"/>
      <c r="E44" s="6"/>
      <c r="F44" s="6"/>
      <c r="G44" s="6"/>
      <c r="H44" s="6"/>
      <c r="I44" s="6"/>
      <c r="J44" s="16">
        <f t="shared" si="0"/>
        <v>55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24</v>
      </c>
      <c r="D45" s="6"/>
      <c r="E45" s="6"/>
      <c r="F45" s="6"/>
      <c r="G45" s="6"/>
      <c r="H45" s="6"/>
      <c r="I45" s="6"/>
      <c r="J45" s="16">
        <f t="shared" si="0"/>
        <v>24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28</v>
      </c>
      <c r="D46" s="6"/>
      <c r="E46" s="6"/>
      <c r="F46" s="6"/>
      <c r="G46" s="6"/>
      <c r="H46" s="6"/>
      <c r="I46" s="6"/>
      <c r="J46" s="16">
        <f t="shared" si="0"/>
        <v>28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34</v>
      </c>
      <c r="D47" s="6"/>
      <c r="E47" s="6"/>
      <c r="F47" s="6"/>
      <c r="G47" s="6"/>
      <c r="H47" s="6"/>
      <c r="I47" s="6"/>
      <c r="J47" s="16">
        <f t="shared" si="0"/>
        <v>34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285</v>
      </c>
      <c r="D48" s="6"/>
      <c r="E48" s="6"/>
      <c r="F48" s="6"/>
      <c r="G48" s="6"/>
      <c r="H48" s="6"/>
      <c r="I48" s="6"/>
      <c r="J48" s="16">
        <f t="shared" si="0"/>
        <v>285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120</v>
      </c>
      <c r="D49" s="6">
        <v>570</v>
      </c>
      <c r="E49" s="6">
        <v>338</v>
      </c>
      <c r="F49" s="6">
        <v>4</v>
      </c>
      <c r="G49" s="6">
        <v>13</v>
      </c>
      <c r="H49" s="6"/>
      <c r="I49" s="6"/>
      <c r="J49" s="16">
        <f t="shared" si="0"/>
        <v>335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127</v>
      </c>
      <c r="D50" s="6"/>
      <c r="E50" s="6">
        <v>4</v>
      </c>
      <c r="F50" s="6"/>
      <c r="G50" s="6"/>
      <c r="H50" s="6"/>
      <c r="I50" s="6"/>
      <c r="J50" s="16">
        <f t="shared" si="0"/>
        <v>123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56</v>
      </c>
      <c r="D51" s="6"/>
      <c r="E51" s="6">
        <v>1</v>
      </c>
      <c r="F51" s="6"/>
      <c r="G51" s="6"/>
      <c r="H51" s="6"/>
      <c r="I51" s="6"/>
      <c r="J51" s="16">
        <f t="shared" si="0"/>
        <v>55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23</v>
      </c>
      <c r="D52" s="6"/>
      <c r="E52" s="6"/>
      <c r="F52" s="6"/>
      <c r="G52" s="6"/>
      <c r="H52" s="6"/>
      <c r="I52" s="6"/>
      <c r="J52" s="16">
        <f t="shared" si="0"/>
        <v>23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62</v>
      </c>
      <c r="D53" s="6"/>
      <c r="E53" s="6"/>
      <c r="F53" s="6"/>
      <c r="G53" s="6">
        <v>4</v>
      </c>
      <c r="H53" s="6"/>
      <c r="I53" s="6"/>
      <c r="J53" s="16">
        <f t="shared" si="0"/>
        <v>58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26</v>
      </c>
      <c r="D54" s="6"/>
      <c r="E54" s="6"/>
      <c r="F54" s="6"/>
      <c r="G54" s="6"/>
      <c r="H54" s="6"/>
      <c r="I54" s="6"/>
      <c r="J54" s="16">
        <f t="shared" si="0"/>
        <v>26</v>
      </c>
      <c r="K54" s="13">
        <v>0</v>
      </c>
      <c r="L54" s="14"/>
    </row>
    <row r="55" spans="1:12" x14ac:dyDescent="0.25">
      <c r="A55" s="6">
        <v>53</v>
      </c>
      <c r="B55" s="7" t="s">
        <v>46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54</v>
      </c>
      <c r="B56" s="7" t="s">
        <v>47</v>
      </c>
      <c r="C56" s="6">
        <v>62</v>
      </c>
      <c r="D56" s="6"/>
      <c r="E56" s="6"/>
      <c r="F56" s="6"/>
      <c r="G56" s="6"/>
      <c r="H56" s="6"/>
      <c r="I56" s="6"/>
      <c r="J56" s="16">
        <f t="shared" si="0"/>
        <v>62</v>
      </c>
      <c r="K56" s="13">
        <v>0</v>
      </c>
      <c r="L56" s="14"/>
    </row>
    <row r="57" spans="1:12" x14ac:dyDescent="0.25">
      <c r="A57" s="6">
        <v>55</v>
      </c>
      <c r="B57" s="7" t="s">
        <v>118</v>
      </c>
      <c r="C57" s="6">
        <v>2</v>
      </c>
      <c r="D57" s="6"/>
      <c r="E57" s="6"/>
      <c r="F57" s="6"/>
      <c r="G57" s="6"/>
      <c r="H57" s="6"/>
      <c r="I57" s="6"/>
      <c r="J57" s="16">
        <f t="shared" si="0"/>
        <v>2</v>
      </c>
      <c r="K57" s="13">
        <v>0</v>
      </c>
      <c r="L57" s="14"/>
    </row>
    <row r="58" spans="1:12" x14ac:dyDescent="0.25">
      <c r="A58" s="6">
        <v>56</v>
      </c>
      <c r="B58" s="7" t="s">
        <v>114</v>
      </c>
      <c r="C58" s="6">
        <v>55</v>
      </c>
      <c r="D58" s="6"/>
      <c r="E58" s="6"/>
      <c r="F58" s="6"/>
      <c r="G58" s="6"/>
      <c r="H58" s="6"/>
      <c r="I58" s="6"/>
      <c r="J58" s="16">
        <f t="shared" si="0"/>
        <v>55</v>
      </c>
      <c r="K58" s="13">
        <v>10</v>
      </c>
      <c r="L58" s="14">
        <v>20</v>
      </c>
    </row>
    <row r="59" spans="1:12" x14ac:dyDescent="0.25">
      <c r="A59" s="6">
        <v>57</v>
      </c>
      <c r="B59" s="7" t="s">
        <v>116</v>
      </c>
      <c r="C59" s="6">
        <v>20</v>
      </c>
      <c r="D59" s="6"/>
      <c r="E59" s="6"/>
      <c r="F59" s="6"/>
      <c r="G59" s="6"/>
      <c r="H59" s="6"/>
      <c r="I59" s="6"/>
      <c r="J59" s="16">
        <f t="shared" si="0"/>
        <v>20</v>
      </c>
      <c r="K59" s="13">
        <v>10</v>
      </c>
      <c r="L59" s="14">
        <v>20</v>
      </c>
    </row>
    <row r="60" spans="1:12" x14ac:dyDescent="0.25">
      <c r="A60" s="6">
        <v>58</v>
      </c>
      <c r="B60" s="7" t="s">
        <v>57</v>
      </c>
      <c r="C60" s="6">
        <v>58</v>
      </c>
      <c r="D60" s="6"/>
      <c r="E60" s="6"/>
      <c r="F60" s="6"/>
      <c r="G60" s="6"/>
      <c r="H60" s="6"/>
      <c r="I60" s="6"/>
      <c r="J60" s="16">
        <f t="shared" si="0"/>
        <v>58</v>
      </c>
      <c r="K60" s="13">
        <v>10</v>
      </c>
      <c r="L60" s="14">
        <v>20</v>
      </c>
    </row>
    <row r="61" spans="1:12" x14ac:dyDescent="0.25">
      <c r="A61" s="6">
        <v>59</v>
      </c>
      <c r="B61" s="7" t="s">
        <v>58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10</v>
      </c>
      <c r="L61" s="14">
        <v>20</v>
      </c>
    </row>
    <row r="62" spans="1:12" x14ac:dyDescent="0.25">
      <c r="A62" s="6">
        <v>60</v>
      </c>
      <c r="B62" s="17" t="s">
        <v>125</v>
      </c>
      <c r="C62" s="6">
        <v>0</v>
      </c>
      <c r="D62" s="6"/>
      <c r="E62" s="6"/>
      <c r="F62" s="6"/>
      <c r="G62" s="6"/>
      <c r="H62" s="6"/>
      <c r="I62" s="6"/>
      <c r="J62" s="16">
        <f t="shared" si="0"/>
        <v>0</v>
      </c>
      <c r="K62" s="13">
        <v>20</v>
      </c>
      <c r="L62" s="14">
        <v>50</v>
      </c>
    </row>
    <row r="63" spans="1:12" x14ac:dyDescent="0.25">
      <c r="A63" s="6">
        <v>61</v>
      </c>
      <c r="B63" s="8" t="s">
        <v>119</v>
      </c>
      <c r="C63" s="6">
        <v>11</v>
      </c>
      <c r="D63" s="6"/>
      <c r="E63" s="6"/>
      <c r="F63" s="6"/>
      <c r="G63" s="6"/>
      <c r="H63" s="6"/>
      <c r="I63" s="6"/>
      <c r="J63" s="16">
        <f t="shared" si="0"/>
        <v>11</v>
      </c>
      <c r="K63" s="13">
        <v>20</v>
      </c>
      <c r="L63" s="14">
        <v>50</v>
      </c>
    </row>
    <row r="64" spans="1:12" x14ac:dyDescent="0.25">
      <c r="A64" s="6">
        <v>62</v>
      </c>
      <c r="B64" s="9" t="s">
        <v>67</v>
      </c>
      <c r="C64" s="6">
        <v>29</v>
      </c>
      <c r="D64" s="6"/>
      <c r="E64" s="6"/>
      <c r="F64" s="6"/>
      <c r="G64" s="6"/>
      <c r="H64" s="6"/>
      <c r="I64" s="6"/>
      <c r="J64" s="16">
        <f t="shared" si="0"/>
        <v>29</v>
      </c>
      <c r="K64" s="13">
        <v>50</v>
      </c>
      <c r="L64" s="14">
        <v>100</v>
      </c>
    </row>
    <row r="65" spans="1:12" x14ac:dyDescent="0.25">
      <c r="A65" s="6">
        <v>63</v>
      </c>
      <c r="B65" s="7" t="s">
        <v>115</v>
      </c>
      <c r="C65" s="6">
        <v>32</v>
      </c>
      <c r="D65" s="6"/>
      <c r="E65" s="6"/>
      <c r="F65" s="6"/>
      <c r="G65" s="6"/>
      <c r="H65" s="6"/>
      <c r="I65" s="6"/>
      <c r="J65" s="16">
        <f t="shared" si="0"/>
        <v>32</v>
      </c>
      <c r="K65" s="13">
        <v>10</v>
      </c>
      <c r="L65" s="14">
        <v>20</v>
      </c>
    </row>
    <row r="66" spans="1:12" x14ac:dyDescent="0.25">
      <c r="A66" s="6">
        <v>64</v>
      </c>
      <c r="B66" s="8" t="s">
        <v>74</v>
      </c>
      <c r="C66" s="6">
        <v>173</v>
      </c>
      <c r="D66" s="6"/>
      <c r="E66" s="6">
        <v>1</v>
      </c>
      <c r="F66" s="6"/>
      <c r="G66" s="6"/>
      <c r="H66" s="6"/>
      <c r="I66" s="6"/>
      <c r="J66" s="16">
        <f t="shared" si="0"/>
        <v>172</v>
      </c>
      <c r="K66" s="13">
        <v>10</v>
      </c>
      <c r="L66" s="14">
        <v>20</v>
      </c>
    </row>
    <row r="67" spans="1:12" x14ac:dyDescent="0.25">
      <c r="A67" s="6">
        <v>65</v>
      </c>
      <c r="B67" s="8" t="s">
        <v>75</v>
      </c>
      <c r="C67" s="6">
        <v>45</v>
      </c>
      <c r="D67" s="6">
        <v>30</v>
      </c>
      <c r="E67" s="6"/>
      <c r="F67" s="6"/>
      <c r="G67" s="6"/>
      <c r="H67" s="6"/>
      <c r="I67" s="6"/>
      <c r="J67" s="16">
        <f t="shared" ref="J67:J78" si="1">+C67-E67-F67-G67-H67-I67+D67</f>
        <v>75</v>
      </c>
      <c r="K67" s="13">
        <v>10</v>
      </c>
      <c r="L67" s="14">
        <v>20</v>
      </c>
    </row>
    <row r="68" spans="1:12" x14ac:dyDescent="0.25">
      <c r="A68" s="6">
        <v>66</v>
      </c>
      <c r="B68" s="8" t="s">
        <v>76</v>
      </c>
      <c r="C68" s="6">
        <v>0</v>
      </c>
      <c r="D68" s="6"/>
      <c r="E68" s="6"/>
      <c r="F68" s="6"/>
      <c r="G68" s="6"/>
      <c r="H68" s="6"/>
      <c r="I68" s="6"/>
      <c r="J68" s="16">
        <f t="shared" si="1"/>
        <v>0</v>
      </c>
      <c r="K68" s="13">
        <v>10</v>
      </c>
      <c r="L68" s="14">
        <v>20</v>
      </c>
    </row>
    <row r="69" spans="1:12" x14ac:dyDescent="0.25">
      <c r="A69" s="6">
        <v>67</v>
      </c>
      <c r="B69" s="8" t="s">
        <v>77</v>
      </c>
      <c r="C69" s="6">
        <v>39</v>
      </c>
      <c r="D69" s="6"/>
      <c r="E69" s="6"/>
      <c r="F69" s="6"/>
      <c r="G69" s="6"/>
      <c r="H69" s="6"/>
      <c r="I69" s="6"/>
      <c r="J69" s="16">
        <f t="shared" si="1"/>
        <v>39</v>
      </c>
      <c r="K69" s="13">
        <v>10</v>
      </c>
      <c r="L69" s="14">
        <v>20</v>
      </c>
    </row>
    <row r="70" spans="1:12" x14ac:dyDescent="0.25">
      <c r="A70" s="6">
        <v>68</v>
      </c>
      <c r="B70" s="8" t="s">
        <v>78</v>
      </c>
      <c r="C70" s="6">
        <v>45</v>
      </c>
      <c r="D70" s="6"/>
      <c r="E70" s="6"/>
      <c r="F70" s="6"/>
      <c r="G70" s="6"/>
      <c r="H70" s="6"/>
      <c r="I70" s="6"/>
      <c r="J70" s="16">
        <f t="shared" si="1"/>
        <v>45</v>
      </c>
      <c r="K70" s="13">
        <v>10</v>
      </c>
      <c r="L70" s="14">
        <v>20</v>
      </c>
    </row>
    <row r="71" spans="1:12" x14ac:dyDescent="0.25">
      <c r="A71" s="6">
        <v>69</v>
      </c>
      <c r="B71" s="8" t="s">
        <v>79</v>
      </c>
      <c r="C71" s="6">
        <v>10</v>
      </c>
      <c r="D71" s="6"/>
      <c r="E71" s="6"/>
      <c r="F71" s="6"/>
      <c r="G71" s="6"/>
      <c r="H71" s="6"/>
      <c r="I71" s="6"/>
      <c r="J71" s="16">
        <f t="shared" si="1"/>
        <v>10</v>
      </c>
      <c r="K71" s="13">
        <v>10</v>
      </c>
      <c r="L71" s="14">
        <v>20</v>
      </c>
    </row>
    <row r="72" spans="1:12" x14ac:dyDescent="0.25">
      <c r="A72" s="6">
        <v>70</v>
      </c>
      <c r="B72" s="8" t="s">
        <v>80</v>
      </c>
      <c r="C72" s="6">
        <v>25</v>
      </c>
      <c r="D72" s="6"/>
      <c r="E72" s="6"/>
      <c r="F72" s="6"/>
      <c r="G72" s="6"/>
      <c r="H72" s="6"/>
      <c r="I72" s="6"/>
      <c r="J72" s="16">
        <f t="shared" si="1"/>
        <v>25</v>
      </c>
      <c r="K72" s="13">
        <v>10</v>
      </c>
      <c r="L72" s="14">
        <v>20</v>
      </c>
    </row>
    <row r="73" spans="1:12" x14ac:dyDescent="0.25">
      <c r="A73" s="6">
        <v>71</v>
      </c>
      <c r="B73" s="8" t="s">
        <v>81</v>
      </c>
      <c r="C73" s="6">
        <v>10</v>
      </c>
      <c r="D73" s="6"/>
      <c r="E73" s="6"/>
      <c r="F73" s="6"/>
      <c r="G73" s="6"/>
      <c r="H73" s="6"/>
      <c r="I73" s="6"/>
      <c r="J73" s="16">
        <f t="shared" si="1"/>
        <v>10</v>
      </c>
      <c r="K73" s="13">
        <v>10</v>
      </c>
      <c r="L73" s="14">
        <v>20</v>
      </c>
    </row>
    <row r="74" spans="1:12" x14ac:dyDescent="0.25">
      <c r="A74" s="6">
        <v>72</v>
      </c>
      <c r="B74" s="8" t="s">
        <v>86</v>
      </c>
      <c r="C74" s="6">
        <v>124</v>
      </c>
      <c r="D74" s="6"/>
      <c r="E74" s="6">
        <v>1</v>
      </c>
      <c r="F74" s="6">
        <v>2</v>
      </c>
      <c r="G74" s="6"/>
      <c r="H74" s="6"/>
      <c r="I74" s="6"/>
      <c r="J74" s="16">
        <f t="shared" si="1"/>
        <v>121</v>
      </c>
      <c r="K74" s="13">
        <v>10</v>
      </c>
      <c r="L74" s="14">
        <v>20</v>
      </c>
    </row>
    <row r="75" spans="1:12" x14ac:dyDescent="0.25">
      <c r="A75" s="6">
        <v>73</v>
      </c>
      <c r="B75" s="8" t="s">
        <v>104</v>
      </c>
      <c r="C75" s="6">
        <v>144</v>
      </c>
      <c r="D75" s="6"/>
      <c r="E75" s="6"/>
      <c r="F75" s="6"/>
      <c r="G75" s="6"/>
      <c r="H75" s="6"/>
      <c r="I75" s="6"/>
      <c r="J75" s="16">
        <f t="shared" si="1"/>
        <v>144</v>
      </c>
      <c r="K75" s="13">
        <v>10</v>
      </c>
      <c r="L75" s="14">
        <v>20</v>
      </c>
    </row>
    <row r="76" spans="1:12" x14ac:dyDescent="0.25">
      <c r="A76" s="6">
        <v>74</v>
      </c>
      <c r="B76" s="8" t="s">
        <v>82</v>
      </c>
      <c r="C76" s="6">
        <v>19</v>
      </c>
      <c r="D76" s="6">
        <v>0</v>
      </c>
      <c r="E76" s="6">
        <v>5</v>
      </c>
      <c r="F76" s="6">
        <v>4</v>
      </c>
      <c r="G76" s="6"/>
      <c r="H76" s="6"/>
      <c r="I76" s="6"/>
      <c r="J76" s="16">
        <f t="shared" si="1"/>
        <v>10</v>
      </c>
      <c r="K76" s="13">
        <v>10</v>
      </c>
      <c r="L76" s="14">
        <v>20</v>
      </c>
    </row>
    <row r="77" spans="1:12" x14ac:dyDescent="0.25">
      <c r="A77" s="6">
        <v>75</v>
      </c>
      <c r="B77" s="8" t="s">
        <v>109</v>
      </c>
      <c r="C77" s="6">
        <v>29</v>
      </c>
      <c r="D77" s="6"/>
      <c r="E77" s="6">
        <v>3</v>
      </c>
      <c r="F77" s="6"/>
      <c r="G77" s="6">
        <v>4</v>
      </c>
      <c r="H77" s="6"/>
      <c r="I77" s="6"/>
      <c r="J77" s="16">
        <f t="shared" si="1"/>
        <v>22</v>
      </c>
      <c r="K77" s="13">
        <v>10</v>
      </c>
      <c r="L77" s="14">
        <v>20</v>
      </c>
    </row>
    <row r="78" spans="1:12" x14ac:dyDescent="0.25">
      <c r="A78" s="6">
        <v>76</v>
      </c>
      <c r="B78" s="8" t="s">
        <v>124</v>
      </c>
      <c r="C78" s="6">
        <v>24</v>
      </c>
      <c r="D78" s="6"/>
      <c r="E78" s="6"/>
      <c r="F78" s="6"/>
      <c r="G78" s="6"/>
      <c r="H78" s="6"/>
      <c r="I78" s="6"/>
      <c r="J78" s="16">
        <f t="shared" si="1"/>
        <v>24</v>
      </c>
      <c r="K78" s="13">
        <v>10</v>
      </c>
      <c r="L78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76"/>
  <sheetViews>
    <sheetView topLeftCell="A22" zoomScaleNormal="100" workbookViewId="0">
      <selection activeCell="I69" sqref="I69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45627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45660</v>
      </c>
      <c r="F2" s="18">
        <v>45667</v>
      </c>
      <c r="G2" s="18">
        <v>45674</v>
      </c>
      <c r="H2" s="18">
        <v>45681</v>
      </c>
      <c r="I2" s="18">
        <v>45688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33</v>
      </c>
      <c r="D3" s="6"/>
      <c r="E3" s="6"/>
      <c r="F3" s="6"/>
      <c r="G3" s="6">
        <v>1</v>
      </c>
      <c r="H3" s="6"/>
      <c r="I3" s="6"/>
      <c r="J3" s="16">
        <f t="shared" ref="J3:J64" si="0">+C3-E3-F3-G3-H3-I3+D3</f>
        <v>32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64</v>
      </c>
      <c r="D4" s="6"/>
      <c r="E4" s="6">
        <v>2</v>
      </c>
      <c r="F4" s="6">
        <v>4</v>
      </c>
      <c r="G4" s="6">
        <v>2</v>
      </c>
      <c r="H4" s="6"/>
      <c r="I4" s="6"/>
      <c r="J4" s="16">
        <f t="shared" si="0"/>
        <v>56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62</v>
      </c>
      <c r="D6" s="6"/>
      <c r="E6" s="6"/>
      <c r="F6" s="6"/>
      <c r="G6" s="6"/>
      <c r="H6" s="6"/>
      <c r="I6" s="6">
        <v>5</v>
      </c>
      <c r="J6" s="16">
        <f t="shared" si="0"/>
        <v>57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31</v>
      </c>
      <c r="D7" s="6">
        <v>45</v>
      </c>
      <c r="E7" s="6"/>
      <c r="F7" s="6">
        <v>10</v>
      </c>
      <c r="G7" s="6">
        <v>4</v>
      </c>
      <c r="H7" s="6">
        <v>2</v>
      </c>
      <c r="I7" s="6">
        <v>17</v>
      </c>
      <c r="J7" s="16">
        <f t="shared" si="0"/>
        <v>43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45</v>
      </c>
      <c r="D8" s="6"/>
      <c r="E8" s="6"/>
      <c r="F8" s="6"/>
      <c r="G8" s="6"/>
      <c r="H8" s="6"/>
      <c r="I8" s="6"/>
      <c r="J8" s="16">
        <f t="shared" si="0"/>
        <v>45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13</v>
      </c>
      <c r="D9" s="6">
        <v>75</v>
      </c>
      <c r="E9" s="6">
        <v>7</v>
      </c>
      <c r="F9" s="6"/>
      <c r="G9" s="6"/>
      <c r="H9" s="6"/>
      <c r="I9" s="6"/>
      <c r="J9" s="16">
        <f t="shared" si="0"/>
        <v>81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5</v>
      </c>
      <c r="D10" s="6">
        <v>13</v>
      </c>
      <c r="E10" s="6"/>
      <c r="F10" s="6"/>
      <c r="G10" s="6"/>
      <c r="H10" s="6"/>
      <c r="I10" s="6"/>
      <c r="J10" s="16">
        <f t="shared" si="0"/>
        <v>18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380</v>
      </c>
      <c r="D11" s="6"/>
      <c r="E11" s="6">
        <v>11</v>
      </c>
      <c r="F11" s="6">
        <v>104</v>
      </c>
      <c r="G11" s="6"/>
      <c r="H11" s="6">
        <v>4</v>
      </c>
      <c r="I11" s="6">
        <v>8</v>
      </c>
      <c r="J11" s="16">
        <f t="shared" si="0"/>
        <v>253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490</v>
      </c>
      <c r="D12" s="6"/>
      <c r="E12" s="6"/>
      <c r="F12" s="6">
        <v>100</v>
      </c>
      <c r="G12" s="6"/>
      <c r="H12" s="6">
        <v>4</v>
      </c>
      <c r="I12" s="6">
        <v>6</v>
      </c>
      <c r="J12" s="16">
        <f t="shared" si="0"/>
        <v>380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0</v>
      </c>
      <c r="D13" s="6"/>
      <c r="E13" s="6"/>
      <c r="F13" s="6"/>
      <c r="G13" s="6"/>
      <c r="H13" s="6"/>
      <c r="I13" s="6"/>
      <c r="J13" s="16">
        <f t="shared" si="0"/>
        <v>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38</v>
      </c>
      <c r="D14" s="6">
        <v>20</v>
      </c>
      <c r="E14" s="6"/>
      <c r="F14" s="6"/>
      <c r="G14" s="6"/>
      <c r="H14" s="6"/>
      <c r="I14" s="6">
        <v>1</v>
      </c>
      <c r="J14" s="16">
        <f t="shared" si="0"/>
        <v>57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36</v>
      </c>
      <c r="D15" s="6"/>
      <c r="E15" s="6"/>
      <c r="F15" s="6"/>
      <c r="G15" s="6"/>
      <c r="H15" s="6"/>
      <c r="I15" s="6"/>
      <c r="J15" s="16">
        <f t="shared" si="0"/>
        <v>36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24</v>
      </c>
      <c r="D16" s="6"/>
      <c r="E16" s="6"/>
      <c r="F16" s="6"/>
      <c r="G16" s="6"/>
      <c r="H16" s="6"/>
      <c r="I16" s="6"/>
      <c r="J16" s="16">
        <f t="shared" si="0"/>
        <v>24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75</v>
      </c>
      <c r="D17" s="6">
        <v>142</v>
      </c>
      <c r="E17" s="6"/>
      <c r="F17" s="6">
        <v>6</v>
      </c>
      <c r="G17" s="6">
        <v>110</v>
      </c>
      <c r="H17" s="6">
        <v>1</v>
      </c>
      <c r="I17" s="6">
        <v>12</v>
      </c>
      <c r="J17" s="16">
        <f t="shared" si="0"/>
        <v>88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180</v>
      </c>
      <c r="D18" s="6">
        <v>13</v>
      </c>
      <c r="E18" s="6"/>
      <c r="F18" s="6"/>
      <c r="G18" s="6"/>
      <c r="H18" s="6"/>
      <c r="I18" s="6">
        <v>14</v>
      </c>
      <c r="J18" s="16">
        <f t="shared" si="0"/>
        <v>179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28</v>
      </c>
      <c r="D19" s="6">
        <v>146</v>
      </c>
      <c r="E19" s="6"/>
      <c r="F19" s="6">
        <v>8</v>
      </c>
      <c r="G19" s="6">
        <v>2</v>
      </c>
      <c r="H19" s="6">
        <v>2</v>
      </c>
      <c r="I19" s="6">
        <v>100</v>
      </c>
      <c r="J19" s="16">
        <f t="shared" si="0"/>
        <v>62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30</v>
      </c>
      <c r="D20" s="6"/>
      <c r="E20" s="6"/>
      <c r="F20" s="6">
        <v>1</v>
      </c>
      <c r="G20" s="6"/>
      <c r="H20" s="6"/>
      <c r="I20" s="6">
        <v>4</v>
      </c>
      <c r="J20" s="16">
        <f t="shared" si="0"/>
        <v>25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120</v>
      </c>
      <c r="D21" s="6"/>
      <c r="E21" s="6"/>
      <c r="F21" s="6"/>
      <c r="G21" s="6"/>
      <c r="H21" s="6"/>
      <c r="I21" s="6"/>
      <c r="J21" s="16">
        <f t="shared" si="0"/>
        <v>120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20</v>
      </c>
      <c r="D22" s="6"/>
      <c r="E22" s="6"/>
      <c r="F22" s="6"/>
      <c r="G22" s="6"/>
      <c r="H22" s="6"/>
      <c r="I22" s="6"/>
      <c r="J22" s="16">
        <f t="shared" si="0"/>
        <v>20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>
        <v>20</v>
      </c>
      <c r="E23" s="6"/>
      <c r="F23" s="6"/>
      <c r="G23" s="6"/>
      <c r="H23" s="6"/>
      <c r="I23" s="6"/>
      <c r="J23" s="16">
        <f t="shared" si="0"/>
        <v>20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7</v>
      </c>
      <c r="D24" s="6">
        <v>17</v>
      </c>
      <c r="E24" s="6"/>
      <c r="F24" s="6"/>
      <c r="G24" s="6"/>
      <c r="H24" s="6"/>
      <c r="I24" s="6"/>
      <c r="J24" s="16">
        <f t="shared" si="0"/>
        <v>24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380</v>
      </c>
      <c r="D26" s="6"/>
      <c r="E26" s="6"/>
      <c r="F26" s="6">
        <v>2</v>
      </c>
      <c r="G26" s="6"/>
      <c r="H26" s="6"/>
      <c r="I26" s="6">
        <v>4</v>
      </c>
      <c r="J26" s="16">
        <f t="shared" si="0"/>
        <v>374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25</v>
      </c>
      <c r="D27" s="6"/>
      <c r="E27" s="6"/>
      <c r="F27" s="6">
        <v>4</v>
      </c>
      <c r="G27" s="6"/>
      <c r="H27" s="6"/>
      <c r="I27" s="6"/>
      <c r="J27" s="16">
        <f t="shared" si="0"/>
        <v>21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300</v>
      </c>
      <c r="D28" s="6">
        <v>112</v>
      </c>
      <c r="E28" s="6"/>
      <c r="F28" s="6"/>
      <c r="G28" s="6"/>
      <c r="H28" s="6"/>
      <c r="I28" s="6"/>
      <c r="J28" s="16">
        <f t="shared" si="0"/>
        <v>412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300</v>
      </c>
      <c r="D29" s="6">
        <v>118</v>
      </c>
      <c r="E29" s="6"/>
      <c r="F29" s="6"/>
      <c r="G29" s="6"/>
      <c r="H29" s="6"/>
      <c r="I29" s="6"/>
      <c r="J29" s="16">
        <f t="shared" si="0"/>
        <v>418</v>
      </c>
      <c r="K29" s="13">
        <v>0</v>
      </c>
      <c r="L29" s="14"/>
    </row>
    <row r="30" spans="1:12" x14ac:dyDescent="0.25">
      <c r="A30" s="6">
        <v>28</v>
      </c>
      <c r="B30" s="7" t="s">
        <v>92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>
        <v>53</v>
      </c>
      <c r="E31" s="6"/>
      <c r="F31" s="6"/>
      <c r="G31" s="6"/>
      <c r="H31" s="6"/>
      <c r="I31" s="6"/>
      <c r="J31" s="16">
        <f t="shared" si="0"/>
        <v>53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0</v>
      </c>
      <c r="D32" s="6">
        <v>550</v>
      </c>
      <c r="E32" s="6"/>
      <c r="F32" s="6"/>
      <c r="G32" s="6"/>
      <c r="H32" s="6"/>
      <c r="I32" s="6"/>
      <c r="J32" s="16">
        <f t="shared" si="0"/>
        <v>550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45</v>
      </c>
      <c r="D33" s="6"/>
      <c r="E33" s="6"/>
      <c r="F33" s="6"/>
      <c r="G33" s="6"/>
      <c r="H33" s="6"/>
      <c r="I33" s="6">
        <v>4</v>
      </c>
      <c r="J33" s="16">
        <f t="shared" si="0"/>
        <v>41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60</v>
      </c>
      <c r="D34" s="6"/>
      <c r="E34" s="6"/>
      <c r="F34" s="6"/>
      <c r="G34" s="6"/>
      <c r="H34" s="6"/>
      <c r="I34" s="6"/>
      <c r="J34" s="16">
        <f t="shared" si="0"/>
        <v>60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0</v>
      </c>
      <c r="D37" s="6">
        <v>40</v>
      </c>
      <c r="E37" s="6"/>
      <c r="F37" s="6"/>
      <c r="G37" s="6"/>
      <c r="H37" s="6"/>
      <c r="I37" s="6"/>
      <c r="J37" s="16">
        <f t="shared" si="0"/>
        <v>40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92</v>
      </c>
      <c r="C38" s="6">
        <v>0</v>
      </c>
      <c r="D38" s="6"/>
      <c r="E38" s="6"/>
      <c r="F38" s="6"/>
      <c r="G38" s="6"/>
      <c r="H38" s="6"/>
      <c r="I38" s="6"/>
      <c r="J38" s="16">
        <f t="shared" si="0"/>
        <v>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0</v>
      </c>
      <c r="D39" s="6"/>
      <c r="E39" s="6"/>
      <c r="F39" s="6"/>
      <c r="G39" s="6"/>
      <c r="H39" s="6"/>
      <c r="I39" s="6"/>
      <c r="J39" s="16">
        <f t="shared" si="0"/>
        <v>0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0</v>
      </c>
      <c r="D40" s="6"/>
      <c r="E40" s="6"/>
      <c r="F40" s="6"/>
      <c r="G40" s="6"/>
      <c r="H40" s="6"/>
      <c r="I40" s="6"/>
      <c r="J40" s="16">
        <f t="shared" si="0"/>
        <v>0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15</v>
      </c>
      <c r="D41" s="6">
        <v>64</v>
      </c>
      <c r="E41" s="6">
        <v>17</v>
      </c>
      <c r="F41" s="6">
        <v>2</v>
      </c>
      <c r="G41" s="6"/>
      <c r="H41" s="6"/>
      <c r="I41" s="6"/>
      <c r="J41" s="16">
        <f t="shared" si="0"/>
        <v>60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0</v>
      </c>
      <c r="D42" s="6">
        <v>123</v>
      </c>
      <c r="E42" s="6">
        <v>34</v>
      </c>
      <c r="F42" s="6">
        <v>9</v>
      </c>
      <c r="G42" s="6"/>
      <c r="H42" s="6"/>
      <c r="I42" s="6">
        <v>1</v>
      </c>
      <c r="J42" s="16">
        <f t="shared" si="0"/>
        <v>79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391</v>
      </c>
      <c r="D43" s="6"/>
      <c r="E43" s="6"/>
      <c r="F43" s="6">
        <v>2</v>
      </c>
      <c r="G43" s="6"/>
      <c r="H43" s="6">
        <v>12</v>
      </c>
      <c r="I43" s="6">
        <v>48</v>
      </c>
      <c r="J43" s="16">
        <f t="shared" si="0"/>
        <v>329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27</v>
      </c>
      <c r="D46" s="6"/>
      <c r="E46" s="6"/>
      <c r="F46" s="6"/>
      <c r="G46" s="6"/>
      <c r="H46" s="6"/>
      <c r="I46" s="6"/>
      <c r="J46" s="16">
        <f t="shared" si="0"/>
        <v>27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28</v>
      </c>
      <c r="D47" s="6"/>
      <c r="E47" s="6"/>
      <c r="F47" s="6"/>
      <c r="G47" s="6">
        <v>1</v>
      </c>
      <c r="H47" s="6"/>
      <c r="I47" s="6">
        <v>2</v>
      </c>
      <c r="J47" s="16">
        <f t="shared" si="0"/>
        <v>25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130</v>
      </c>
      <c r="D49" s="6"/>
      <c r="E49" s="6">
        <v>54</v>
      </c>
      <c r="F49" s="6">
        <v>4</v>
      </c>
      <c r="G49" s="6"/>
      <c r="H49" s="6"/>
      <c r="I49" s="6"/>
      <c r="J49" s="16">
        <f t="shared" si="0"/>
        <v>72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68</v>
      </c>
      <c r="D50" s="6"/>
      <c r="E50" s="6">
        <v>3</v>
      </c>
      <c r="F50" s="6"/>
      <c r="G50" s="6">
        <v>16</v>
      </c>
      <c r="H50" s="6">
        <v>4</v>
      </c>
      <c r="I50" s="6">
        <v>2</v>
      </c>
      <c r="J50" s="16">
        <f t="shared" si="0"/>
        <v>43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45</v>
      </c>
      <c r="D51" s="6"/>
      <c r="E51" s="6">
        <v>1</v>
      </c>
      <c r="F51" s="6">
        <v>1</v>
      </c>
      <c r="G51" s="6">
        <v>2</v>
      </c>
      <c r="H51" s="6">
        <v>4</v>
      </c>
      <c r="I51" s="6"/>
      <c r="J51" s="16">
        <f t="shared" si="0"/>
        <v>37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/>
      <c r="F52" s="6"/>
      <c r="G52" s="6"/>
      <c r="H52" s="6"/>
      <c r="I52" s="6"/>
      <c r="J52" s="16">
        <f t="shared" si="0"/>
        <v>20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35</v>
      </c>
      <c r="D53" s="6"/>
      <c r="E53" s="6"/>
      <c r="F53" s="6"/>
      <c r="G53" s="6"/>
      <c r="H53" s="6"/>
      <c r="I53" s="6"/>
      <c r="J53" s="16">
        <f t="shared" si="0"/>
        <v>35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0</v>
      </c>
      <c r="D54" s="6"/>
      <c r="E54" s="6"/>
      <c r="F54" s="6"/>
      <c r="G54" s="6"/>
      <c r="H54" s="6"/>
      <c r="I54" s="6"/>
      <c r="J54" s="16">
        <f t="shared" si="0"/>
        <v>0</v>
      </c>
      <c r="K54" s="13">
        <v>0</v>
      </c>
      <c r="L54" s="14"/>
    </row>
    <row r="55" spans="1:12" x14ac:dyDescent="0.25">
      <c r="A55" s="6">
        <v>55</v>
      </c>
      <c r="B55" s="7" t="s">
        <v>118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45</v>
      </c>
      <c r="D56" s="6"/>
      <c r="E56" s="6"/>
      <c r="F56" s="6"/>
      <c r="G56" s="6"/>
      <c r="H56" s="6"/>
      <c r="I56" s="6"/>
      <c r="J56" s="16">
        <f t="shared" si="0"/>
        <v>45</v>
      </c>
      <c r="K56" s="13">
        <v>10</v>
      </c>
      <c r="L56" s="14">
        <v>20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10</v>
      </c>
      <c r="L57" s="14">
        <v>20</v>
      </c>
    </row>
    <row r="58" spans="1:12" x14ac:dyDescent="0.25">
      <c r="A58" s="6">
        <v>58</v>
      </c>
      <c r="B58" s="7" t="s">
        <v>57</v>
      </c>
      <c r="C58" s="6">
        <v>38</v>
      </c>
      <c r="D58" s="6"/>
      <c r="E58" s="6">
        <v>3</v>
      </c>
      <c r="F58" s="6">
        <v>3</v>
      </c>
      <c r="G58" s="6">
        <v>10</v>
      </c>
      <c r="H58" s="6">
        <v>8</v>
      </c>
      <c r="I58" s="6">
        <v>2</v>
      </c>
      <c r="J58" s="16">
        <f t="shared" si="0"/>
        <v>12</v>
      </c>
      <c r="K58" s="13">
        <v>10</v>
      </c>
      <c r="L58" s="14">
        <v>20</v>
      </c>
    </row>
    <row r="59" spans="1:12" x14ac:dyDescent="0.25">
      <c r="A59" s="6">
        <v>59</v>
      </c>
      <c r="B59" s="7" t="s">
        <v>58</v>
      </c>
      <c r="C59" s="6">
        <v>0</v>
      </c>
      <c r="D59" s="6"/>
      <c r="E59" s="6"/>
      <c r="F59" s="6"/>
      <c r="G59" s="6"/>
      <c r="H59" s="6"/>
      <c r="I59" s="6"/>
      <c r="J59" s="16">
        <f t="shared" si="0"/>
        <v>0</v>
      </c>
      <c r="K59" s="13">
        <v>10</v>
      </c>
      <c r="L59" s="14">
        <v>20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80</v>
      </c>
      <c r="D62" s="6"/>
      <c r="E62" s="6">
        <v>40</v>
      </c>
      <c r="F62" s="6"/>
      <c r="G62" s="6"/>
      <c r="H62" s="6"/>
      <c r="I62" s="6"/>
      <c r="J62" s="16">
        <f t="shared" si="0"/>
        <v>40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30</v>
      </c>
      <c r="D63" s="6"/>
      <c r="E63" s="6"/>
      <c r="F63" s="6"/>
      <c r="G63" s="6"/>
      <c r="H63" s="6">
        <v>10</v>
      </c>
      <c r="I63" s="6"/>
      <c r="J63" s="16">
        <f t="shared" si="0"/>
        <v>20</v>
      </c>
      <c r="K63" s="13">
        <v>10</v>
      </c>
      <c r="L63" s="14">
        <v>20</v>
      </c>
    </row>
    <row r="64" spans="1:12" x14ac:dyDescent="0.25">
      <c r="A64" s="6">
        <v>64</v>
      </c>
      <c r="B64" s="8" t="s">
        <v>74</v>
      </c>
      <c r="C64" s="6">
        <v>150</v>
      </c>
      <c r="D64" s="6">
        <v>100</v>
      </c>
      <c r="E64" s="6"/>
      <c r="F64" s="6">
        <v>1</v>
      </c>
      <c r="G64" s="6"/>
      <c r="H64" s="6">
        <v>10</v>
      </c>
      <c r="I64" s="6"/>
      <c r="J64" s="16">
        <f t="shared" si="0"/>
        <v>239</v>
      </c>
      <c r="K64" s="13">
        <v>10</v>
      </c>
      <c r="L64" s="14">
        <v>20</v>
      </c>
    </row>
    <row r="65" spans="1:12" x14ac:dyDescent="0.25">
      <c r="A65" s="6">
        <v>65</v>
      </c>
      <c r="B65" s="8" t="s">
        <v>75</v>
      </c>
      <c r="C65" s="6">
        <v>50</v>
      </c>
      <c r="D65" s="6"/>
      <c r="E65" s="6"/>
      <c r="F65" s="6">
        <v>4</v>
      </c>
      <c r="G65" s="6"/>
      <c r="H65" s="6"/>
      <c r="I65" s="6"/>
      <c r="J65" s="16">
        <f t="shared" ref="J65:J76" si="1">+C65-E65-F65-G65-H65-I65+D65</f>
        <v>46</v>
      </c>
      <c r="K65" s="13">
        <v>10</v>
      </c>
      <c r="L65" s="14">
        <v>20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1"/>
        <v>0</v>
      </c>
      <c r="K66" s="13">
        <v>10</v>
      </c>
      <c r="L66" s="14">
        <v>20</v>
      </c>
    </row>
    <row r="67" spans="1:12" x14ac:dyDescent="0.25">
      <c r="A67" s="6">
        <v>67</v>
      </c>
      <c r="B67" s="8" t="s">
        <v>77</v>
      </c>
      <c r="C67" s="6">
        <v>0</v>
      </c>
      <c r="D67" s="6"/>
      <c r="E67" s="6"/>
      <c r="F67" s="6"/>
      <c r="G67" s="6"/>
      <c r="H67" s="6"/>
      <c r="I67" s="6"/>
      <c r="J67" s="16">
        <f t="shared" si="1"/>
        <v>0</v>
      </c>
      <c r="K67" s="13">
        <v>10</v>
      </c>
      <c r="L67" s="14">
        <v>20</v>
      </c>
    </row>
    <row r="68" spans="1:12" x14ac:dyDescent="0.25">
      <c r="A68" s="6">
        <v>68</v>
      </c>
      <c r="B68" s="8" t="s">
        <v>78</v>
      </c>
      <c r="C68" s="6">
        <v>20</v>
      </c>
      <c r="D68" s="6"/>
      <c r="E68" s="6"/>
      <c r="F68" s="6"/>
      <c r="G68" s="6"/>
      <c r="H68" s="6">
        <v>3</v>
      </c>
      <c r="I68" s="6">
        <v>2</v>
      </c>
      <c r="J68" s="16">
        <f t="shared" si="1"/>
        <v>15</v>
      </c>
      <c r="K68" s="13">
        <v>10</v>
      </c>
      <c r="L68" s="14">
        <v>20</v>
      </c>
    </row>
    <row r="69" spans="1:12" x14ac:dyDescent="0.25">
      <c r="A69" s="6">
        <v>69</v>
      </c>
      <c r="B69" s="8" t="s">
        <v>79</v>
      </c>
      <c r="C69" s="6">
        <v>0</v>
      </c>
      <c r="D69" s="6"/>
      <c r="E69" s="6"/>
      <c r="F69" s="6"/>
      <c r="G69" s="6"/>
      <c r="H69" s="6"/>
      <c r="I69" s="6"/>
      <c r="J69" s="16">
        <f t="shared" si="1"/>
        <v>0</v>
      </c>
      <c r="K69" s="13">
        <v>10</v>
      </c>
      <c r="L69" s="14">
        <v>20</v>
      </c>
    </row>
    <row r="70" spans="1:12" x14ac:dyDescent="0.25">
      <c r="A70" s="6">
        <v>70</v>
      </c>
      <c r="B70" s="8" t="s">
        <v>80</v>
      </c>
      <c r="C70" s="6">
        <v>7</v>
      </c>
      <c r="D70" s="6">
        <v>30</v>
      </c>
      <c r="E70" s="6"/>
      <c r="F70" s="6">
        <v>5</v>
      </c>
      <c r="G70" s="6"/>
      <c r="H70" s="6">
        <v>1</v>
      </c>
      <c r="I70" s="6"/>
      <c r="J70" s="16">
        <f t="shared" si="1"/>
        <v>31</v>
      </c>
      <c r="K70" s="13">
        <v>10</v>
      </c>
      <c r="L70" s="14">
        <v>20</v>
      </c>
    </row>
    <row r="71" spans="1:12" x14ac:dyDescent="0.25">
      <c r="A71" s="6">
        <v>71</v>
      </c>
      <c r="B71" s="8" t="s">
        <v>81</v>
      </c>
      <c r="C71" s="6">
        <v>9</v>
      </c>
      <c r="D71" s="6"/>
      <c r="E71" s="6"/>
      <c r="F71" s="6"/>
      <c r="G71" s="6"/>
      <c r="H71" s="6"/>
      <c r="I71" s="6"/>
      <c r="J71" s="16">
        <f t="shared" si="1"/>
        <v>9</v>
      </c>
      <c r="K71" s="13">
        <v>10</v>
      </c>
      <c r="L71" s="14">
        <v>20</v>
      </c>
    </row>
    <row r="72" spans="1:12" x14ac:dyDescent="0.25">
      <c r="A72" s="6">
        <v>72</v>
      </c>
      <c r="B72" s="8" t="s">
        <v>86</v>
      </c>
      <c r="C72" s="6">
        <v>252</v>
      </c>
      <c r="D72" s="6">
        <v>57</v>
      </c>
      <c r="E72" s="6">
        <v>3</v>
      </c>
      <c r="F72" s="6">
        <v>4</v>
      </c>
      <c r="G72" s="6">
        <v>4</v>
      </c>
      <c r="H72" s="6">
        <v>63</v>
      </c>
      <c r="I72" s="6">
        <v>12</v>
      </c>
      <c r="J72" s="16">
        <f t="shared" si="1"/>
        <v>223</v>
      </c>
      <c r="K72" s="13">
        <v>10</v>
      </c>
      <c r="L72" s="14">
        <v>20</v>
      </c>
    </row>
    <row r="73" spans="1:12" x14ac:dyDescent="0.25">
      <c r="A73" s="6">
        <v>73</v>
      </c>
      <c r="B73" s="8" t="s">
        <v>104</v>
      </c>
      <c r="C73" s="6">
        <v>144</v>
      </c>
      <c r="D73" s="6"/>
      <c r="E73" s="6">
        <v>2</v>
      </c>
      <c r="F73" s="6"/>
      <c r="G73" s="6">
        <v>5</v>
      </c>
      <c r="H73" s="6">
        <v>3</v>
      </c>
      <c r="I73" s="6"/>
      <c r="J73" s="16">
        <f t="shared" si="1"/>
        <v>134</v>
      </c>
      <c r="K73" s="13">
        <v>10</v>
      </c>
      <c r="L73" s="14">
        <v>20</v>
      </c>
    </row>
    <row r="74" spans="1:12" x14ac:dyDescent="0.25">
      <c r="A74" s="6">
        <v>74</v>
      </c>
      <c r="B74" s="8" t="s">
        <v>82</v>
      </c>
      <c r="C74" s="6">
        <v>20</v>
      </c>
      <c r="D74" s="6">
        <v>31</v>
      </c>
      <c r="E74" s="6"/>
      <c r="F74" s="6"/>
      <c r="G74" s="6"/>
      <c r="H74" s="6">
        <v>10</v>
      </c>
      <c r="I74" s="6">
        <v>6</v>
      </c>
      <c r="J74" s="16">
        <f t="shared" si="1"/>
        <v>35</v>
      </c>
      <c r="K74" s="13">
        <v>10</v>
      </c>
      <c r="L74" s="14">
        <v>20</v>
      </c>
    </row>
    <row r="75" spans="1:12" x14ac:dyDescent="0.25">
      <c r="A75" s="6">
        <v>75</v>
      </c>
      <c r="B75" s="8" t="s">
        <v>109</v>
      </c>
      <c r="C75" s="6">
        <v>32</v>
      </c>
      <c r="D75" s="6">
        <v>16</v>
      </c>
      <c r="E75" s="6">
        <v>1</v>
      </c>
      <c r="F75" s="6">
        <v>9</v>
      </c>
      <c r="G75" s="6"/>
      <c r="H75" s="6">
        <v>13</v>
      </c>
      <c r="I75" s="6"/>
      <c r="J75" s="16">
        <f t="shared" si="1"/>
        <v>25</v>
      </c>
      <c r="K75" s="13">
        <v>10</v>
      </c>
      <c r="L75" s="14">
        <v>20</v>
      </c>
    </row>
    <row r="76" spans="1:12" x14ac:dyDescent="0.25">
      <c r="A76" s="6">
        <v>76</v>
      </c>
      <c r="B76" s="8" t="s">
        <v>124</v>
      </c>
      <c r="C76" s="6">
        <v>4</v>
      </c>
      <c r="D76" s="6">
        <v>20</v>
      </c>
      <c r="E76" s="6"/>
      <c r="F76" s="6"/>
      <c r="G76" s="6"/>
      <c r="H76" s="6"/>
      <c r="I76" s="6"/>
      <c r="J76" s="16">
        <f t="shared" si="1"/>
        <v>24</v>
      </c>
      <c r="K76" s="13">
        <v>10</v>
      </c>
      <c r="L76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76"/>
  <sheetViews>
    <sheetView topLeftCell="A22" zoomScaleNormal="100" workbookViewId="0">
      <selection activeCell="H49" sqref="H49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45689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45695</v>
      </c>
      <c r="F2" s="18">
        <v>45702</v>
      </c>
      <c r="G2" s="18">
        <v>45709</v>
      </c>
      <c r="H2" s="18">
        <v>45716</v>
      </c>
      <c r="I2" s="18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29</v>
      </c>
      <c r="D3" s="6"/>
      <c r="E3" s="6"/>
      <c r="F3" s="6"/>
      <c r="G3" s="6"/>
      <c r="H3" s="6"/>
      <c r="I3" s="6"/>
      <c r="J3" s="16">
        <f t="shared" ref="J3:J66" si="0">+C3-E3-F3-G3-H3-I3+D3</f>
        <v>29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35</v>
      </c>
      <c r="D4" s="6"/>
      <c r="E4" s="6"/>
      <c r="F4" s="6">
        <v>6</v>
      </c>
      <c r="G4" s="6"/>
      <c r="H4" s="6"/>
      <c r="I4" s="6"/>
      <c r="J4" s="16">
        <f t="shared" si="0"/>
        <v>29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30</v>
      </c>
      <c r="L5" s="14">
        <v>50</v>
      </c>
    </row>
    <row r="6" spans="1:12" x14ac:dyDescent="0.25">
      <c r="A6" s="6">
        <v>4</v>
      </c>
      <c r="B6" s="7" t="s">
        <v>6</v>
      </c>
      <c r="C6" s="6">
        <v>55</v>
      </c>
      <c r="D6" s="6"/>
      <c r="E6" s="6"/>
      <c r="F6" s="6"/>
      <c r="G6" s="6"/>
      <c r="H6" s="6"/>
      <c r="I6" s="6"/>
      <c r="J6" s="16">
        <f t="shared" si="0"/>
        <v>55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45</v>
      </c>
      <c r="D7" s="6">
        <v>25</v>
      </c>
      <c r="E7" s="6">
        <v>10</v>
      </c>
      <c r="F7" s="6"/>
      <c r="G7" s="6"/>
      <c r="H7" s="6">
        <v>1</v>
      </c>
      <c r="I7" s="6"/>
      <c r="J7" s="16">
        <f t="shared" si="0"/>
        <v>59</v>
      </c>
      <c r="K7" s="13">
        <v>30</v>
      </c>
      <c r="L7" s="14">
        <v>100</v>
      </c>
    </row>
    <row r="8" spans="1:12" x14ac:dyDescent="0.25">
      <c r="A8" s="6">
        <v>6</v>
      </c>
      <c r="B8" s="7" t="s">
        <v>7</v>
      </c>
      <c r="C8" s="6">
        <v>44</v>
      </c>
      <c r="D8" s="6"/>
      <c r="E8" s="6"/>
      <c r="F8" s="6"/>
      <c r="G8" s="6"/>
      <c r="H8" s="6"/>
      <c r="I8" s="6"/>
      <c r="J8" s="16">
        <f t="shared" si="0"/>
        <v>44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79</v>
      </c>
      <c r="D9" s="6"/>
      <c r="E9" s="6"/>
      <c r="F9" s="6">
        <v>10</v>
      </c>
      <c r="G9" s="6"/>
      <c r="H9" s="6"/>
      <c r="I9" s="6"/>
      <c r="J9" s="16">
        <f t="shared" si="0"/>
        <v>69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10</v>
      </c>
      <c r="D10" s="6"/>
      <c r="E10" s="6"/>
      <c r="F10" s="6"/>
      <c r="G10" s="6"/>
      <c r="H10" s="6"/>
      <c r="I10" s="6"/>
      <c r="J10" s="16">
        <f t="shared" si="0"/>
        <v>10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200</v>
      </c>
      <c r="D11" s="6"/>
      <c r="E11" s="6">
        <v>4</v>
      </c>
      <c r="F11" s="6">
        <v>16</v>
      </c>
      <c r="G11" s="6"/>
      <c r="H11" s="6"/>
      <c r="I11" s="6"/>
      <c r="J11" s="16">
        <f t="shared" si="0"/>
        <v>180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377</v>
      </c>
      <c r="D12" s="6"/>
      <c r="E12" s="6"/>
      <c r="F12" s="6">
        <v>12</v>
      </c>
      <c r="G12" s="6">
        <v>20</v>
      </c>
      <c r="H12" s="6">
        <v>65</v>
      </c>
      <c r="I12" s="6"/>
      <c r="J12" s="16">
        <f t="shared" si="0"/>
        <v>280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0</v>
      </c>
      <c r="D13" s="6"/>
      <c r="E13" s="6"/>
      <c r="F13" s="6"/>
      <c r="G13" s="6"/>
      <c r="H13" s="6"/>
      <c r="I13" s="6"/>
      <c r="J13" s="16">
        <f t="shared" si="0"/>
        <v>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52</v>
      </c>
      <c r="D14" s="6"/>
      <c r="E14" s="6"/>
      <c r="F14" s="6">
        <v>13</v>
      </c>
      <c r="G14" s="6"/>
      <c r="H14" s="6"/>
      <c r="I14" s="6"/>
      <c r="J14" s="16">
        <f t="shared" si="0"/>
        <v>39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40</v>
      </c>
      <c r="D15" s="6"/>
      <c r="E15" s="6"/>
      <c r="F15" s="6"/>
      <c r="G15" s="6"/>
      <c r="H15" s="6">
        <v>1</v>
      </c>
      <c r="I15" s="6"/>
      <c r="J15" s="16">
        <f t="shared" si="0"/>
        <v>39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24</v>
      </c>
      <c r="D16" s="6"/>
      <c r="E16" s="6"/>
      <c r="F16" s="6"/>
      <c r="G16" s="6"/>
      <c r="H16" s="6">
        <v>4</v>
      </c>
      <c r="I16" s="6"/>
      <c r="J16" s="16">
        <f t="shared" si="0"/>
        <v>20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168</v>
      </c>
      <c r="D17" s="6">
        <v>210</v>
      </c>
      <c r="E17" s="6">
        <v>58</v>
      </c>
      <c r="F17" s="6">
        <v>6</v>
      </c>
      <c r="G17" s="6">
        <v>38</v>
      </c>
      <c r="H17" s="6">
        <v>10</v>
      </c>
      <c r="I17" s="6"/>
      <c r="J17" s="16">
        <f t="shared" si="0"/>
        <v>266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179</v>
      </c>
      <c r="D18" s="6"/>
      <c r="E18" s="6">
        <v>110</v>
      </c>
      <c r="F18" s="6"/>
      <c r="G18" s="6">
        <v>26</v>
      </c>
      <c r="H18" s="6">
        <v>16</v>
      </c>
      <c r="I18" s="6"/>
      <c r="J18" s="16">
        <f t="shared" si="0"/>
        <v>27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66</v>
      </c>
      <c r="D19" s="6">
        <v>4</v>
      </c>
      <c r="E19" s="6">
        <v>34</v>
      </c>
      <c r="F19" s="6"/>
      <c r="G19" s="6"/>
      <c r="H19" s="6">
        <v>10</v>
      </c>
      <c r="I19" s="6"/>
      <c r="J19" s="16">
        <f t="shared" si="0"/>
        <v>26</v>
      </c>
      <c r="K19" s="13">
        <v>30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27</v>
      </c>
      <c r="D20" s="6"/>
      <c r="E20" s="6"/>
      <c r="F20" s="6"/>
      <c r="G20" s="6"/>
      <c r="H20" s="6">
        <v>27</v>
      </c>
      <c r="I20" s="6"/>
      <c r="J20" s="16">
        <f t="shared" si="0"/>
        <v>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120</v>
      </c>
      <c r="D21" s="6"/>
      <c r="E21" s="6"/>
      <c r="F21" s="6">
        <v>50</v>
      </c>
      <c r="G21" s="6"/>
      <c r="H21" s="6"/>
      <c r="I21" s="6"/>
      <c r="J21" s="16">
        <f t="shared" si="0"/>
        <v>70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17</v>
      </c>
      <c r="D22" s="6"/>
      <c r="E22" s="6"/>
      <c r="F22" s="6"/>
      <c r="G22" s="6"/>
      <c r="H22" s="6"/>
      <c r="I22" s="6"/>
      <c r="J22" s="16">
        <f t="shared" si="0"/>
        <v>17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12</v>
      </c>
      <c r="D23" s="6"/>
      <c r="E23" s="6">
        <v>2</v>
      </c>
      <c r="F23" s="6"/>
      <c r="G23" s="6"/>
      <c r="H23" s="6"/>
      <c r="I23" s="6"/>
      <c r="J23" s="16">
        <f t="shared" si="0"/>
        <v>10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24</v>
      </c>
      <c r="D24" s="6"/>
      <c r="E24" s="6"/>
      <c r="F24" s="6"/>
      <c r="G24" s="6"/>
      <c r="H24" s="6"/>
      <c r="I24" s="6"/>
      <c r="J24" s="16">
        <f t="shared" si="0"/>
        <v>24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350</v>
      </c>
      <c r="D26" s="6"/>
      <c r="E26" s="6"/>
      <c r="F26" s="6"/>
      <c r="G26" s="6"/>
      <c r="H26" s="6"/>
      <c r="I26" s="6"/>
      <c r="J26" s="16">
        <f t="shared" si="0"/>
        <v>350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21</v>
      </c>
      <c r="D27" s="6"/>
      <c r="E27" s="6"/>
      <c r="F27" s="6"/>
      <c r="G27" s="6"/>
      <c r="H27" s="6"/>
      <c r="I27" s="6"/>
      <c r="J27" s="16">
        <f t="shared" si="0"/>
        <v>21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1500</v>
      </c>
      <c r="D28" s="6">
        <v>773</v>
      </c>
      <c r="E28" s="6"/>
      <c r="F28" s="6"/>
      <c r="G28" s="6"/>
      <c r="H28" s="6"/>
      <c r="I28" s="6"/>
      <c r="J28" s="16">
        <f t="shared" si="0"/>
        <v>2273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>
        <v>1620</v>
      </c>
      <c r="E29" s="6"/>
      <c r="F29" s="6"/>
      <c r="G29" s="6"/>
      <c r="H29" s="6"/>
      <c r="I29" s="6"/>
      <c r="J29" s="16">
        <f t="shared" si="0"/>
        <v>1620</v>
      </c>
      <c r="K29" s="13">
        <v>0</v>
      </c>
      <c r="L29" s="14"/>
    </row>
    <row r="30" spans="1:12" x14ac:dyDescent="0.25">
      <c r="A30" s="6">
        <v>28</v>
      </c>
      <c r="B30" s="7" t="s">
        <v>92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52</v>
      </c>
      <c r="D31" s="6"/>
      <c r="E31" s="6">
        <v>50</v>
      </c>
      <c r="F31" s="6"/>
      <c r="G31" s="6"/>
      <c r="H31" s="6"/>
      <c r="I31" s="6"/>
      <c r="J31" s="16">
        <f t="shared" si="0"/>
        <v>2</v>
      </c>
      <c r="K31" s="13">
        <v>0</v>
      </c>
      <c r="L31" s="14"/>
    </row>
    <row r="32" spans="1:12" x14ac:dyDescent="0.25">
      <c r="A32" s="6">
        <v>30</v>
      </c>
      <c r="B32" s="7" t="s">
        <v>25</v>
      </c>
      <c r="C32" s="6">
        <v>400</v>
      </c>
      <c r="D32" s="6"/>
      <c r="E32" s="6"/>
      <c r="F32" s="6"/>
      <c r="G32" s="6"/>
      <c r="H32" s="6"/>
      <c r="I32" s="6"/>
      <c r="J32" s="16">
        <f t="shared" si="0"/>
        <v>400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0</v>
      </c>
      <c r="D33" s="6"/>
      <c r="E33" s="6"/>
      <c r="F33" s="6"/>
      <c r="G33" s="6"/>
      <c r="H33" s="6"/>
      <c r="I33" s="6"/>
      <c r="J33" s="16">
        <f t="shared" si="0"/>
        <v>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60</v>
      </c>
      <c r="D34" s="6"/>
      <c r="E34" s="6"/>
      <c r="F34" s="6"/>
      <c r="G34" s="6"/>
      <c r="H34" s="6">
        <v>3</v>
      </c>
      <c r="I34" s="6"/>
      <c r="J34" s="16">
        <f t="shared" si="0"/>
        <v>57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40</v>
      </c>
      <c r="D37" s="6"/>
      <c r="E37" s="6"/>
      <c r="F37" s="6"/>
      <c r="G37" s="6"/>
      <c r="H37" s="6"/>
      <c r="I37" s="6"/>
      <c r="J37" s="16">
        <f t="shared" si="0"/>
        <v>40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0</v>
      </c>
      <c r="D38" s="6">
        <v>53</v>
      </c>
      <c r="E38" s="6"/>
      <c r="F38" s="6"/>
      <c r="G38" s="6"/>
      <c r="H38" s="6"/>
      <c r="I38" s="6"/>
      <c r="J38" s="16">
        <f t="shared" si="0"/>
        <v>53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0</v>
      </c>
      <c r="D39" s="6"/>
      <c r="E39" s="6"/>
      <c r="F39" s="6"/>
      <c r="G39" s="6"/>
      <c r="H39" s="6"/>
      <c r="I39" s="6"/>
      <c r="J39" s="16">
        <f t="shared" si="0"/>
        <v>0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0</v>
      </c>
      <c r="D40" s="6">
        <v>62</v>
      </c>
      <c r="E40" s="6"/>
      <c r="F40" s="6"/>
      <c r="G40" s="6"/>
      <c r="H40" s="6"/>
      <c r="I40" s="6"/>
      <c r="J40" s="16">
        <f t="shared" si="0"/>
        <v>62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42</v>
      </c>
      <c r="D41" s="6"/>
      <c r="E41" s="6"/>
      <c r="F41" s="6"/>
      <c r="G41" s="6"/>
      <c r="H41" s="6"/>
      <c r="I41" s="6"/>
      <c r="J41" s="16">
        <f t="shared" si="0"/>
        <v>42</v>
      </c>
      <c r="K41" s="13">
        <v>20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79</v>
      </c>
      <c r="D42" s="6"/>
      <c r="E42" s="6">
        <v>10</v>
      </c>
      <c r="F42" s="6">
        <v>1</v>
      </c>
      <c r="G42" s="6">
        <v>2</v>
      </c>
      <c r="H42" s="6">
        <v>2</v>
      </c>
      <c r="I42" s="6"/>
      <c r="J42" s="16">
        <f t="shared" si="0"/>
        <v>64</v>
      </c>
      <c r="K42" s="13">
        <v>20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324</v>
      </c>
      <c r="D43" s="6"/>
      <c r="E43" s="6">
        <v>52</v>
      </c>
      <c r="F43" s="6">
        <v>12</v>
      </c>
      <c r="G43" s="6">
        <v>12</v>
      </c>
      <c r="H43" s="6">
        <v>8</v>
      </c>
      <c r="I43" s="6"/>
      <c r="J43" s="16">
        <f t="shared" si="0"/>
        <v>240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26</v>
      </c>
      <c r="D46" s="6"/>
      <c r="E46" s="6"/>
      <c r="F46" s="6"/>
      <c r="G46" s="6"/>
      <c r="H46" s="6"/>
      <c r="I46" s="6"/>
      <c r="J46" s="16">
        <f t="shared" si="0"/>
        <v>26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25</v>
      </c>
      <c r="D47" s="6"/>
      <c r="E47" s="6"/>
      <c r="F47" s="6"/>
      <c r="G47" s="6"/>
      <c r="H47" s="6"/>
      <c r="I47" s="6"/>
      <c r="J47" s="16">
        <f t="shared" si="0"/>
        <v>25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300</v>
      </c>
      <c r="D49" s="6"/>
      <c r="E49" s="6"/>
      <c r="F49" s="6"/>
      <c r="G49" s="6">
        <v>20</v>
      </c>
      <c r="H49" s="6">
        <v>4</v>
      </c>
      <c r="I49" s="6"/>
      <c r="J49" s="16">
        <f t="shared" si="0"/>
        <v>276</v>
      </c>
      <c r="K49" s="13">
        <v>100</v>
      </c>
      <c r="L49" s="14">
        <v>300</v>
      </c>
    </row>
    <row r="50" spans="1:12" x14ac:dyDescent="0.25">
      <c r="A50" s="6">
        <v>48</v>
      </c>
      <c r="B50" s="7" t="s">
        <v>40</v>
      </c>
      <c r="C50" s="6">
        <v>43</v>
      </c>
      <c r="D50" s="6"/>
      <c r="E50" s="6"/>
      <c r="F50" s="6">
        <v>5</v>
      </c>
      <c r="G50" s="6"/>
      <c r="H50" s="6"/>
      <c r="I50" s="6"/>
      <c r="J50" s="16">
        <f t="shared" si="0"/>
        <v>38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37</v>
      </c>
      <c r="D51" s="6"/>
      <c r="E51" s="6"/>
      <c r="F51" s="6">
        <v>4</v>
      </c>
      <c r="G51" s="6"/>
      <c r="H51" s="6"/>
      <c r="I51" s="6"/>
      <c r="J51" s="16">
        <f t="shared" si="0"/>
        <v>33</v>
      </c>
      <c r="K51" s="13">
        <v>10</v>
      </c>
      <c r="L51" s="14">
        <v>20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/>
      <c r="F52" s="6"/>
      <c r="G52" s="6"/>
      <c r="H52" s="6"/>
      <c r="I52" s="6"/>
      <c r="J52" s="16">
        <f t="shared" si="0"/>
        <v>20</v>
      </c>
      <c r="K52" s="13">
        <v>10</v>
      </c>
      <c r="L52" s="14">
        <v>20</v>
      </c>
    </row>
    <row r="53" spans="1:12" x14ac:dyDescent="0.25">
      <c r="A53" s="6">
        <v>51</v>
      </c>
      <c r="B53" s="7" t="s">
        <v>93</v>
      </c>
      <c r="C53" s="6">
        <v>30</v>
      </c>
      <c r="D53" s="6"/>
      <c r="E53" s="6"/>
      <c r="F53" s="6"/>
      <c r="G53" s="6"/>
      <c r="H53" s="6"/>
      <c r="I53" s="6"/>
      <c r="J53" s="16">
        <f t="shared" si="0"/>
        <v>30</v>
      </c>
      <c r="K53" s="13">
        <v>10</v>
      </c>
      <c r="L53" s="14">
        <v>20</v>
      </c>
    </row>
    <row r="54" spans="1:12" x14ac:dyDescent="0.25">
      <c r="A54" s="6">
        <v>52</v>
      </c>
      <c r="B54" s="7" t="s">
        <v>45</v>
      </c>
      <c r="C54" s="6">
        <v>0</v>
      </c>
      <c r="D54" s="6"/>
      <c r="E54" s="6"/>
      <c r="F54" s="6"/>
      <c r="G54" s="6"/>
      <c r="H54" s="6"/>
      <c r="I54" s="6"/>
      <c r="J54" s="16">
        <f t="shared" si="0"/>
        <v>0</v>
      </c>
      <c r="K54" s="13">
        <v>0</v>
      </c>
      <c r="L54" s="14"/>
    </row>
    <row r="55" spans="1:12" x14ac:dyDescent="0.25">
      <c r="A55" s="6">
        <v>55</v>
      </c>
      <c r="B55" s="7" t="s">
        <v>118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42</v>
      </c>
      <c r="D56" s="6"/>
      <c r="E56" s="6"/>
      <c r="F56" s="6"/>
      <c r="G56" s="6"/>
      <c r="H56" s="6"/>
      <c r="I56" s="6"/>
      <c r="J56" s="16">
        <f t="shared" si="0"/>
        <v>42</v>
      </c>
      <c r="K56" s="13">
        <v>10</v>
      </c>
      <c r="L56" s="14">
        <v>20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10</v>
      </c>
      <c r="L57" s="14">
        <v>20</v>
      </c>
    </row>
    <row r="58" spans="1:12" x14ac:dyDescent="0.25">
      <c r="A58" s="6">
        <v>58</v>
      </c>
      <c r="B58" s="7" t="s">
        <v>57</v>
      </c>
      <c r="C58" s="6">
        <v>19</v>
      </c>
      <c r="D58" s="6"/>
      <c r="E58" s="6"/>
      <c r="F58" s="6">
        <v>1</v>
      </c>
      <c r="G58" s="6">
        <v>4</v>
      </c>
      <c r="H58" s="6">
        <v>4</v>
      </c>
      <c r="I58" s="6"/>
      <c r="J58" s="16">
        <f t="shared" si="0"/>
        <v>10</v>
      </c>
      <c r="K58" s="13">
        <v>10</v>
      </c>
      <c r="L58" s="14">
        <v>20</v>
      </c>
    </row>
    <row r="59" spans="1:12" x14ac:dyDescent="0.25">
      <c r="A59" s="6">
        <v>59</v>
      </c>
      <c r="B59" s="7" t="s">
        <v>58</v>
      </c>
      <c r="C59" s="6">
        <v>0</v>
      </c>
      <c r="D59" s="6"/>
      <c r="E59" s="6"/>
      <c r="F59" s="6"/>
      <c r="G59" s="6"/>
      <c r="H59" s="6"/>
      <c r="I59" s="6"/>
      <c r="J59" s="16">
        <f t="shared" si="0"/>
        <v>0</v>
      </c>
      <c r="K59" s="13">
        <v>10</v>
      </c>
      <c r="L59" s="14">
        <v>20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32</v>
      </c>
      <c r="D62" s="6"/>
      <c r="E62" s="6"/>
      <c r="F62" s="6"/>
      <c r="G62" s="6"/>
      <c r="H62" s="6"/>
      <c r="I62" s="6"/>
      <c r="J62" s="16">
        <f t="shared" si="0"/>
        <v>32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17</v>
      </c>
      <c r="D63" s="6"/>
      <c r="E63" s="6"/>
      <c r="F63" s="6"/>
      <c r="G63" s="6">
        <v>2</v>
      </c>
      <c r="H63" s="6">
        <v>4</v>
      </c>
      <c r="I63" s="6"/>
      <c r="J63" s="16">
        <f t="shared" si="0"/>
        <v>11</v>
      </c>
      <c r="K63" s="13">
        <v>10</v>
      </c>
      <c r="L63" s="14">
        <v>20</v>
      </c>
    </row>
    <row r="64" spans="1:12" x14ac:dyDescent="0.25">
      <c r="A64" s="6">
        <v>64</v>
      </c>
      <c r="B64" s="8" t="s">
        <v>74</v>
      </c>
      <c r="C64" s="6">
        <v>170</v>
      </c>
      <c r="D64" s="6"/>
      <c r="E64" s="6"/>
      <c r="F64" s="6"/>
      <c r="G64" s="6"/>
      <c r="H64" s="6"/>
      <c r="I64" s="6"/>
      <c r="J64" s="16">
        <f t="shared" si="0"/>
        <v>170</v>
      </c>
      <c r="K64" s="13">
        <v>10</v>
      </c>
      <c r="L64" s="14">
        <v>20</v>
      </c>
    </row>
    <row r="65" spans="1:12" x14ac:dyDescent="0.25">
      <c r="A65" s="6">
        <v>65</v>
      </c>
      <c r="B65" s="8" t="s">
        <v>75</v>
      </c>
      <c r="C65" s="6">
        <v>15</v>
      </c>
      <c r="D65" s="6"/>
      <c r="E65" s="6"/>
      <c r="F65" s="6"/>
      <c r="G65" s="6"/>
      <c r="H65" s="6"/>
      <c r="I65" s="6"/>
      <c r="J65" s="16">
        <f t="shared" si="0"/>
        <v>15</v>
      </c>
      <c r="K65" s="13">
        <v>10</v>
      </c>
      <c r="L65" s="14">
        <v>20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0"/>
        <v>0</v>
      </c>
      <c r="K66" s="13">
        <v>10</v>
      </c>
      <c r="L66" s="14">
        <v>20</v>
      </c>
    </row>
    <row r="67" spans="1:12" x14ac:dyDescent="0.25">
      <c r="A67" s="6">
        <v>67</v>
      </c>
      <c r="B67" s="8" t="s">
        <v>77</v>
      </c>
      <c r="C67" s="6">
        <v>0</v>
      </c>
      <c r="D67" s="6"/>
      <c r="E67" s="6"/>
      <c r="F67" s="6"/>
      <c r="G67" s="6"/>
      <c r="H67" s="6"/>
      <c r="I67" s="6"/>
      <c r="J67" s="16">
        <f t="shared" ref="J67:J76" si="1">+C67-E67-F67-G67-H67-I67+D67</f>
        <v>0</v>
      </c>
      <c r="K67" s="13">
        <v>10</v>
      </c>
      <c r="L67" s="14">
        <v>20</v>
      </c>
    </row>
    <row r="68" spans="1:12" x14ac:dyDescent="0.25">
      <c r="A68" s="6">
        <v>68</v>
      </c>
      <c r="B68" s="8" t="s">
        <v>78</v>
      </c>
      <c r="C68" s="6">
        <v>17</v>
      </c>
      <c r="D68" s="6"/>
      <c r="E68" s="6">
        <v>2</v>
      </c>
      <c r="F68" s="6"/>
      <c r="G68" s="6"/>
      <c r="H68" s="6"/>
      <c r="I68" s="6"/>
      <c r="J68" s="16">
        <f t="shared" si="1"/>
        <v>15</v>
      </c>
      <c r="K68" s="13">
        <v>10</v>
      </c>
      <c r="L68" s="14">
        <v>20</v>
      </c>
    </row>
    <row r="69" spans="1:12" x14ac:dyDescent="0.25">
      <c r="A69" s="6">
        <v>69</v>
      </c>
      <c r="B69" s="8" t="s">
        <v>79</v>
      </c>
      <c r="C69" s="6">
        <v>0</v>
      </c>
      <c r="D69" s="6"/>
      <c r="E69" s="6"/>
      <c r="F69" s="6"/>
      <c r="G69" s="6"/>
      <c r="H69" s="6"/>
      <c r="I69" s="6"/>
      <c r="J69" s="16">
        <f t="shared" si="1"/>
        <v>0</v>
      </c>
      <c r="K69" s="13">
        <v>10</v>
      </c>
      <c r="L69" s="14">
        <v>20</v>
      </c>
    </row>
    <row r="70" spans="1:12" x14ac:dyDescent="0.25">
      <c r="A70" s="6">
        <v>70</v>
      </c>
      <c r="B70" s="8" t="s">
        <v>80</v>
      </c>
      <c r="C70" s="6">
        <v>31</v>
      </c>
      <c r="D70" s="6"/>
      <c r="E70" s="6">
        <v>2</v>
      </c>
      <c r="F70" s="6">
        <v>2</v>
      </c>
      <c r="G70" s="6"/>
      <c r="H70" s="6"/>
      <c r="I70" s="6"/>
      <c r="J70" s="16">
        <f t="shared" si="1"/>
        <v>27</v>
      </c>
      <c r="K70" s="13">
        <v>10</v>
      </c>
      <c r="L70" s="14">
        <v>20</v>
      </c>
    </row>
    <row r="71" spans="1:12" x14ac:dyDescent="0.25">
      <c r="A71" s="6">
        <v>71</v>
      </c>
      <c r="B71" s="8" t="s">
        <v>81</v>
      </c>
      <c r="C71" s="6">
        <v>9</v>
      </c>
      <c r="D71" s="6"/>
      <c r="E71" s="6"/>
      <c r="F71" s="6"/>
      <c r="G71" s="6"/>
      <c r="H71" s="6"/>
      <c r="I71" s="6"/>
      <c r="J71" s="16">
        <f t="shared" si="1"/>
        <v>9</v>
      </c>
      <c r="K71" s="13">
        <v>10</v>
      </c>
      <c r="L71" s="14">
        <v>20</v>
      </c>
    </row>
    <row r="72" spans="1:12" x14ac:dyDescent="0.25">
      <c r="A72" s="6">
        <v>72</v>
      </c>
      <c r="B72" s="8" t="s">
        <v>86</v>
      </c>
      <c r="C72" s="6">
        <v>138</v>
      </c>
      <c r="D72" s="6"/>
      <c r="E72" s="6">
        <v>4</v>
      </c>
      <c r="F72" s="6"/>
      <c r="G72" s="6">
        <v>7</v>
      </c>
      <c r="H72" s="6">
        <v>8</v>
      </c>
      <c r="I72" s="6"/>
      <c r="J72" s="16">
        <f t="shared" si="1"/>
        <v>119</v>
      </c>
      <c r="K72" s="13">
        <v>10</v>
      </c>
      <c r="L72" s="14">
        <v>20</v>
      </c>
    </row>
    <row r="73" spans="1:12" x14ac:dyDescent="0.25">
      <c r="A73" s="6">
        <v>73</v>
      </c>
      <c r="B73" s="8" t="s">
        <v>104</v>
      </c>
      <c r="C73" s="6">
        <v>134</v>
      </c>
      <c r="D73" s="6"/>
      <c r="E73" s="6"/>
      <c r="F73" s="6"/>
      <c r="G73" s="6"/>
      <c r="H73" s="6"/>
      <c r="I73" s="6"/>
      <c r="J73" s="16">
        <f t="shared" si="1"/>
        <v>134</v>
      </c>
      <c r="K73" s="13">
        <v>10</v>
      </c>
      <c r="L73" s="14">
        <v>20</v>
      </c>
    </row>
    <row r="74" spans="1:12" x14ac:dyDescent="0.25">
      <c r="A74" s="6">
        <v>74</v>
      </c>
      <c r="B74" s="8" t="s">
        <v>82</v>
      </c>
      <c r="C74" s="6">
        <v>35</v>
      </c>
      <c r="D74" s="6"/>
      <c r="E74" s="6">
        <v>1</v>
      </c>
      <c r="F74" s="6"/>
      <c r="G74" s="6">
        <v>2</v>
      </c>
      <c r="H74" s="6"/>
      <c r="I74" s="6"/>
      <c r="J74" s="16">
        <f t="shared" si="1"/>
        <v>32</v>
      </c>
      <c r="K74" s="13">
        <v>10</v>
      </c>
      <c r="L74" s="14">
        <v>20</v>
      </c>
    </row>
    <row r="75" spans="1:12" x14ac:dyDescent="0.25">
      <c r="A75" s="6">
        <v>75</v>
      </c>
      <c r="B75" s="8" t="s">
        <v>109</v>
      </c>
      <c r="C75" s="6">
        <v>25</v>
      </c>
      <c r="D75" s="6"/>
      <c r="E75" s="6"/>
      <c r="F75" s="6"/>
      <c r="G75" s="6"/>
      <c r="H75" s="6"/>
      <c r="I75" s="6"/>
      <c r="J75" s="16">
        <f t="shared" si="1"/>
        <v>25</v>
      </c>
      <c r="K75" s="13">
        <v>10</v>
      </c>
      <c r="L75" s="14">
        <v>20</v>
      </c>
    </row>
    <row r="76" spans="1:12" x14ac:dyDescent="0.25">
      <c r="A76" s="6">
        <v>76</v>
      </c>
      <c r="B76" s="8" t="s">
        <v>124</v>
      </c>
      <c r="C76" s="6">
        <v>20</v>
      </c>
      <c r="D76" s="6"/>
      <c r="E76" s="6"/>
      <c r="F76" s="6"/>
      <c r="G76" s="6"/>
      <c r="H76" s="6"/>
      <c r="I76" s="6"/>
      <c r="J76" s="16">
        <f t="shared" si="1"/>
        <v>20</v>
      </c>
      <c r="K76" s="13">
        <v>10</v>
      </c>
      <c r="L76" s="14">
        <v>20</v>
      </c>
    </row>
  </sheetData>
  <pageMargins left="0.7" right="0.7" top="0.75" bottom="0.75" header="0.3" footer="0.3"/>
  <pageSetup paperSize="9" scale="84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76"/>
  <sheetViews>
    <sheetView zoomScaleNormal="100" workbookViewId="0">
      <selection activeCell="H50" sqref="H50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45717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45723</v>
      </c>
      <c r="F2" s="18">
        <v>45730</v>
      </c>
      <c r="G2" s="18">
        <v>45737</v>
      </c>
      <c r="H2" s="18">
        <v>45744</v>
      </c>
      <c r="I2" s="18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29</v>
      </c>
      <c r="D3" s="6">
        <v>2</v>
      </c>
      <c r="E3" s="6"/>
      <c r="F3" s="6"/>
      <c r="G3" s="6"/>
      <c r="H3" s="6"/>
      <c r="I3" s="6"/>
      <c r="J3" s="16">
        <f t="shared" ref="J3:J66" si="0">+C3-E3-F3-G3-H3-I3+D3</f>
        <v>31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29</v>
      </c>
      <c r="D4" s="6"/>
      <c r="E4" s="6"/>
      <c r="F4" s="6">
        <v>1</v>
      </c>
      <c r="G4" s="6"/>
      <c r="H4" s="6"/>
      <c r="I4" s="6"/>
      <c r="J4" s="16">
        <f t="shared" si="0"/>
        <v>28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55</v>
      </c>
      <c r="D6" s="6">
        <v>2</v>
      </c>
      <c r="E6" s="6"/>
      <c r="F6" s="6">
        <v>12</v>
      </c>
      <c r="G6" s="6"/>
      <c r="H6" s="6"/>
      <c r="I6" s="6"/>
      <c r="J6" s="16">
        <f t="shared" si="0"/>
        <v>45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58</v>
      </c>
      <c r="D7" s="6"/>
      <c r="E7" s="6"/>
      <c r="F7" s="6">
        <v>10</v>
      </c>
      <c r="G7" s="6"/>
      <c r="H7" s="6"/>
      <c r="I7" s="6"/>
      <c r="J7" s="16">
        <f t="shared" si="0"/>
        <v>48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44</v>
      </c>
      <c r="D8" s="6"/>
      <c r="E8" s="6"/>
      <c r="F8" s="6"/>
      <c r="G8" s="6"/>
      <c r="H8" s="6"/>
      <c r="I8" s="6"/>
      <c r="J8" s="16">
        <f t="shared" si="0"/>
        <v>44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69</v>
      </c>
      <c r="D9" s="6"/>
      <c r="E9" s="6">
        <v>3</v>
      </c>
      <c r="F9" s="6"/>
      <c r="G9" s="6"/>
      <c r="H9" s="6"/>
      <c r="I9" s="6"/>
      <c r="J9" s="16">
        <f t="shared" si="0"/>
        <v>66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10</v>
      </c>
      <c r="D10" s="6"/>
      <c r="E10" s="6"/>
      <c r="F10" s="6"/>
      <c r="G10" s="6"/>
      <c r="H10" s="6"/>
      <c r="I10" s="6"/>
      <c r="J10" s="16">
        <f t="shared" si="0"/>
        <v>10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180</v>
      </c>
      <c r="D11" s="6"/>
      <c r="E11" s="6">
        <v>16</v>
      </c>
      <c r="F11" s="6">
        <v>40</v>
      </c>
      <c r="G11" s="6">
        <v>20</v>
      </c>
      <c r="H11" s="6"/>
      <c r="I11" s="6"/>
      <c r="J11" s="16">
        <f t="shared" si="0"/>
        <v>104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274</v>
      </c>
      <c r="D12" s="6">
        <v>1</v>
      </c>
      <c r="E12" s="6"/>
      <c r="F12" s="6"/>
      <c r="G12" s="6">
        <v>7</v>
      </c>
      <c r="H12" s="6"/>
      <c r="I12" s="6"/>
      <c r="J12" s="16">
        <f t="shared" si="0"/>
        <v>268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0</v>
      </c>
      <c r="D13" s="6"/>
      <c r="E13" s="6"/>
      <c r="F13" s="6"/>
      <c r="G13" s="6"/>
      <c r="H13" s="6"/>
      <c r="I13" s="6"/>
      <c r="J13" s="16">
        <f t="shared" si="0"/>
        <v>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39</v>
      </c>
      <c r="D14" s="6"/>
      <c r="E14" s="6"/>
      <c r="F14" s="6"/>
      <c r="G14" s="6"/>
      <c r="H14" s="6"/>
      <c r="I14" s="6"/>
      <c r="J14" s="16">
        <f t="shared" si="0"/>
        <v>39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39</v>
      </c>
      <c r="D15" s="6"/>
      <c r="E15" s="6"/>
      <c r="F15" s="6"/>
      <c r="G15" s="6"/>
      <c r="H15" s="6"/>
      <c r="I15" s="6"/>
      <c r="J15" s="16">
        <f t="shared" si="0"/>
        <v>39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17</v>
      </c>
      <c r="D16" s="6"/>
      <c r="E16" s="6"/>
      <c r="F16" s="6"/>
      <c r="G16" s="6"/>
      <c r="H16" s="6"/>
      <c r="I16" s="6"/>
      <c r="J16" s="16">
        <f t="shared" si="0"/>
        <v>17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260</v>
      </c>
      <c r="D17" s="6"/>
      <c r="E17" s="6">
        <v>8</v>
      </c>
      <c r="F17" s="6"/>
      <c r="G17" s="6">
        <v>12</v>
      </c>
      <c r="H17" s="6">
        <v>18</v>
      </c>
      <c r="I17" s="6"/>
      <c r="J17" s="16">
        <f t="shared" si="0"/>
        <v>222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20</v>
      </c>
      <c r="D18" s="6">
        <v>72</v>
      </c>
      <c r="E18" s="6">
        <v>10</v>
      </c>
      <c r="F18" s="6"/>
      <c r="G18" s="6">
        <v>6</v>
      </c>
      <c r="H18" s="6"/>
      <c r="I18" s="6"/>
      <c r="J18" s="16">
        <f t="shared" si="0"/>
        <v>76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22</v>
      </c>
      <c r="D19" s="6"/>
      <c r="E19" s="6"/>
      <c r="F19" s="6"/>
      <c r="G19" s="6"/>
      <c r="H19" s="6">
        <v>13</v>
      </c>
      <c r="I19" s="6"/>
      <c r="J19" s="16">
        <f t="shared" si="0"/>
        <v>9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0</v>
      </c>
      <c r="D20" s="6">
        <v>51</v>
      </c>
      <c r="E20" s="6"/>
      <c r="F20" s="6"/>
      <c r="G20" s="6"/>
      <c r="H20" s="6">
        <v>8</v>
      </c>
      <c r="I20" s="6"/>
      <c r="J20" s="16">
        <f t="shared" si="0"/>
        <v>43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69</v>
      </c>
      <c r="D21" s="6"/>
      <c r="E21" s="6"/>
      <c r="F21" s="6">
        <v>5</v>
      </c>
      <c r="G21" s="6">
        <v>35</v>
      </c>
      <c r="H21" s="6"/>
      <c r="I21" s="6"/>
      <c r="J21" s="16">
        <f t="shared" si="0"/>
        <v>29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17</v>
      </c>
      <c r="D22" s="6">
        <v>27</v>
      </c>
      <c r="E22" s="6"/>
      <c r="F22" s="6">
        <v>5</v>
      </c>
      <c r="G22" s="6">
        <v>5</v>
      </c>
      <c r="H22" s="6">
        <v>30</v>
      </c>
      <c r="I22" s="6"/>
      <c r="J22" s="16">
        <f t="shared" si="0"/>
        <v>4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10</v>
      </c>
      <c r="D23" s="6"/>
      <c r="E23" s="6"/>
      <c r="F23" s="6"/>
      <c r="G23" s="6"/>
      <c r="H23" s="6"/>
      <c r="I23" s="6"/>
      <c r="J23" s="16">
        <f t="shared" si="0"/>
        <v>10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24</v>
      </c>
      <c r="D24" s="6"/>
      <c r="E24" s="6"/>
      <c r="F24" s="6"/>
      <c r="G24" s="6"/>
      <c r="H24" s="6"/>
      <c r="I24" s="6"/>
      <c r="J24" s="16">
        <f t="shared" si="0"/>
        <v>24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350</v>
      </c>
      <c r="D26" s="6"/>
      <c r="E26" s="6"/>
      <c r="F26" s="6">
        <v>40</v>
      </c>
      <c r="G26" s="6"/>
      <c r="H26" s="6"/>
      <c r="I26" s="6"/>
      <c r="J26" s="16">
        <f t="shared" si="0"/>
        <v>310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21</v>
      </c>
      <c r="D27" s="6"/>
      <c r="E27" s="6"/>
      <c r="F27" s="6">
        <v>8</v>
      </c>
      <c r="G27" s="6"/>
      <c r="H27" s="6"/>
      <c r="I27" s="6"/>
      <c r="J27" s="16">
        <f t="shared" si="0"/>
        <v>13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2273</v>
      </c>
      <c r="D28" s="6">
        <v>107</v>
      </c>
      <c r="E28" s="6"/>
      <c r="F28" s="6"/>
      <c r="G28" s="6"/>
      <c r="H28" s="6"/>
      <c r="I28" s="6"/>
      <c r="J28" s="16">
        <f t="shared" si="0"/>
        <v>2380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1620</v>
      </c>
      <c r="D29" s="6">
        <v>510</v>
      </c>
      <c r="E29" s="6"/>
      <c r="F29" s="6"/>
      <c r="G29" s="6"/>
      <c r="H29" s="6"/>
      <c r="I29" s="6"/>
      <c r="J29" s="16">
        <f t="shared" si="0"/>
        <v>2130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>
        <v>54</v>
      </c>
      <c r="E30" s="6"/>
      <c r="F30" s="6"/>
      <c r="G30" s="6"/>
      <c r="H30" s="6"/>
      <c r="I30" s="6"/>
      <c r="J30" s="16">
        <f t="shared" si="0"/>
        <v>54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2</v>
      </c>
      <c r="D31" s="6">
        <v>303</v>
      </c>
      <c r="E31" s="6"/>
      <c r="F31" s="6"/>
      <c r="G31" s="6"/>
      <c r="H31" s="6"/>
      <c r="I31" s="6"/>
      <c r="J31" s="16">
        <f t="shared" si="0"/>
        <v>305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400</v>
      </c>
      <c r="D32" s="6"/>
      <c r="E32" s="6"/>
      <c r="F32" s="6"/>
      <c r="G32" s="6"/>
      <c r="H32" s="6"/>
      <c r="I32" s="6"/>
      <c r="J32" s="16">
        <f t="shared" si="0"/>
        <v>400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0</v>
      </c>
      <c r="D33" s="6"/>
      <c r="E33" s="6"/>
      <c r="F33" s="6"/>
      <c r="G33" s="6"/>
      <c r="H33" s="6"/>
      <c r="I33" s="6"/>
      <c r="J33" s="16">
        <f t="shared" si="0"/>
        <v>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57</v>
      </c>
      <c r="D34" s="6"/>
      <c r="E34" s="6"/>
      <c r="F34" s="6">
        <v>6</v>
      </c>
      <c r="G34" s="6"/>
      <c r="H34" s="6"/>
      <c r="I34" s="6"/>
      <c r="J34" s="16">
        <f t="shared" si="0"/>
        <v>51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40</v>
      </c>
      <c r="D37" s="6"/>
      <c r="E37" s="6"/>
      <c r="F37" s="6"/>
      <c r="G37" s="6"/>
      <c r="H37" s="6"/>
      <c r="I37" s="6"/>
      <c r="J37" s="16">
        <f t="shared" si="0"/>
        <v>40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53</v>
      </c>
      <c r="D38" s="6"/>
      <c r="E38" s="6"/>
      <c r="F38" s="6"/>
      <c r="G38" s="6"/>
      <c r="H38" s="6"/>
      <c r="I38" s="6"/>
      <c r="J38" s="16">
        <f t="shared" si="0"/>
        <v>53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0</v>
      </c>
      <c r="D39" s="6"/>
      <c r="E39" s="6"/>
      <c r="F39" s="6"/>
      <c r="G39" s="6"/>
      <c r="H39" s="6"/>
      <c r="I39" s="6"/>
      <c r="J39" s="16">
        <f t="shared" si="0"/>
        <v>0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62</v>
      </c>
      <c r="D40" s="6"/>
      <c r="E40" s="6"/>
      <c r="F40" s="6"/>
      <c r="G40" s="6"/>
      <c r="H40" s="6">
        <v>4</v>
      </c>
      <c r="I40" s="6"/>
      <c r="J40" s="16">
        <f t="shared" si="0"/>
        <v>58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85</v>
      </c>
      <c r="D41" s="6">
        <v>17</v>
      </c>
      <c r="E41" s="6">
        <v>40</v>
      </c>
      <c r="F41" s="6">
        <v>44</v>
      </c>
      <c r="G41" s="6">
        <v>8</v>
      </c>
      <c r="H41" s="6"/>
      <c r="I41" s="6"/>
      <c r="J41" s="16">
        <f t="shared" si="0"/>
        <v>10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83</v>
      </c>
      <c r="D42" s="6">
        <v>6</v>
      </c>
      <c r="E42" s="6">
        <v>62</v>
      </c>
      <c r="F42" s="6">
        <v>21</v>
      </c>
      <c r="G42" s="6">
        <v>2</v>
      </c>
      <c r="H42" s="6"/>
      <c r="I42" s="6"/>
      <c r="J42" s="16">
        <f t="shared" si="0"/>
        <v>4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240</v>
      </c>
      <c r="D43" s="6">
        <v>354</v>
      </c>
      <c r="E43" s="6">
        <v>239</v>
      </c>
      <c r="F43" s="6"/>
      <c r="G43" s="6">
        <v>26</v>
      </c>
      <c r="H43" s="6"/>
      <c r="I43" s="6"/>
      <c r="J43" s="16">
        <f t="shared" si="0"/>
        <v>329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26</v>
      </c>
      <c r="D46" s="6"/>
      <c r="E46" s="6"/>
      <c r="F46" s="6"/>
      <c r="G46" s="6"/>
      <c r="H46" s="6"/>
      <c r="I46" s="6"/>
      <c r="J46" s="16">
        <f t="shared" si="0"/>
        <v>26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25</v>
      </c>
      <c r="D47" s="6"/>
      <c r="E47" s="6"/>
      <c r="F47" s="6"/>
      <c r="G47" s="6"/>
      <c r="H47" s="6"/>
      <c r="I47" s="6"/>
      <c r="J47" s="16">
        <f t="shared" si="0"/>
        <v>25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62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276</v>
      </c>
      <c r="D49" s="6"/>
      <c r="E49" s="6">
        <v>15</v>
      </c>
      <c r="F49" s="6"/>
      <c r="G49" s="6"/>
      <c r="H49" s="6">
        <v>25</v>
      </c>
      <c r="I49" s="6"/>
      <c r="J49" s="16">
        <f t="shared" si="0"/>
        <v>236</v>
      </c>
      <c r="K49" s="13">
        <v>200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17</v>
      </c>
      <c r="D50" s="6">
        <v>108</v>
      </c>
      <c r="E50" s="6"/>
      <c r="F50" s="6">
        <v>2</v>
      </c>
      <c r="G50" s="6"/>
      <c r="H50" s="6">
        <v>12</v>
      </c>
      <c r="I50" s="6"/>
      <c r="J50" s="16">
        <f t="shared" si="0"/>
        <v>111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33</v>
      </c>
      <c r="D51" s="6"/>
      <c r="E51" s="6"/>
      <c r="F51" s="6"/>
      <c r="G51" s="6"/>
      <c r="H51" s="6"/>
      <c r="I51" s="6"/>
      <c r="J51" s="16">
        <f t="shared" si="0"/>
        <v>33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/>
      <c r="F52" s="6"/>
      <c r="G52" s="6"/>
      <c r="H52" s="6"/>
      <c r="I52" s="6"/>
      <c r="J52" s="16">
        <f t="shared" si="0"/>
        <v>20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30</v>
      </c>
      <c r="D53" s="6"/>
      <c r="E53" s="6"/>
      <c r="F53" s="6"/>
      <c r="G53" s="6"/>
      <c r="H53" s="6"/>
      <c r="I53" s="6"/>
      <c r="J53" s="16">
        <f t="shared" si="0"/>
        <v>30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92</v>
      </c>
      <c r="C54" s="6">
        <v>0</v>
      </c>
      <c r="D54" s="6"/>
      <c r="E54" s="6"/>
      <c r="F54" s="6"/>
      <c r="G54" s="6"/>
      <c r="H54" s="6"/>
      <c r="I54" s="6"/>
      <c r="J54" s="16">
        <f t="shared" si="0"/>
        <v>0</v>
      </c>
      <c r="K54" s="13">
        <v>0</v>
      </c>
      <c r="L54" s="14"/>
    </row>
    <row r="55" spans="1:12" x14ac:dyDescent="0.25">
      <c r="A55" s="6">
        <v>55</v>
      </c>
      <c r="B55" s="7" t="s">
        <v>92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42</v>
      </c>
      <c r="D56" s="6"/>
      <c r="E56" s="6">
        <v>1</v>
      </c>
      <c r="F56" s="6">
        <v>10</v>
      </c>
      <c r="G56" s="6"/>
      <c r="H56" s="6"/>
      <c r="I56" s="6"/>
      <c r="J56" s="16">
        <f t="shared" si="0"/>
        <v>31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10</v>
      </c>
      <c r="D58" s="6">
        <v>12</v>
      </c>
      <c r="E58" s="6"/>
      <c r="F58" s="6">
        <v>9</v>
      </c>
      <c r="G58" s="6"/>
      <c r="H58" s="6"/>
      <c r="I58" s="6"/>
      <c r="J58" s="16">
        <f t="shared" si="0"/>
        <v>13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0</v>
      </c>
      <c r="D59" s="6"/>
      <c r="E59" s="6"/>
      <c r="F59" s="6"/>
      <c r="G59" s="6"/>
      <c r="H59" s="6"/>
      <c r="I59" s="6"/>
      <c r="J59" s="16">
        <f t="shared" si="0"/>
        <v>0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32</v>
      </c>
      <c r="D62" s="6">
        <v>244</v>
      </c>
      <c r="E62" s="6"/>
      <c r="F62" s="6"/>
      <c r="G62" s="6"/>
      <c r="H62" s="6"/>
      <c r="I62" s="6"/>
      <c r="J62" s="16">
        <f t="shared" si="0"/>
        <v>276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11</v>
      </c>
      <c r="D63" s="6">
        <v>10</v>
      </c>
      <c r="E63" s="6"/>
      <c r="F63" s="6">
        <v>17</v>
      </c>
      <c r="G63" s="6"/>
      <c r="H63" s="6">
        <v>4</v>
      </c>
      <c r="I63" s="6"/>
      <c r="J63" s="16">
        <f t="shared" si="0"/>
        <v>0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170</v>
      </c>
      <c r="D64" s="6"/>
      <c r="E64" s="6"/>
      <c r="F64" s="6">
        <v>6</v>
      </c>
      <c r="G64" s="6"/>
      <c r="H64" s="6"/>
      <c r="I64" s="6"/>
      <c r="J64" s="16">
        <f t="shared" si="0"/>
        <v>164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15</v>
      </c>
      <c r="D65" s="6"/>
      <c r="E65" s="6"/>
      <c r="F65" s="6"/>
      <c r="G65" s="6"/>
      <c r="H65" s="6"/>
      <c r="I65" s="6"/>
      <c r="J65" s="16">
        <f t="shared" si="0"/>
        <v>15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0"/>
        <v>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0</v>
      </c>
      <c r="D67" s="6"/>
      <c r="E67" s="6"/>
      <c r="F67" s="6"/>
      <c r="G67" s="6"/>
      <c r="H67" s="6"/>
      <c r="I67" s="6"/>
      <c r="J67" s="16">
        <f t="shared" ref="J67:J76" si="1">+C67-E67-F67-G67-H67-I67+D67</f>
        <v>0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15</v>
      </c>
      <c r="D68" s="6">
        <v>25</v>
      </c>
      <c r="E68" s="6"/>
      <c r="F68" s="6"/>
      <c r="G68" s="6"/>
      <c r="H68" s="6">
        <v>2</v>
      </c>
      <c r="I68" s="6"/>
      <c r="J68" s="16">
        <f t="shared" si="1"/>
        <v>38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0</v>
      </c>
      <c r="D69" s="6">
        <v>17</v>
      </c>
      <c r="E69" s="6"/>
      <c r="F69" s="6"/>
      <c r="G69" s="6"/>
      <c r="H69" s="6"/>
      <c r="I69" s="6"/>
      <c r="J69" s="16">
        <f t="shared" si="1"/>
        <v>17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26</v>
      </c>
      <c r="D70" s="6"/>
      <c r="E70" s="6">
        <v>1</v>
      </c>
      <c r="F70" s="6">
        <v>2</v>
      </c>
      <c r="G70" s="6"/>
      <c r="H70" s="6">
        <v>2</v>
      </c>
      <c r="I70" s="6"/>
      <c r="J70" s="16">
        <f t="shared" si="1"/>
        <v>21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9</v>
      </c>
      <c r="D71" s="6"/>
      <c r="E71" s="6"/>
      <c r="F71" s="6"/>
      <c r="G71" s="6"/>
      <c r="H71" s="6"/>
      <c r="I71" s="6"/>
      <c r="J71" s="16">
        <f t="shared" si="1"/>
        <v>9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119</v>
      </c>
      <c r="D72" s="6"/>
      <c r="E72" s="6">
        <v>16</v>
      </c>
      <c r="F72" s="6">
        <v>91</v>
      </c>
      <c r="G72" s="6">
        <v>2</v>
      </c>
      <c r="H72" s="6">
        <v>8</v>
      </c>
      <c r="I72" s="6"/>
      <c r="J72" s="16">
        <f t="shared" si="1"/>
        <v>2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134</v>
      </c>
      <c r="D73" s="6"/>
      <c r="E73" s="6"/>
      <c r="F73" s="6">
        <v>27</v>
      </c>
      <c r="G73" s="6"/>
      <c r="H73" s="6">
        <v>3</v>
      </c>
      <c r="I73" s="6"/>
      <c r="J73" s="16">
        <f t="shared" si="1"/>
        <v>104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32</v>
      </c>
      <c r="D74" s="6"/>
      <c r="E74" s="6">
        <v>14</v>
      </c>
      <c r="F74" s="6">
        <v>9</v>
      </c>
      <c r="G74" s="6"/>
      <c r="H74" s="6"/>
      <c r="I74" s="6"/>
      <c r="J74" s="16">
        <f t="shared" si="1"/>
        <v>9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25</v>
      </c>
      <c r="D75" s="6">
        <v>11</v>
      </c>
      <c r="E75" s="6"/>
      <c r="F75" s="6">
        <v>14</v>
      </c>
      <c r="G75" s="6"/>
      <c r="H75" s="6">
        <v>8</v>
      </c>
      <c r="I75" s="6"/>
      <c r="J75" s="16">
        <f t="shared" si="1"/>
        <v>14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20</v>
      </c>
      <c r="D76" s="6"/>
      <c r="E76" s="6"/>
      <c r="F76" s="6"/>
      <c r="G76" s="6"/>
      <c r="H76" s="6"/>
      <c r="I76" s="6"/>
      <c r="J76" s="16">
        <f t="shared" si="1"/>
        <v>20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95E1-56C5-4D8F-A9C9-EB65F1905A4C}">
  <dimension ref="A1:L76"/>
  <sheetViews>
    <sheetView topLeftCell="A53" zoomScaleNormal="100" workbookViewId="0">
      <selection activeCell="I76" sqref="I76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>
        <v>45717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45751</v>
      </c>
      <c r="F2" s="18">
        <v>45758</v>
      </c>
      <c r="G2" s="18">
        <v>45765</v>
      </c>
      <c r="H2" s="18">
        <v>45772</v>
      </c>
      <c r="I2" s="18">
        <v>45777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31</v>
      </c>
      <c r="D3" s="6"/>
      <c r="E3" s="6"/>
      <c r="F3" s="6"/>
      <c r="G3" s="6"/>
      <c r="H3" s="6"/>
      <c r="I3" s="6"/>
      <c r="J3" s="16">
        <f t="shared" ref="J3:J66" si="0">+C3-E3-F3-G3-H3-I3+D3</f>
        <v>31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28</v>
      </c>
      <c r="D4" s="6"/>
      <c r="E4" s="6"/>
      <c r="F4" s="6">
        <v>6</v>
      </c>
      <c r="G4" s="6">
        <v>1</v>
      </c>
      <c r="H4" s="6"/>
      <c r="I4" s="6"/>
      <c r="J4" s="16">
        <f t="shared" si="0"/>
        <v>21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45</v>
      </c>
      <c r="D6" s="6"/>
      <c r="E6" s="6"/>
      <c r="F6" s="6"/>
      <c r="G6" s="6"/>
      <c r="H6" s="6"/>
      <c r="I6" s="6"/>
      <c r="J6" s="16">
        <f t="shared" si="0"/>
        <v>45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58</v>
      </c>
      <c r="D7" s="6"/>
      <c r="E7" s="6"/>
      <c r="F7" s="6">
        <v>8</v>
      </c>
      <c r="G7" s="6"/>
      <c r="H7" s="6">
        <v>2</v>
      </c>
      <c r="I7" s="6"/>
      <c r="J7" s="16">
        <f t="shared" si="0"/>
        <v>48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44</v>
      </c>
      <c r="D8" s="6"/>
      <c r="E8" s="6"/>
      <c r="F8" s="6"/>
      <c r="G8" s="6"/>
      <c r="H8" s="6">
        <v>5</v>
      </c>
      <c r="I8" s="6"/>
      <c r="J8" s="16">
        <f t="shared" si="0"/>
        <v>39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66</v>
      </c>
      <c r="D9" s="6"/>
      <c r="E9" s="6"/>
      <c r="F9" s="6"/>
      <c r="G9" s="6">
        <v>1</v>
      </c>
      <c r="H9" s="6">
        <v>1</v>
      </c>
      <c r="I9" s="6"/>
      <c r="J9" s="16">
        <f t="shared" si="0"/>
        <v>64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10</v>
      </c>
      <c r="D10" s="6"/>
      <c r="E10" s="6"/>
      <c r="F10" s="6"/>
      <c r="G10" s="6"/>
      <c r="H10" s="6"/>
      <c r="I10" s="6"/>
      <c r="J10" s="16">
        <f t="shared" si="0"/>
        <v>10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112</v>
      </c>
      <c r="D11" s="6">
        <v>112</v>
      </c>
      <c r="E11" s="6">
        <v>6</v>
      </c>
      <c r="F11" s="6"/>
      <c r="G11" s="6"/>
      <c r="H11" s="6">
        <v>1</v>
      </c>
      <c r="I11" s="6">
        <v>10</v>
      </c>
      <c r="J11" s="16">
        <f t="shared" si="0"/>
        <v>207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112</v>
      </c>
      <c r="D12" s="6"/>
      <c r="E12" s="6">
        <v>12</v>
      </c>
      <c r="F12" s="6"/>
      <c r="G12" s="6"/>
      <c r="H12" s="6">
        <v>14</v>
      </c>
      <c r="I12" s="6">
        <v>4</v>
      </c>
      <c r="J12" s="16">
        <f t="shared" si="0"/>
        <v>82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0</v>
      </c>
      <c r="D13" s="6"/>
      <c r="E13" s="6"/>
      <c r="F13" s="6"/>
      <c r="G13" s="6"/>
      <c r="H13" s="6"/>
      <c r="I13" s="6"/>
      <c r="J13" s="16">
        <f t="shared" si="0"/>
        <v>0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39</v>
      </c>
      <c r="D14" s="6"/>
      <c r="E14" s="6"/>
      <c r="F14" s="6"/>
      <c r="G14" s="6"/>
      <c r="H14" s="6"/>
      <c r="I14" s="6"/>
      <c r="J14" s="16">
        <f t="shared" si="0"/>
        <v>39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39</v>
      </c>
      <c r="D15" s="6"/>
      <c r="E15" s="6"/>
      <c r="F15" s="6"/>
      <c r="G15" s="6"/>
      <c r="H15" s="6"/>
      <c r="I15" s="6"/>
      <c r="J15" s="16">
        <f t="shared" si="0"/>
        <v>39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17</v>
      </c>
      <c r="D16" s="6"/>
      <c r="E16" s="6">
        <v>8</v>
      </c>
      <c r="F16" s="6"/>
      <c r="G16" s="6"/>
      <c r="H16" s="6"/>
      <c r="I16" s="6"/>
      <c r="J16" s="16">
        <f t="shared" si="0"/>
        <v>9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155</v>
      </c>
      <c r="D17" s="6"/>
      <c r="E17" s="6">
        <v>24</v>
      </c>
      <c r="F17" s="6">
        <v>30</v>
      </c>
      <c r="G17" s="6">
        <v>17</v>
      </c>
      <c r="H17" s="6">
        <v>15</v>
      </c>
      <c r="I17" s="6">
        <v>46</v>
      </c>
      <c r="J17" s="16">
        <f t="shared" si="0"/>
        <v>23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160</v>
      </c>
      <c r="D18" s="6">
        <v>159</v>
      </c>
      <c r="E18" s="6">
        <v>6</v>
      </c>
      <c r="F18" s="6">
        <v>55</v>
      </c>
      <c r="G18" s="6">
        <v>140</v>
      </c>
      <c r="H18" s="6">
        <v>15</v>
      </c>
      <c r="I18" s="6">
        <v>20</v>
      </c>
      <c r="J18" s="16">
        <f t="shared" si="0"/>
        <v>83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19</v>
      </c>
      <c r="D19" s="6">
        <v>29</v>
      </c>
      <c r="E19" s="6"/>
      <c r="F19" s="6"/>
      <c r="G19" s="6">
        <v>14</v>
      </c>
      <c r="H19" s="6"/>
      <c r="I19" s="6"/>
      <c r="J19" s="16">
        <f t="shared" si="0"/>
        <v>34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43</v>
      </c>
      <c r="D20" s="6"/>
      <c r="E20" s="6"/>
      <c r="F20" s="6"/>
      <c r="G20" s="6">
        <v>10</v>
      </c>
      <c r="H20" s="6"/>
      <c r="I20" s="6"/>
      <c r="J20" s="16">
        <f t="shared" si="0"/>
        <v>33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86</v>
      </c>
      <c r="D21" s="6"/>
      <c r="E21" s="6"/>
      <c r="F21" s="6"/>
      <c r="G21" s="6"/>
      <c r="H21" s="6"/>
      <c r="I21" s="6">
        <v>3</v>
      </c>
      <c r="J21" s="16">
        <f t="shared" si="0"/>
        <v>83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10</v>
      </c>
      <c r="D22" s="6">
        <v>31</v>
      </c>
      <c r="E22" s="6"/>
      <c r="F22" s="6"/>
      <c r="G22" s="6"/>
      <c r="H22" s="6"/>
      <c r="I22" s="6">
        <v>2</v>
      </c>
      <c r="J22" s="16">
        <f t="shared" si="0"/>
        <v>39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10</v>
      </c>
      <c r="D23" s="6"/>
      <c r="E23" s="6"/>
      <c r="F23" s="6"/>
      <c r="G23" s="6"/>
      <c r="H23" s="6"/>
      <c r="I23" s="6"/>
      <c r="J23" s="16">
        <f t="shared" si="0"/>
        <v>10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24</v>
      </c>
      <c r="D24" s="6">
        <v>5</v>
      </c>
      <c r="E24" s="6"/>
      <c r="F24" s="6"/>
      <c r="G24" s="6"/>
      <c r="H24" s="6">
        <v>1</v>
      </c>
      <c r="I24" s="6">
        <v>3</v>
      </c>
      <c r="J24" s="16">
        <f t="shared" si="0"/>
        <v>25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310</v>
      </c>
      <c r="D26" s="6"/>
      <c r="E26" s="6"/>
      <c r="F26" s="6"/>
      <c r="G26" s="6"/>
      <c r="H26" s="6">
        <v>15</v>
      </c>
      <c r="I26" s="6"/>
      <c r="J26" s="16">
        <f t="shared" si="0"/>
        <v>295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13</v>
      </c>
      <c r="D27" s="6"/>
      <c r="E27" s="6"/>
      <c r="F27" s="6">
        <v>4</v>
      </c>
      <c r="G27" s="6"/>
      <c r="H27" s="6"/>
      <c r="I27" s="6"/>
      <c r="J27" s="16">
        <f t="shared" si="0"/>
        <v>9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0</v>
      </c>
      <c r="D28" s="6"/>
      <c r="E28" s="6"/>
      <c r="F28" s="6"/>
      <c r="G28" s="6"/>
      <c r="H28" s="6"/>
      <c r="I28" s="6"/>
      <c r="J28" s="1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16">
        <f t="shared" si="0"/>
        <v>0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400</v>
      </c>
      <c r="D32" s="6"/>
      <c r="E32" s="6"/>
      <c r="F32" s="6"/>
      <c r="G32" s="6"/>
      <c r="H32" s="6"/>
      <c r="I32" s="6"/>
      <c r="J32" s="16">
        <f t="shared" si="0"/>
        <v>400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30</v>
      </c>
      <c r="D33" s="6"/>
      <c r="E33" s="6"/>
      <c r="F33" s="6"/>
      <c r="G33" s="6"/>
      <c r="H33" s="6"/>
      <c r="I33" s="6"/>
      <c r="J33" s="16">
        <f t="shared" si="0"/>
        <v>30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51</v>
      </c>
      <c r="D34" s="6"/>
      <c r="E34" s="6"/>
      <c r="F34" s="6"/>
      <c r="G34" s="6"/>
      <c r="H34" s="6"/>
      <c r="I34" s="6"/>
      <c r="J34" s="16">
        <f t="shared" si="0"/>
        <v>51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40</v>
      </c>
      <c r="D37" s="6"/>
      <c r="E37" s="6"/>
      <c r="F37" s="6"/>
      <c r="G37" s="6"/>
      <c r="H37" s="6"/>
      <c r="I37" s="6"/>
      <c r="J37" s="16">
        <f t="shared" si="0"/>
        <v>40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53</v>
      </c>
      <c r="D38" s="6"/>
      <c r="E38" s="6"/>
      <c r="F38" s="6"/>
      <c r="G38" s="6"/>
      <c r="H38" s="6"/>
      <c r="I38" s="6"/>
      <c r="J38" s="16">
        <f t="shared" si="0"/>
        <v>53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0</v>
      </c>
      <c r="D39" s="6">
        <v>8</v>
      </c>
      <c r="E39" s="6"/>
      <c r="F39" s="6"/>
      <c r="G39" s="6"/>
      <c r="H39" s="6">
        <v>8</v>
      </c>
      <c r="I39" s="6"/>
      <c r="J39" s="16">
        <f t="shared" si="0"/>
        <v>0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58</v>
      </c>
      <c r="D40" s="6">
        <v>6</v>
      </c>
      <c r="E40" s="6"/>
      <c r="F40" s="6">
        <v>42</v>
      </c>
      <c r="G40" s="6">
        <v>3</v>
      </c>
      <c r="H40" s="6">
        <v>2</v>
      </c>
      <c r="I40" s="6"/>
      <c r="J40" s="16">
        <f t="shared" si="0"/>
        <v>17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24</v>
      </c>
      <c r="D41" s="6">
        <v>50</v>
      </c>
      <c r="E41" s="6"/>
      <c r="F41" s="6"/>
      <c r="G41" s="6"/>
      <c r="H41" s="6"/>
      <c r="I41" s="6"/>
      <c r="J41" s="16">
        <f t="shared" si="0"/>
        <v>74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20</v>
      </c>
      <c r="D42" s="6">
        <v>43</v>
      </c>
      <c r="E42" s="6"/>
      <c r="F42" s="6">
        <v>20</v>
      </c>
      <c r="G42" s="6"/>
      <c r="H42" s="6"/>
      <c r="I42" s="6"/>
      <c r="J42" s="16">
        <f t="shared" si="0"/>
        <v>43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329</v>
      </c>
      <c r="D43" s="6"/>
      <c r="E43" s="6"/>
      <c r="F43" s="6"/>
      <c r="G43" s="6"/>
      <c r="H43" s="6">
        <v>78</v>
      </c>
      <c r="I43" s="6"/>
      <c r="J43" s="16">
        <f t="shared" si="0"/>
        <v>251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26</v>
      </c>
      <c r="D46" s="6"/>
      <c r="E46" s="6"/>
      <c r="F46" s="6"/>
      <c r="G46" s="6"/>
      <c r="H46" s="6"/>
      <c r="I46" s="6"/>
      <c r="J46" s="16">
        <f t="shared" si="0"/>
        <v>26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25</v>
      </c>
      <c r="D47" s="6"/>
      <c r="E47" s="6"/>
      <c r="F47" s="6"/>
      <c r="G47" s="6">
        <v>1</v>
      </c>
      <c r="H47" s="6"/>
      <c r="I47" s="6"/>
      <c r="J47" s="16">
        <f t="shared" si="0"/>
        <v>24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92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336</v>
      </c>
      <c r="D49" s="6"/>
      <c r="E49" s="6">
        <v>22</v>
      </c>
      <c r="F49" s="6">
        <v>101</v>
      </c>
      <c r="G49" s="6"/>
      <c r="H49" s="6">
        <v>84</v>
      </c>
      <c r="I49" s="6"/>
      <c r="J49" s="16">
        <f t="shared" si="0"/>
        <v>129</v>
      </c>
      <c r="K49" s="13">
        <v>200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111</v>
      </c>
      <c r="D50" s="6"/>
      <c r="E50" s="6">
        <v>3</v>
      </c>
      <c r="F50" s="6"/>
      <c r="G50" s="6">
        <v>1</v>
      </c>
      <c r="H50" s="6">
        <v>1</v>
      </c>
      <c r="I50" s="6">
        <v>2</v>
      </c>
      <c r="J50" s="16">
        <f t="shared" si="0"/>
        <v>104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33</v>
      </c>
      <c r="D51" s="6"/>
      <c r="E51" s="6">
        <v>3</v>
      </c>
      <c r="F51" s="6"/>
      <c r="G51" s="6">
        <v>1</v>
      </c>
      <c r="H51" s="6">
        <v>1</v>
      </c>
      <c r="I51" s="6"/>
      <c r="J51" s="16">
        <f t="shared" si="0"/>
        <v>28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/>
      <c r="F52" s="6"/>
      <c r="G52" s="6"/>
      <c r="H52" s="6"/>
      <c r="I52" s="6"/>
      <c r="J52" s="16">
        <f t="shared" si="0"/>
        <v>20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30</v>
      </c>
      <c r="D53" s="6"/>
      <c r="E53" s="6"/>
      <c r="F53" s="6"/>
      <c r="G53" s="6"/>
      <c r="H53" s="6"/>
      <c r="I53" s="6"/>
      <c r="J53" s="16">
        <f t="shared" si="0"/>
        <v>30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92</v>
      </c>
      <c r="C54" s="6">
        <v>0</v>
      </c>
      <c r="D54" s="6"/>
      <c r="E54" s="6"/>
      <c r="F54" s="6"/>
      <c r="G54" s="6"/>
      <c r="H54" s="6"/>
      <c r="I54" s="6"/>
      <c r="J54" s="16">
        <f t="shared" si="0"/>
        <v>0</v>
      </c>
      <c r="K54" s="13">
        <v>0</v>
      </c>
      <c r="L54" s="14"/>
    </row>
    <row r="55" spans="1:12" x14ac:dyDescent="0.25">
      <c r="A55" s="6">
        <v>55</v>
      </c>
      <c r="B55" s="7" t="s">
        <v>92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31</v>
      </c>
      <c r="D56" s="6"/>
      <c r="E56" s="6"/>
      <c r="F56" s="6"/>
      <c r="G56" s="6">
        <v>1</v>
      </c>
      <c r="H56" s="6"/>
      <c r="I56" s="6"/>
      <c r="J56" s="16">
        <f t="shared" si="0"/>
        <v>30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23</v>
      </c>
      <c r="D58" s="6">
        <v>25</v>
      </c>
      <c r="E58" s="6"/>
      <c r="F58" s="6"/>
      <c r="G58" s="6">
        <v>1</v>
      </c>
      <c r="H58" s="6">
        <v>1</v>
      </c>
      <c r="I58" s="6">
        <v>2</v>
      </c>
      <c r="J58" s="16">
        <f t="shared" si="0"/>
        <v>44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80</v>
      </c>
      <c r="D59" s="6"/>
      <c r="E59" s="6"/>
      <c r="F59" s="6"/>
      <c r="G59" s="6"/>
      <c r="H59" s="6"/>
      <c r="I59" s="6"/>
      <c r="J59" s="16">
        <f t="shared" si="0"/>
        <v>80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276</v>
      </c>
      <c r="D62" s="6"/>
      <c r="E62" s="6"/>
      <c r="F62" s="6"/>
      <c r="G62" s="6"/>
      <c r="H62" s="6"/>
      <c r="I62" s="6"/>
      <c r="J62" s="16">
        <f t="shared" si="0"/>
        <v>276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9</v>
      </c>
      <c r="D63" s="6"/>
      <c r="E63" s="6"/>
      <c r="F63" s="6"/>
      <c r="G63" s="6">
        <v>3</v>
      </c>
      <c r="H63" s="6">
        <v>1</v>
      </c>
      <c r="I63" s="6"/>
      <c r="J63" s="16">
        <f t="shared" si="0"/>
        <v>5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164</v>
      </c>
      <c r="D64" s="6"/>
      <c r="E64" s="6"/>
      <c r="F64" s="6"/>
      <c r="G64" s="6"/>
      <c r="H64" s="6">
        <v>3</v>
      </c>
      <c r="I64" s="6"/>
      <c r="J64" s="16">
        <f t="shared" si="0"/>
        <v>161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15</v>
      </c>
      <c r="D65" s="6"/>
      <c r="E65" s="6"/>
      <c r="F65" s="6"/>
      <c r="G65" s="6"/>
      <c r="H65" s="6">
        <v>8</v>
      </c>
      <c r="I65" s="6"/>
      <c r="J65" s="16">
        <f t="shared" si="0"/>
        <v>7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20</v>
      </c>
      <c r="D66" s="6"/>
      <c r="E66" s="6"/>
      <c r="F66" s="6"/>
      <c r="G66" s="6"/>
      <c r="H66" s="6"/>
      <c r="I66" s="6"/>
      <c r="J66" s="16">
        <f t="shared" si="0"/>
        <v>20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0</v>
      </c>
      <c r="D67" s="6"/>
      <c r="E67" s="6"/>
      <c r="F67" s="6"/>
      <c r="G67" s="6"/>
      <c r="H67" s="6"/>
      <c r="I67" s="6"/>
      <c r="J67" s="16">
        <f t="shared" ref="J67:J76" si="1">+C67-E67-F67-G67-H67-I67+D67</f>
        <v>0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38</v>
      </c>
      <c r="D68" s="6"/>
      <c r="E68" s="6"/>
      <c r="F68" s="6"/>
      <c r="G68" s="6">
        <v>3</v>
      </c>
      <c r="H68" s="6"/>
      <c r="I68" s="6"/>
      <c r="J68" s="16">
        <f t="shared" si="1"/>
        <v>35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17</v>
      </c>
      <c r="D69" s="6"/>
      <c r="E69" s="6"/>
      <c r="F69" s="6"/>
      <c r="G69" s="6"/>
      <c r="H69" s="6"/>
      <c r="I69" s="6"/>
      <c r="J69" s="16">
        <f t="shared" si="1"/>
        <v>17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21</v>
      </c>
      <c r="D70" s="6">
        <v>20</v>
      </c>
      <c r="E70" s="6"/>
      <c r="F70" s="6">
        <v>15</v>
      </c>
      <c r="G70" s="6">
        <v>6</v>
      </c>
      <c r="H70" s="6"/>
      <c r="I70" s="6">
        <v>1</v>
      </c>
      <c r="J70" s="16">
        <f t="shared" si="1"/>
        <v>19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9</v>
      </c>
      <c r="D71" s="6"/>
      <c r="E71" s="6"/>
      <c r="F71" s="6"/>
      <c r="G71" s="6"/>
      <c r="H71" s="6"/>
      <c r="I71" s="6">
        <v>4</v>
      </c>
      <c r="J71" s="16">
        <f t="shared" si="1"/>
        <v>5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10</v>
      </c>
      <c r="D72" s="6">
        <v>57</v>
      </c>
      <c r="E72" s="6"/>
      <c r="F72" s="6">
        <v>4</v>
      </c>
      <c r="G72" s="6">
        <v>3</v>
      </c>
      <c r="H72" s="6">
        <v>12</v>
      </c>
      <c r="I72" s="6">
        <v>2</v>
      </c>
      <c r="J72" s="16">
        <f t="shared" si="1"/>
        <v>46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104</v>
      </c>
      <c r="D73" s="6">
        <v>52</v>
      </c>
      <c r="E73" s="6"/>
      <c r="F73" s="6">
        <v>2</v>
      </c>
      <c r="G73" s="6">
        <v>6</v>
      </c>
      <c r="H73" s="6"/>
      <c r="I73" s="6"/>
      <c r="J73" s="16">
        <f t="shared" si="1"/>
        <v>148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16</v>
      </c>
      <c r="D74" s="6"/>
      <c r="E74" s="6"/>
      <c r="F74" s="6">
        <v>1</v>
      </c>
      <c r="G74" s="6"/>
      <c r="H74" s="6"/>
      <c r="I74" s="6">
        <v>7</v>
      </c>
      <c r="J74" s="16">
        <f t="shared" si="1"/>
        <v>8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19</v>
      </c>
      <c r="D75" s="6">
        <v>47</v>
      </c>
      <c r="E75" s="6"/>
      <c r="F75" s="6">
        <v>1</v>
      </c>
      <c r="G75" s="6">
        <v>3</v>
      </c>
      <c r="H75" s="6"/>
      <c r="I75" s="6"/>
      <c r="J75" s="16">
        <f t="shared" si="1"/>
        <v>62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20</v>
      </c>
      <c r="D76" s="6"/>
      <c r="E76" s="6"/>
      <c r="F76" s="6"/>
      <c r="G76" s="6"/>
      <c r="H76" s="6"/>
      <c r="I76" s="6"/>
      <c r="J76" s="16">
        <f t="shared" si="1"/>
        <v>20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7503-FAE3-408C-83D9-AAF16AFA51C9}">
  <dimension ref="A1:L76"/>
  <sheetViews>
    <sheetView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134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45786</v>
      </c>
      <c r="F2" s="18">
        <v>45793</v>
      </c>
      <c r="G2" s="18">
        <v>45800</v>
      </c>
      <c r="H2" s="18">
        <v>45807</v>
      </c>
      <c r="I2" s="18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31</v>
      </c>
      <c r="D3" s="6"/>
      <c r="E3" s="6"/>
      <c r="F3" s="6"/>
      <c r="G3" s="6"/>
      <c r="H3" s="6"/>
      <c r="I3" s="6"/>
      <c r="J3" s="16">
        <f t="shared" ref="J3:J66" si="0">+C3-E3-F3-G3-H3-I3+D3</f>
        <v>31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21</v>
      </c>
      <c r="D4" s="6"/>
      <c r="E4" s="6"/>
      <c r="F4" s="6"/>
      <c r="G4" s="6"/>
      <c r="H4" s="6"/>
      <c r="I4" s="6"/>
      <c r="J4" s="16">
        <f t="shared" si="0"/>
        <v>21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45</v>
      </c>
      <c r="D6" s="6"/>
      <c r="E6" s="6"/>
      <c r="F6" s="6"/>
      <c r="G6" s="6"/>
      <c r="H6" s="6"/>
      <c r="I6" s="6"/>
      <c r="J6" s="16">
        <f t="shared" si="0"/>
        <v>45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48</v>
      </c>
      <c r="D7" s="6"/>
      <c r="E7" s="6"/>
      <c r="F7" s="6">
        <v>1</v>
      </c>
      <c r="G7" s="6"/>
      <c r="H7" s="6"/>
      <c r="I7" s="6"/>
      <c r="J7" s="16">
        <f t="shared" si="0"/>
        <v>47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39</v>
      </c>
      <c r="D8" s="6"/>
      <c r="E8" s="6"/>
      <c r="F8" s="6"/>
      <c r="G8" s="6"/>
      <c r="H8" s="6"/>
      <c r="I8" s="6"/>
      <c r="J8" s="16">
        <f t="shared" si="0"/>
        <v>39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64</v>
      </c>
      <c r="D9" s="6"/>
      <c r="E9" s="6"/>
      <c r="F9" s="6"/>
      <c r="G9" s="6"/>
      <c r="H9" s="6"/>
      <c r="I9" s="6"/>
      <c r="J9" s="16">
        <f t="shared" si="0"/>
        <v>64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10</v>
      </c>
      <c r="D10" s="6"/>
      <c r="E10" s="6"/>
      <c r="F10" s="6"/>
      <c r="G10" s="6"/>
      <c r="H10" s="6"/>
      <c r="I10" s="6"/>
      <c r="J10" s="16">
        <f t="shared" si="0"/>
        <v>10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207</v>
      </c>
      <c r="D11" s="6"/>
      <c r="E11" s="6">
        <v>21</v>
      </c>
      <c r="F11" s="6">
        <v>3</v>
      </c>
      <c r="G11" s="6">
        <v>20</v>
      </c>
      <c r="H11" s="6"/>
      <c r="I11" s="6"/>
      <c r="J11" s="16">
        <f t="shared" si="0"/>
        <v>163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82</v>
      </c>
      <c r="D12" s="6">
        <v>21</v>
      </c>
      <c r="E12" s="6"/>
      <c r="F12" s="6"/>
      <c r="G12" s="6">
        <v>15</v>
      </c>
      <c r="H12" s="6">
        <v>20</v>
      </c>
      <c r="I12" s="6"/>
      <c r="J12" s="16">
        <f t="shared" si="0"/>
        <v>68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0</v>
      </c>
      <c r="D13" s="6">
        <v>1</v>
      </c>
      <c r="E13" s="6"/>
      <c r="F13" s="6"/>
      <c r="G13" s="6"/>
      <c r="H13" s="6"/>
      <c r="I13" s="6"/>
      <c r="J13" s="16">
        <f t="shared" si="0"/>
        <v>1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39</v>
      </c>
      <c r="D14" s="6"/>
      <c r="E14" s="6"/>
      <c r="F14" s="6"/>
      <c r="G14" s="6"/>
      <c r="H14" s="6"/>
      <c r="I14" s="6"/>
      <c r="J14" s="16">
        <f t="shared" si="0"/>
        <v>39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39</v>
      </c>
      <c r="D15" s="6"/>
      <c r="E15" s="6"/>
      <c r="F15" s="6"/>
      <c r="G15" s="6"/>
      <c r="H15" s="6"/>
      <c r="I15" s="6"/>
      <c r="J15" s="16">
        <f t="shared" si="0"/>
        <v>39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9</v>
      </c>
      <c r="D16" s="6"/>
      <c r="E16" s="6"/>
      <c r="F16" s="6"/>
      <c r="G16" s="6"/>
      <c r="H16" s="6"/>
      <c r="I16" s="6"/>
      <c r="J16" s="16">
        <f t="shared" si="0"/>
        <v>9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23</v>
      </c>
      <c r="D17" s="6"/>
      <c r="E17" s="6">
        <v>23</v>
      </c>
      <c r="F17" s="6">
        <v>0</v>
      </c>
      <c r="G17" s="6">
        <v>0</v>
      </c>
      <c r="H17" s="6"/>
      <c r="I17" s="6"/>
      <c r="J17" s="16">
        <f t="shared" si="0"/>
        <v>0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83</v>
      </c>
      <c r="D18" s="6">
        <v>85</v>
      </c>
      <c r="E18" s="6">
        <v>76</v>
      </c>
      <c r="F18" s="6">
        <v>7</v>
      </c>
      <c r="G18" s="6"/>
      <c r="H18" s="6">
        <v>22</v>
      </c>
      <c r="I18" s="6"/>
      <c r="J18" s="16">
        <f t="shared" si="0"/>
        <v>63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34</v>
      </c>
      <c r="D19" s="6"/>
      <c r="E19" s="6"/>
      <c r="F19" s="6">
        <v>10</v>
      </c>
      <c r="G19" s="6"/>
      <c r="H19" s="6"/>
      <c r="I19" s="6"/>
      <c r="J19" s="16">
        <f t="shared" si="0"/>
        <v>24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33</v>
      </c>
      <c r="D20" s="6"/>
      <c r="E20" s="6"/>
      <c r="F20" s="6"/>
      <c r="G20" s="6"/>
      <c r="H20" s="6"/>
      <c r="I20" s="6"/>
      <c r="J20" s="16">
        <f t="shared" si="0"/>
        <v>33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83</v>
      </c>
      <c r="D21" s="6"/>
      <c r="E21" s="6"/>
      <c r="F21" s="6"/>
      <c r="G21" s="6">
        <v>1</v>
      </c>
      <c r="H21" s="6"/>
      <c r="I21" s="6"/>
      <c r="J21" s="16">
        <f t="shared" si="0"/>
        <v>82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39</v>
      </c>
      <c r="D22" s="6"/>
      <c r="E22" s="6"/>
      <c r="F22" s="6">
        <v>2</v>
      </c>
      <c r="G22" s="6"/>
      <c r="H22" s="6"/>
      <c r="I22" s="6"/>
      <c r="J22" s="16">
        <f t="shared" si="0"/>
        <v>37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10</v>
      </c>
      <c r="D23" s="6"/>
      <c r="E23" s="6"/>
      <c r="F23" s="6"/>
      <c r="G23" s="6"/>
      <c r="H23" s="6"/>
      <c r="I23" s="6"/>
      <c r="J23" s="16">
        <f t="shared" si="0"/>
        <v>10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25</v>
      </c>
      <c r="D24" s="6">
        <v>15</v>
      </c>
      <c r="E24" s="6"/>
      <c r="F24" s="6"/>
      <c r="G24" s="6"/>
      <c r="H24" s="6"/>
      <c r="I24" s="6"/>
      <c r="J24" s="16">
        <f t="shared" si="0"/>
        <v>40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295</v>
      </c>
      <c r="D26" s="6"/>
      <c r="E26" s="6"/>
      <c r="F26" s="6"/>
      <c r="G26" s="6"/>
      <c r="H26" s="6"/>
      <c r="I26" s="6"/>
      <c r="J26" s="16">
        <f t="shared" si="0"/>
        <v>295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9</v>
      </c>
      <c r="D27" s="6"/>
      <c r="E27" s="6"/>
      <c r="F27" s="6"/>
      <c r="G27" s="6"/>
      <c r="H27" s="6"/>
      <c r="I27" s="6"/>
      <c r="J27" s="16">
        <f t="shared" si="0"/>
        <v>9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0</v>
      </c>
      <c r="D28" s="6"/>
      <c r="E28" s="6"/>
      <c r="F28" s="6"/>
      <c r="G28" s="6"/>
      <c r="H28" s="6"/>
      <c r="I28" s="6"/>
      <c r="J28" s="1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>
        <v>269</v>
      </c>
      <c r="E29" s="6"/>
      <c r="F29" s="6"/>
      <c r="G29" s="6"/>
      <c r="H29" s="6"/>
      <c r="I29" s="6"/>
      <c r="J29" s="16">
        <f t="shared" si="0"/>
        <v>269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16">
        <f t="shared" si="0"/>
        <v>0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400</v>
      </c>
      <c r="D32" s="6"/>
      <c r="E32" s="6"/>
      <c r="F32" s="6"/>
      <c r="G32" s="6"/>
      <c r="H32" s="6"/>
      <c r="I32" s="6"/>
      <c r="J32" s="16">
        <f t="shared" si="0"/>
        <v>400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30</v>
      </c>
      <c r="D33" s="6"/>
      <c r="E33" s="6"/>
      <c r="F33" s="6"/>
      <c r="G33" s="6"/>
      <c r="H33" s="6"/>
      <c r="I33" s="6"/>
      <c r="J33" s="16">
        <f t="shared" si="0"/>
        <v>30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51</v>
      </c>
      <c r="D34" s="6"/>
      <c r="E34" s="6"/>
      <c r="F34" s="6"/>
      <c r="G34" s="6"/>
      <c r="H34" s="6"/>
      <c r="I34" s="6"/>
      <c r="J34" s="16">
        <f t="shared" si="0"/>
        <v>51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40</v>
      </c>
      <c r="D37" s="6"/>
      <c r="E37" s="6"/>
      <c r="F37" s="6"/>
      <c r="G37" s="6"/>
      <c r="H37" s="6"/>
      <c r="I37" s="6"/>
      <c r="J37" s="16">
        <f t="shared" si="0"/>
        <v>40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53</v>
      </c>
      <c r="D38" s="6"/>
      <c r="E38" s="6"/>
      <c r="F38" s="6"/>
      <c r="G38" s="6"/>
      <c r="H38" s="6"/>
      <c r="I38" s="6"/>
      <c r="J38" s="16">
        <f t="shared" si="0"/>
        <v>53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0</v>
      </c>
      <c r="D39" s="6">
        <v>16</v>
      </c>
      <c r="E39" s="6">
        <v>10</v>
      </c>
      <c r="F39" s="6"/>
      <c r="G39" s="6"/>
      <c r="H39" s="6"/>
      <c r="I39" s="6"/>
      <c r="J39" s="16">
        <f t="shared" si="0"/>
        <v>6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17</v>
      </c>
      <c r="D40" s="6"/>
      <c r="E40" s="6">
        <v>17</v>
      </c>
      <c r="F40" s="6"/>
      <c r="G40" s="6"/>
      <c r="H40" s="6"/>
      <c r="I40" s="6"/>
      <c r="J40" s="16">
        <f t="shared" si="0"/>
        <v>0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74</v>
      </c>
      <c r="D41" s="6"/>
      <c r="E41" s="6"/>
      <c r="F41" s="6"/>
      <c r="G41" s="6"/>
      <c r="H41" s="6">
        <v>2</v>
      </c>
      <c r="I41" s="6"/>
      <c r="J41" s="16">
        <f t="shared" si="0"/>
        <v>72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43</v>
      </c>
      <c r="D42" s="6">
        <v>50</v>
      </c>
      <c r="E42" s="6"/>
      <c r="F42" s="6">
        <v>3</v>
      </c>
      <c r="G42" s="6"/>
      <c r="H42" s="6">
        <v>4</v>
      </c>
      <c r="I42" s="6"/>
      <c r="J42" s="16">
        <f t="shared" si="0"/>
        <v>86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251</v>
      </c>
      <c r="D43" s="6"/>
      <c r="E43" s="6">
        <v>12</v>
      </c>
      <c r="F43" s="6">
        <v>10</v>
      </c>
      <c r="G43" s="6">
        <v>10</v>
      </c>
      <c r="H43" s="6"/>
      <c r="I43" s="6"/>
      <c r="J43" s="16">
        <f t="shared" si="0"/>
        <v>219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26</v>
      </c>
      <c r="D46" s="6"/>
      <c r="E46" s="6"/>
      <c r="F46" s="6"/>
      <c r="G46" s="6"/>
      <c r="H46" s="6"/>
      <c r="I46" s="6"/>
      <c r="J46" s="16">
        <f t="shared" si="0"/>
        <v>26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24</v>
      </c>
      <c r="D47" s="6"/>
      <c r="E47" s="6"/>
      <c r="F47" s="6">
        <v>1</v>
      </c>
      <c r="G47" s="6"/>
      <c r="H47" s="6"/>
      <c r="I47" s="6"/>
      <c r="J47" s="16">
        <f t="shared" si="0"/>
        <v>23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92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129</v>
      </c>
      <c r="D49" s="6">
        <v>296</v>
      </c>
      <c r="E49" s="6"/>
      <c r="F49" s="6"/>
      <c r="G49" s="6">
        <v>25</v>
      </c>
      <c r="H49" s="6"/>
      <c r="I49" s="6"/>
      <c r="J49" s="16">
        <f t="shared" si="0"/>
        <v>400</v>
      </c>
      <c r="K49" s="13">
        <v>200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104</v>
      </c>
      <c r="D50" s="6"/>
      <c r="E50" s="6"/>
      <c r="F50" s="6"/>
      <c r="G50" s="6">
        <v>4</v>
      </c>
      <c r="H50" s="6"/>
      <c r="I50" s="6"/>
      <c r="J50" s="16">
        <f t="shared" si="0"/>
        <v>100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28</v>
      </c>
      <c r="D51" s="6"/>
      <c r="E51" s="6"/>
      <c r="F51" s="6"/>
      <c r="G51" s="6"/>
      <c r="H51" s="6"/>
      <c r="I51" s="6"/>
      <c r="J51" s="16">
        <f t="shared" si="0"/>
        <v>28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/>
      <c r="F52" s="6"/>
      <c r="G52" s="6"/>
      <c r="H52" s="6"/>
      <c r="I52" s="6"/>
      <c r="J52" s="16">
        <f t="shared" si="0"/>
        <v>20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30</v>
      </c>
      <c r="D53" s="6"/>
      <c r="E53" s="6"/>
      <c r="F53" s="6"/>
      <c r="G53" s="6"/>
      <c r="H53" s="6"/>
      <c r="I53" s="6"/>
      <c r="J53" s="16">
        <f t="shared" si="0"/>
        <v>30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92</v>
      </c>
      <c r="C54" s="6">
        <v>0</v>
      </c>
      <c r="D54" s="6"/>
      <c r="E54" s="6"/>
      <c r="F54" s="6"/>
      <c r="G54" s="6"/>
      <c r="H54" s="6"/>
      <c r="I54" s="6"/>
      <c r="J54" s="16">
        <f t="shared" si="0"/>
        <v>0</v>
      </c>
      <c r="K54" s="13">
        <v>0</v>
      </c>
      <c r="L54" s="14"/>
    </row>
    <row r="55" spans="1:12" x14ac:dyDescent="0.25">
      <c r="A55" s="6">
        <v>55</v>
      </c>
      <c r="B55" s="7" t="s">
        <v>92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30</v>
      </c>
      <c r="D56" s="6"/>
      <c r="E56" s="6"/>
      <c r="F56" s="6"/>
      <c r="G56" s="6"/>
      <c r="H56" s="6"/>
      <c r="I56" s="6"/>
      <c r="J56" s="16">
        <f t="shared" si="0"/>
        <v>30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44</v>
      </c>
      <c r="D58" s="6"/>
      <c r="E58" s="6">
        <v>1</v>
      </c>
      <c r="F58" s="6"/>
      <c r="G58" s="6">
        <v>4</v>
      </c>
      <c r="H58" s="6"/>
      <c r="I58" s="6"/>
      <c r="J58" s="16">
        <f t="shared" si="0"/>
        <v>39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80</v>
      </c>
      <c r="D59" s="6"/>
      <c r="E59" s="6"/>
      <c r="F59" s="6"/>
      <c r="G59" s="6"/>
      <c r="H59" s="6"/>
      <c r="I59" s="6"/>
      <c r="J59" s="16">
        <f t="shared" si="0"/>
        <v>80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276</v>
      </c>
      <c r="D62" s="6"/>
      <c r="E62" s="6"/>
      <c r="F62" s="6"/>
      <c r="G62" s="6"/>
      <c r="H62" s="6"/>
      <c r="I62" s="6"/>
      <c r="J62" s="16">
        <f t="shared" si="0"/>
        <v>276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5</v>
      </c>
      <c r="D63" s="6"/>
      <c r="E63" s="6">
        <v>1</v>
      </c>
      <c r="F63" s="6"/>
      <c r="G63" s="6">
        <v>2</v>
      </c>
      <c r="H63" s="6"/>
      <c r="I63" s="6"/>
      <c r="J63" s="16">
        <f t="shared" si="0"/>
        <v>2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161</v>
      </c>
      <c r="D64" s="6"/>
      <c r="E64" s="6">
        <v>1</v>
      </c>
      <c r="F64" s="6"/>
      <c r="G64" s="6"/>
      <c r="H64" s="6"/>
      <c r="I64" s="6"/>
      <c r="J64" s="16">
        <f t="shared" si="0"/>
        <v>160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7</v>
      </c>
      <c r="D65" s="6"/>
      <c r="E65" s="6"/>
      <c r="F65" s="6"/>
      <c r="G65" s="6"/>
      <c r="H65" s="6"/>
      <c r="I65" s="6"/>
      <c r="J65" s="16">
        <f t="shared" si="0"/>
        <v>7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20</v>
      </c>
      <c r="D66" s="6"/>
      <c r="E66" s="6">
        <v>1</v>
      </c>
      <c r="F66" s="6"/>
      <c r="G66" s="6"/>
      <c r="H66" s="6"/>
      <c r="I66" s="6"/>
      <c r="J66" s="16">
        <f t="shared" si="0"/>
        <v>19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0</v>
      </c>
      <c r="D67" s="6">
        <v>1</v>
      </c>
      <c r="E67" s="6"/>
      <c r="F67" s="6"/>
      <c r="G67" s="6"/>
      <c r="H67" s="6"/>
      <c r="I67" s="6"/>
      <c r="J67" s="16">
        <f t="shared" ref="J67:J76" si="1">+C67-E67-F67-G67-H67-I67+D67</f>
        <v>1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35</v>
      </c>
      <c r="D68" s="6"/>
      <c r="E68" s="6">
        <v>2</v>
      </c>
      <c r="F68" s="6"/>
      <c r="G68" s="6">
        <v>3</v>
      </c>
      <c r="H68" s="6"/>
      <c r="I68" s="6"/>
      <c r="J68" s="16">
        <f t="shared" si="1"/>
        <v>30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17</v>
      </c>
      <c r="D69" s="6"/>
      <c r="E69" s="6"/>
      <c r="F69" s="6"/>
      <c r="G69" s="6"/>
      <c r="H69" s="6"/>
      <c r="I69" s="6"/>
      <c r="J69" s="16">
        <f t="shared" si="1"/>
        <v>17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19</v>
      </c>
      <c r="D70" s="6"/>
      <c r="E70" s="6">
        <v>1</v>
      </c>
      <c r="F70" s="6"/>
      <c r="G70" s="6">
        <v>2</v>
      </c>
      <c r="H70" s="6"/>
      <c r="I70" s="6"/>
      <c r="J70" s="16">
        <f t="shared" si="1"/>
        <v>16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5</v>
      </c>
      <c r="D71" s="6">
        <v>10</v>
      </c>
      <c r="E71" s="6"/>
      <c r="F71" s="6"/>
      <c r="G71" s="6">
        <v>2</v>
      </c>
      <c r="H71" s="6"/>
      <c r="I71" s="6"/>
      <c r="J71" s="16">
        <f t="shared" si="1"/>
        <v>13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46</v>
      </c>
      <c r="D72" s="6"/>
      <c r="E72" s="6">
        <v>17</v>
      </c>
      <c r="F72" s="6">
        <v>6</v>
      </c>
      <c r="G72" s="6">
        <v>12</v>
      </c>
      <c r="H72" s="6">
        <v>2</v>
      </c>
      <c r="I72" s="6"/>
      <c r="J72" s="16">
        <f t="shared" si="1"/>
        <v>9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148</v>
      </c>
      <c r="D73" s="6"/>
      <c r="E73" s="6"/>
      <c r="F73" s="6">
        <v>6</v>
      </c>
      <c r="G73" s="6"/>
      <c r="H73" s="6"/>
      <c r="I73" s="6"/>
      <c r="J73" s="16">
        <f t="shared" si="1"/>
        <v>142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8</v>
      </c>
      <c r="D74" s="6">
        <v>15</v>
      </c>
      <c r="E74" s="6">
        <v>2</v>
      </c>
      <c r="F74" s="6"/>
      <c r="G74" s="6">
        <v>0</v>
      </c>
      <c r="H74" s="6"/>
      <c r="I74" s="6"/>
      <c r="J74" s="16">
        <f t="shared" si="1"/>
        <v>21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62</v>
      </c>
      <c r="D75" s="6"/>
      <c r="E75" s="6">
        <v>1</v>
      </c>
      <c r="F75" s="6"/>
      <c r="G75" s="6">
        <v>10</v>
      </c>
      <c r="H75" s="6">
        <v>2</v>
      </c>
      <c r="I75" s="6"/>
      <c r="J75" s="16">
        <f t="shared" si="1"/>
        <v>49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20</v>
      </c>
      <c r="D76" s="6"/>
      <c r="E76" s="6"/>
      <c r="F76" s="6"/>
      <c r="G76" s="6"/>
      <c r="H76" s="6"/>
      <c r="I76" s="6"/>
      <c r="J76" s="16">
        <f t="shared" si="1"/>
        <v>20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5787-D9BC-4E05-982A-2B5052BAA92B}">
  <dimension ref="A1:L76"/>
  <sheetViews>
    <sheetView topLeftCell="A37" zoomScaleNormal="100" workbookViewId="0">
      <selection activeCell="I53" sqref="I53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135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45814</v>
      </c>
      <c r="F2" s="18">
        <v>45821</v>
      </c>
      <c r="G2" s="18">
        <v>45828</v>
      </c>
      <c r="H2" s="18">
        <v>45835</v>
      </c>
      <c r="I2" s="18">
        <v>45838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31</v>
      </c>
      <c r="D3" s="6"/>
      <c r="E3" s="6"/>
      <c r="F3" s="6"/>
      <c r="G3" s="6"/>
      <c r="H3" s="6"/>
      <c r="I3" s="6"/>
      <c r="J3" s="16">
        <f t="shared" ref="J3:J66" si="0">+C3-E3-F3-G3-H3-I3+D3</f>
        <v>31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21</v>
      </c>
      <c r="D4" s="6"/>
      <c r="E4" s="6"/>
      <c r="F4" s="6"/>
      <c r="G4" s="6"/>
      <c r="H4" s="6"/>
      <c r="I4" s="6"/>
      <c r="J4" s="16">
        <f t="shared" si="0"/>
        <v>21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45</v>
      </c>
      <c r="D6" s="6"/>
      <c r="E6" s="6"/>
      <c r="F6" s="6"/>
      <c r="G6" s="6"/>
      <c r="H6" s="6"/>
      <c r="I6" s="6"/>
      <c r="J6" s="16">
        <f t="shared" si="0"/>
        <v>45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46</v>
      </c>
      <c r="D7" s="6"/>
      <c r="E7" s="6"/>
      <c r="F7" s="6"/>
      <c r="G7" s="6"/>
      <c r="H7" s="6"/>
      <c r="I7" s="6"/>
      <c r="J7" s="16">
        <f t="shared" si="0"/>
        <v>46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39</v>
      </c>
      <c r="D8" s="6"/>
      <c r="E8" s="6"/>
      <c r="F8" s="6">
        <v>5</v>
      </c>
      <c r="G8" s="6"/>
      <c r="H8" s="6"/>
      <c r="I8" s="6"/>
      <c r="J8" s="16">
        <f t="shared" si="0"/>
        <v>34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64</v>
      </c>
      <c r="D9" s="6"/>
      <c r="E9" s="6"/>
      <c r="F9" s="6"/>
      <c r="G9" s="6"/>
      <c r="H9" s="6"/>
      <c r="I9" s="6"/>
      <c r="J9" s="16">
        <f t="shared" si="0"/>
        <v>64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10</v>
      </c>
      <c r="D10" s="6">
        <v>2</v>
      </c>
      <c r="E10" s="6"/>
      <c r="F10" s="6"/>
      <c r="G10" s="6"/>
      <c r="H10" s="6"/>
      <c r="I10" s="6"/>
      <c r="J10" s="16">
        <f t="shared" si="0"/>
        <v>12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161</v>
      </c>
      <c r="D11" s="6">
        <v>107</v>
      </c>
      <c r="E11" s="6"/>
      <c r="F11" s="6">
        <v>2</v>
      </c>
      <c r="G11" s="6">
        <v>10</v>
      </c>
      <c r="H11" s="6"/>
      <c r="I11" s="6">
        <v>4</v>
      </c>
      <c r="J11" s="16">
        <f t="shared" si="0"/>
        <v>252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64</v>
      </c>
      <c r="D12" s="6">
        <v>308</v>
      </c>
      <c r="E12" s="6"/>
      <c r="F12" s="6">
        <v>106</v>
      </c>
      <c r="G12" s="6">
        <v>4</v>
      </c>
      <c r="H12" s="6"/>
      <c r="I12" s="6">
        <v>5</v>
      </c>
      <c r="J12" s="16">
        <f t="shared" si="0"/>
        <v>257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</v>
      </c>
      <c r="D13" s="6"/>
      <c r="E13" s="6"/>
      <c r="F13" s="6"/>
      <c r="G13" s="6"/>
      <c r="H13" s="6"/>
      <c r="I13" s="6"/>
      <c r="J13" s="16">
        <f t="shared" si="0"/>
        <v>1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39</v>
      </c>
      <c r="D14" s="6"/>
      <c r="E14" s="6"/>
      <c r="F14" s="6"/>
      <c r="G14" s="6"/>
      <c r="H14" s="6"/>
      <c r="I14" s="6"/>
      <c r="J14" s="16">
        <f t="shared" si="0"/>
        <v>39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39</v>
      </c>
      <c r="D15" s="6"/>
      <c r="E15" s="6"/>
      <c r="F15" s="6"/>
      <c r="G15" s="6"/>
      <c r="H15" s="6"/>
      <c r="I15" s="6"/>
      <c r="J15" s="16">
        <f t="shared" si="0"/>
        <v>39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9</v>
      </c>
      <c r="D16" s="6"/>
      <c r="E16" s="6"/>
      <c r="F16" s="6"/>
      <c r="G16" s="6"/>
      <c r="H16" s="6"/>
      <c r="I16" s="6"/>
      <c r="J16" s="16">
        <f t="shared" si="0"/>
        <v>9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150</v>
      </c>
      <c r="D17" s="6"/>
      <c r="E17" s="6"/>
      <c r="F17" s="6"/>
      <c r="G17" s="6">
        <v>62</v>
      </c>
      <c r="H17" s="6">
        <v>10</v>
      </c>
      <c r="I17" s="6">
        <v>33</v>
      </c>
      <c r="J17" s="16">
        <f t="shared" si="0"/>
        <v>45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57</v>
      </c>
      <c r="D18" s="6">
        <v>25</v>
      </c>
      <c r="E18" s="6"/>
      <c r="F18" s="6">
        <v>3</v>
      </c>
      <c r="G18" s="6">
        <v>30</v>
      </c>
      <c r="H18" s="6">
        <v>10</v>
      </c>
      <c r="I18" s="6">
        <v>8</v>
      </c>
      <c r="J18" s="16">
        <f t="shared" si="0"/>
        <v>31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24</v>
      </c>
      <c r="D19" s="6"/>
      <c r="E19" s="6"/>
      <c r="F19" s="6">
        <v>4</v>
      </c>
      <c r="G19" s="6"/>
      <c r="H19" s="6"/>
      <c r="I19" s="6"/>
      <c r="J19" s="16">
        <f t="shared" si="0"/>
        <v>20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33</v>
      </c>
      <c r="D20" s="6"/>
      <c r="E20" s="6"/>
      <c r="F20" s="6"/>
      <c r="G20" s="6"/>
      <c r="H20" s="6"/>
      <c r="I20" s="6"/>
      <c r="J20" s="16">
        <f t="shared" si="0"/>
        <v>33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82</v>
      </c>
      <c r="D21" s="6"/>
      <c r="E21" s="6"/>
      <c r="F21" s="6">
        <v>1</v>
      </c>
      <c r="G21" s="6"/>
      <c r="H21" s="6">
        <v>1</v>
      </c>
      <c r="I21" s="6"/>
      <c r="J21" s="16">
        <f t="shared" si="0"/>
        <v>80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37</v>
      </c>
      <c r="D22" s="6"/>
      <c r="E22" s="6"/>
      <c r="F22" s="6"/>
      <c r="G22" s="6"/>
      <c r="H22" s="6"/>
      <c r="I22" s="6"/>
      <c r="J22" s="16">
        <f t="shared" si="0"/>
        <v>37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10</v>
      </c>
      <c r="D23" s="6"/>
      <c r="E23" s="6"/>
      <c r="F23" s="6">
        <v>1</v>
      </c>
      <c r="G23" s="6"/>
      <c r="H23" s="6"/>
      <c r="I23" s="6">
        <v>5</v>
      </c>
      <c r="J23" s="16">
        <f t="shared" si="0"/>
        <v>4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40</v>
      </c>
      <c r="D24" s="6"/>
      <c r="E24" s="6"/>
      <c r="F24" s="6">
        <v>2</v>
      </c>
      <c r="G24" s="6"/>
      <c r="H24" s="6"/>
      <c r="I24" s="6"/>
      <c r="J24" s="1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295</v>
      </c>
      <c r="D26" s="6"/>
      <c r="E26" s="6"/>
      <c r="F26" s="6"/>
      <c r="G26" s="6">
        <v>4</v>
      </c>
      <c r="H26" s="6"/>
      <c r="I26" s="6"/>
      <c r="J26" s="16">
        <f t="shared" si="0"/>
        <v>291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9</v>
      </c>
      <c r="D27" s="6"/>
      <c r="E27" s="6"/>
      <c r="F27" s="6"/>
      <c r="G27" s="6"/>
      <c r="H27" s="6"/>
      <c r="I27" s="6"/>
      <c r="J27" s="16">
        <f t="shared" si="0"/>
        <v>9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0</v>
      </c>
      <c r="D28" s="6"/>
      <c r="E28" s="6"/>
      <c r="F28" s="6"/>
      <c r="G28" s="6"/>
      <c r="H28" s="6"/>
      <c r="I28" s="6"/>
      <c r="J28" s="1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269</v>
      </c>
      <c r="D29" s="6"/>
      <c r="E29" s="6"/>
      <c r="F29" s="6"/>
      <c r="G29" s="6"/>
      <c r="H29" s="6"/>
      <c r="I29" s="6"/>
      <c r="J29" s="16">
        <f t="shared" si="0"/>
        <v>269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16">
        <f t="shared" si="0"/>
        <v>0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400</v>
      </c>
      <c r="D32" s="6"/>
      <c r="E32" s="6"/>
      <c r="F32" s="6"/>
      <c r="G32" s="6"/>
      <c r="H32" s="6"/>
      <c r="I32" s="6"/>
      <c r="J32" s="16">
        <f t="shared" si="0"/>
        <v>400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30</v>
      </c>
      <c r="D33" s="6"/>
      <c r="E33" s="6"/>
      <c r="F33" s="6"/>
      <c r="G33" s="6"/>
      <c r="H33" s="6"/>
      <c r="I33" s="6"/>
      <c r="J33" s="16">
        <f t="shared" si="0"/>
        <v>30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51</v>
      </c>
      <c r="D34" s="6"/>
      <c r="E34" s="6"/>
      <c r="F34" s="6"/>
      <c r="G34" s="6"/>
      <c r="H34" s="6"/>
      <c r="I34" s="6"/>
      <c r="J34" s="16">
        <f t="shared" si="0"/>
        <v>51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40</v>
      </c>
      <c r="D37" s="6"/>
      <c r="E37" s="6"/>
      <c r="F37" s="6"/>
      <c r="G37" s="6"/>
      <c r="H37" s="6">
        <v>20</v>
      </c>
      <c r="I37" s="6"/>
      <c r="J37" s="16">
        <f t="shared" si="0"/>
        <v>20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53</v>
      </c>
      <c r="D38" s="6"/>
      <c r="E38" s="6"/>
      <c r="F38" s="6"/>
      <c r="G38" s="6"/>
      <c r="H38" s="6"/>
      <c r="I38" s="6"/>
      <c r="J38" s="16">
        <f t="shared" si="0"/>
        <v>53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6</v>
      </c>
      <c r="D39" s="6"/>
      <c r="E39" s="6"/>
      <c r="F39" s="6"/>
      <c r="G39" s="6"/>
      <c r="H39" s="6"/>
      <c r="I39" s="6"/>
      <c r="J39" s="16">
        <f t="shared" si="0"/>
        <v>6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0</v>
      </c>
      <c r="D40" s="6"/>
      <c r="E40" s="6"/>
      <c r="F40" s="6"/>
      <c r="G40" s="6"/>
      <c r="H40" s="6"/>
      <c r="I40" s="6"/>
      <c r="J40" s="16">
        <f t="shared" si="0"/>
        <v>0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72</v>
      </c>
      <c r="D41" s="6"/>
      <c r="E41" s="6"/>
      <c r="F41" s="6">
        <v>8</v>
      </c>
      <c r="G41" s="6"/>
      <c r="H41" s="6"/>
      <c r="I41" s="6"/>
      <c r="J41" s="16">
        <f t="shared" si="0"/>
        <v>64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84</v>
      </c>
      <c r="D42" s="6"/>
      <c r="E42" s="6"/>
      <c r="F42" s="6">
        <v>2</v>
      </c>
      <c r="G42" s="6"/>
      <c r="H42" s="6"/>
      <c r="I42" s="6"/>
      <c r="J42" s="16">
        <f t="shared" si="0"/>
        <v>82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219</v>
      </c>
      <c r="D43" s="6"/>
      <c r="E43" s="6"/>
      <c r="F43" s="6">
        <v>10</v>
      </c>
      <c r="G43" s="6"/>
      <c r="H43" s="6"/>
      <c r="I43" s="6"/>
      <c r="J43" s="16">
        <f t="shared" si="0"/>
        <v>209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26</v>
      </c>
      <c r="D46" s="6"/>
      <c r="E46" s="6"/>
      <c r="F46" s="6"/>
      <c r="G46" s="6"/>
      <c r="H46" s="6"/>
      <c r="I46" s="6"/>
      <c r="J46" s="16">
        <f t="shared" si="0"/>
        <v>26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23</v>
      </c>
      <c r="D47" s="6"/>
      <c r="E47" s="6"/>
      <c r="F47" s="6"/>
      <c r="G47" s="6"/>
      <c r="H47" s="6"/>
      <c r="I47" s="6"/>
      <c r="J47" s="16">
        <f t="shared" si="0"/>
        <v>23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92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400</v>
      </c>
      <c r="D49" s="6"/>
      <c r="E49" s="6"/>
      <c r="F49" s="6"/>
      <c r="G49" s="6"/>
      <c r="H49" s="6">
        <v>90</v>
      </c>
      <c r="I49" s="6"/>
      <c r="J49" s="16">
        <f t="shared" si="0"/>
        <v>310</v>
      </c>
      <c r="K49" s="13">
        <v>200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100</v>
      </c>
      <c r="D50" s="6"/>
      <c r="E50" s="6"/>
      <c r="F50" s="6"/>
      <c r="G50" s="6">
        <v>2</v>
      </c>
      <c r="H50" s="6">
        <v>21</v>
      </c>
      <c r="I50" s="6"/>
      <c r="J50" s="16">
        <f t="shared" si="0"/>
        <v>77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28</v>
      </c>
      <c r="D51" s="6"/>
      <c r="E51" s="6"/>
      <c r="F51" s="6">
        <v>1</v>
      </c>
      <c r="G51" s="6"/>
      <c r="H51" s="6">
        <v>1</v>
      </c>
      <c r="I51" s="6"/>
      <c r="J51" s="16">
        <f t="shared" si="0"/>
        <v>26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/>
      <c r="F52" s="6"/>
      <c r="G52" s="6"/>
      <c r="H52" s="6"/>
      <c r="I52" s="6"/>
      <c r="J52" s="16">
        <f t="shared" si="0"/>
        <v>20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30</v>
      </c>
      <c r="D53" s="6"/>
      <c r="E53" s="6"/>
      <c r="F53" s="6"/>
      <c r="G53" s="6"/>
      <c r="H53" s="6"/>
      <c r="I53" s="6"/>
      <c r="J53" s="16">
        <f t="shared" si="0"/>
        <v>30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92</v>
      </c>
      <c r="C54" s="6">
        <v>0</v>
      </c>
      <c r="D54" s="6"/>
      <c r="E54" s="6"/>
      <c r="F54" s="6"/>
      <c r="G54" s="6"/>
      <c r="H54" s="6"/>
      <c r="I54" s="6"/>
      <c r="J54" s="16">
        <f t="shared" si="0"/>
        <v>0</v>
      </c>
      <c r="K54" s="13">
        <v>0</v>
      </c>
      <c r="L54" s="14"/>
    </row>
    <row r="55" spans="1:12" x14ac:dyDescent="0.25">
      <c r="A55" s="6">
        <v>55</v>
      </c>
      <c r="B55" s="7" t="s">
        <v>92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30</v>
      </c>
      <c r="D56" s="6">
        <v>6</v>
      </c>
      <c r="E56" s="6"/>
      <c r="F56" s="6"/>
      <c r="G56" s="6"/>
      <c r="H56" s="6"/>
      <c r="I56" s="6">
        <v>2</v>
      </c>
      <c r="J56" s="16">
        <f t="shared" si="0"/>
        <v>34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39</v>
      </c>
      <c r="D58" s="6"/>
      <c r="E58" s="6"/>
      <c r="F58" s="6">
        <v>1</v>
      </c>
      <c r="G58" s="6">
        <v>8</v>
      </c>
      <c r="H58" s="6"/>
      <c r="I58" s="6"/>
      <c r="J58" s="16">
        <f t="shared" si="0"/>
        <v>30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80</v>
      </c>
      <c r="D59" s="6"/>
      <c r="E59" s="6"/>
      <c r="F59" s="6">
        <v>2</v>
      </c>
      <c r="G59" s="6"/>
      <c r="H59" s="6"/>
      <c r="I59" s="6"/>
      <c r="J59" s="16">
        <f t="shared" si="0"/>
        <v>78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276</v>
      </c>
      <c r="D62" s="6"/>
      <c r="E62" s="6"/>
      <c r="F62" s="6"/>
      <c r="G62" s="6"/>
      <c r="H62" s="6"/>
      <c r="I62" s="6"/>
      <c r="J62" s="16">
        <f t="shared" si="0"/>
        <v>276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1</v>
      </c>
      <c r="D63" s="6"/>
      <c r="E63" s="6"/>
      <c r="F63" s="6"/>
      <c r="G63" s="6">
        <v>1</v>
      </c>
      <c r="H63" s="6"/>
      <c r="I63" s="6">
        <v>0</v>
      </c>
      <c r="J63" s="16">
        <f t="shared" si="0"/>
        <v>0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160</v>
      </c>
      <c r="D64" s="6"/>
      <c r="E64" s="6"/>
      <c r="F64" s="6">
        <v>10</v>
      </c>
      <c r="G64" s="6">
        <v>6</v>
      </c>
      <c r="H64" s="6">
        <v>2</v>
      </c>
      <c r="I64" s="6"/>
      <c r="J64" s="16">
        <f t="shared" si="0"/>
        <v>142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7</v>
      </c>
      <c r="D65" s="6"/>
      <c r="E65" s="6"/>
      <c r="F65" s="6"/>
      <c r="G65" s="6">
        <v>7</v>
      </c>
      <c r="H65" s="6"/>
      <c r="I65" s="6"/>
      <c r="J65" s="16">
        <f t="shared" si="0"/>
        <v>0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19</v>
      </c>
      <c r="D66" s="6"/>
      <c r="E66" s="6"/>
      <c r="F66" s="6"/>
      <c r="G66" s="6"/>
      <c r="H66" s="6"/>
      <c r="I66" s="6"/>
      <c r="J66" s="16">
        <f t="shared" si="0"/>
        <v>19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1</v>
      </c>
      <c r="D67" s="6"/>
      <c r="E67" s="6"/>
      <c r="F67" s="6"/>
      <c r="G67" s="6"/>
      <c r="H67" s="6"/>
      <c r="I67" s="6"/>
      <c r="J67" s="16">
        <f t="shared" ref="J67:J76" si="1">+C67-E67-F67-G67-H67-I67+D67</f>
        <v>1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30</v>
      </c>
      <c r="D68" s="6"/>
      <c r="E68" s="6"/>
      <c r="F68" s="6"/>
      <c r="G68" s="6"/>
      <c r="H68" s="6"/>
      <c r="I68" s="6"/>
      <c r="J68" s="16">
        <f t="shared" si="1"/>
        <v>30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17</v>
      </c>
      <c r="D69" s="6"/>
      <c r="E69" s="6"/>
      <c r="F69" s="6"/>
      <c r="G69" s="6"/>
      <c r="H69" s="6"/>
      <c r="I69" s="6"/>
      <c r="J69" s="16">
        <f t="shared" si="1"/>
        <v>17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16</v>
      </c>
      <c r="D70" s="6">
        <v>15</v>
      </c>
      <c r="E70" s="6"/>
      <c r="F70" s="6">
        <v>1</v>
      </c>
      <c r="G70" s="6"/>
      <c r="H70" s="6">
        <v>1</v>
      </c>
      <c r="I70" s="6">
        <v>5</v>
      </c>
      <c r="J70" s="16">
        <f t="shared" si="1"/>
        <v>24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8</v>
      </c>
      <c r="D71" s="6"/>
      <c r="E71" s="6"/>
      <c r="F71" s="6"/>
      <c r="G71" s="6"/>
      <c r="H71" s="6"/>
      <c r="I71" s="6">
        <v>4</v>
      </c>
      <c r="J71" s="16">
        <f t="shared" si="1"/>
        <v>4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79</v>
      </c>
      <c r="D72" s="6">
        <v>25</v>
      </c>
      <c r="E72" s="6"/>
      <c r="F72" s="6">
        <v>2</v>
      </c>
      <c r="G72" s="6">
        <v>9</v>
      </c>
      <c r="H72" s="6"/>
      <c r="I72" s="6"/>
      <c r="J72" s="16">
        <f t="shared" si="1"/>
        <v>93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142</v>
      </c>
      <c r="D73" s="6"/>
      <c r="E73" s="6"/>
      <c r="F73" s="6"/>
      <c r="G73" s="6"/>
      <c r="H73" s="6"/>
      <c r="I73" s="6"/>
      <c r="J73" s="16">
        <f t="shared" si="1"/>
        <v>142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19</v>
      </c>
      <c r="D74" s="6"/>
      <c r="E74" s="6"/>
      <c r="F74" s="6"/>
      <c r="G74" s="6"/>
      <c r="H74" s="6"/>
      <c r="I74" s="6">
        <v>1</v>
      </c>
      <c r="J74" s="16">
        <f t="shared" si="1"/>
        <v>18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34</v>
      </c>
      <c r="D75" s="6"/>
      <c r="E75" s="6"/>
      <c r="F75" s="6">
        <v>2</v>
      </c>
      <c r="G75" s="6"/>
      <c r="H75" s="6"/>
      <c r="I75" s="6">
        <v>2</v>
      </c>
      <c r="J75" s="16">
        <f t="shared" si="1"/>
        <v>30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20</v>
      </c>
      <c r="D76" s="6"/>
      <c r="E76" s="6"/>
      <c r="F76" s="6"/>
      <c r="G76" s="6"/>
      <c r="H76" s="6"/>
      <c r="I76" s="6"/>
      <c r="J76" s="16">
        <f t="shared" si="1"/>
        <v>20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99C6-BED0-478A-85C4-4F8959A8A640}">
  <dimension ref="A1:L76"/>
  <sheetViews>
    <sheetView zoomScaleNormal="100" workbookViewId="0">
      <selection activeCell="C1" sqref="C1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136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45842</v>
      </c>
      <c r="F2" s="18">
        <v>45849</v>
      </c>
      <c r="G2" s="18">
        <v>45856</v>
      </c>
      <c r="H2" s="18">
        <v>45863</v>
      </c>
      <c r="I2" s="18">
        <v>45869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31</v>
      </c>
      <c r="D3" s="6"/>
      <c r="E3" s="6"/>
      <c r="F3" s="6"/>
      <c r="G3" s="6"/>
      <c r="H3" s="6">
        <v>1</v>
      </c>
      <c r="I3" s="6"/>
      <c r="J3" s="16">
        <f t="shared" ref="J3:J66" si="0">+C3-E3-F3-G3-H3-I3+D3</f>
        <v>30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21</v>
      </c>
      <c r="D4" s="6"/>
      <c r="E4" s="6"/>
      <c r="F4" s="6"/>
      <c r="G4" s="6">
        <v>1</v>
      </c>
      <c r="H4" s="6">
        <v>2</v>
      </c>
      <c r="I4" s="6"/>
      <c r="J4" s="16">
        <f t="shared" si="0"/>
        <v>18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45</v>
      </c>
      <c r="D6" s="6"/>
      <c r="E6" s="6"/>
      <c r="F6" s="6"/>
      <c r="G6" s="6"/>
      <c r="H6" s="6">
        <v>2</v>
      </c>
      <c r="I6" s="6"/>
      <c r="J6" s="16">
        <f t="shared" si="0"/>
        <v>43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46</v>
      </c>
      <c r="D7" s="6">
        <v>10</v>
      </c>
      <c r="E7" s="6"/>
      <c r="F7" s="6"/>
      <c r="G7" s="6">
        <v>5</v>
      </c>
      <c r="H7" s="6">
        <v>3</v>
      </c>
      <c r="I7" s="6"/>
      <c r="J7" s="16">
        <f t="shared" si="0"/>
        <v>48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34</v>
      </c>
      <c r="D8" s="6"/>
      <c r="E8" s="6"/>
      <c r="F8" s="6"/>
      <c r="G8" s="6"/>
      <c r="H8" s="6"/>
      <c r="I8" s="6"/>
      <c r="J8" s="16">
        <f t="shared" si="0"/>
        <v>34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64</v>
      </c>
      <c r="D9" s="6"/>
      <c r="E9" s="6"/>
      <c r="F9" s="6">
        <v>12</v>
      </c>
      <c r="G9" s="6"/>
      <c r="H9" s="6"/>
      <c r="I9" s="6"/>
      <c r="J9" s="16">
        <f t="shared" si="0"/>
        <v>52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12</v>
      </c>
      <c r="D10" s="6"/>
      <c r="E10" s="6"/>
      <c r="F10" s="6"/>
      <c r="G10" s="6"/>
      <c r="H10" s="6"/>
      <c r="I10" s="6"/>
      <c r="J10" s="16">
        <f t="shared" si="0"/>
        <v>12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252</v>
      </c>
      <c r="D11" s="6"/>
      <c r="E11" s="6">
        <v>15</v>
      </c>
      <c r="F11" s="6"/>
      <c r="G11" s="6">
        <v>21</v>
      </c>
      <c r="H11" s="6"/>
      <c r="I11" s="6"/>
      <c r="J11" s="16">
        <f t="shared" si="0"/>
        <v>216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257</v>
      </c>
      <c r="D12" s="6"/>
      <c r="E12" s="6">
        <v>12</v>
      </c>
      <c r="F12" s="6"/>
      <c r="G12" s="6">
        <v>140</v>
      </c>
      <c r="H12" s="6"/>
      <c r="I12" s="6"/>
      <c r="J12" s="16">
        <f t="shared" si="0"/>
        <v>105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</v>
      </c>
      <c r="D13" s="6"/>
      <c r="E13" s="6"/>
      <c r="F13" s="6"/>
      <c r="G13" s="6"/>
      <c r="H13" s="6"/>
      <c r="I13" s="6"/>
      <c r="J13" s="16">
        <f t="shared" si="0"/>
        <v>1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39</v>
      </c>
      <c r="D14" s="6"/>
      <c r="E14" s="6"/>
      <c r="F14" s="6"/>
      <c r="G14" s="6"/>
      <c r="H14" s="6"/>
      <c r="I14" s="6"/>
      <c r="J14" s="16">
        <f t="shared" si="0"/>
        <v>39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39</v>
      </c>
      <c r="D15" s="6"/>
      <c r="E15" s="6">
        <v>5</v>
      </c>
      <c r="F15" s="6"/>
      <c r="G15" s="6"/>
      <c r="H15" s="6"/>
      <c r="I15" s="6"/>
      <c r="J15" s="16">
        <f t="shared" si="0"/>
        <v>34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9</v>
      </c>
      <c r="D16" s="6"/>
      <c r="E16" s="6">
        <v>9</v>
      </c>
      <c r="F16" s="6"/>
      <c r="G16" s="6"/>
      <c r="H16" s="6"/>
      <c r="I16" s="6"/>
      <c r="J16" s="16">
        <f t="shared" si="0"/>
        <v>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45</v>
      </c>
      <c r="D17" s="6">
        <v>56</v>
      </c>
      <c r="E17" s="6">
        <v>3</v>
      </c>
      <c r="F17" s="6"/>
      <c r="G17" s="6">
        <v>20</v>
      </c>
      <c r="H17" s="6">
        <v>4</v>
      </c>
      <c r="I17" s="6"/>
      <c r="J17" s="16">
        <f t="shared" si="0"/>
        <v>74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31</v>
      </c>
      <c r="D18" s="6"/>
      <c r="E18" s="6"/>
      <c r="F18" s="6"/>
      <c r="G18" s="6"/>
      <c r="H18" s="6">
        <v>3</v>
      </c>
      <c r="I18" s="6"/>
      <c r="J18" s="16">
        <f t="shared" si="0"/>
        <v>28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20</v>
      </c>
      <c r="D19" s="6"/>
      <c r="E19" s="6"/>
      <c r="F19" s="6"/>
      <c r="G19" s="6"/>
      <c r="H19" s="6"/>
      <c r="I19" s="6"/>
      <c r="J19" s="16">
        <f t="shared" si="0"/>
        <v>20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33</v>
      </c>
      <c r="D20" s="6"/>
      <c r="E20" s="6"/>
      <c r="F20" s="6"/>
      <c r="G20" s="6"/>
      <c r="H20" s="6"/>
      <c r="I20" s="6"/>
      <c r="J20" s="16">
        <f t="shared" si="0"/>
        <v>33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80</v>
      </c>
      <c r="D21" s="6">
        <v>11</v>
      </c>
      <c r="E21" s="6">
        <v>27</v>
      </c>
      <c r="F21" s="6">
        <v>45</v>
      </c>
      <c r="G21" s="6">
        <v>5</v>
      </c>
      <c r="H21" s="6">
        <v>3</v>
      </c>
      <c r="I21" s="6"/>
      <c r="J21" s="16">
        <f t="shared" si="0"/>
        <v>11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37</v>
      </c>
      <c r="D22" s="6">
        <v>12</v>
      </c>
      <c r="E22" s="6">
        <v>28</v>
      </c>
      <c r="F22" s="6"/>
      <c r="G22" s="6"/>
      <c r="H22" s="6"/>
      <c r="I22" s="6"/>
      <c r="J22" s="16">
        <f t="shared" si="0"/>
        <v>21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4</v>
      </c>
      <c r="D23" s="6"/>
      <c r="E23" s="6"/>
      <c r="F23" s="6"/>
      <c r="G23" s="6"/>
      <c r="H23" s="6"/>
      <c r="I23" s="6"/>
      <c r="J23" s="16">
        <f t="shared" si="0"/>
        <v>4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38</v>
      </c>
      <c r="D24" s="6"/>
      <c r="E24" s="6"/>
      <c r="F24" s="6"/>
      <c r="G24" s="6"/>
      <c r="H24" s="6"/>
      <c r="I24" s="6"/>
      <c r="J24" s="1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291</v>
      </c>
      <c r="D26" s="6"/>
      <c r="E26" s="6"/>
      <c r="F26" s="6"/>
      <c r="G26" s="6"/>
      <c r="H26" s="6"/>
      <c r="I26" s="6"/>
      <c r="J26" s="16">
        <f t="shared" si="0"/>
        <v>291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9</v>
      </c>
      <c r="D27" s="6"/>
      <c r="E27" s="6"/>
      <c r="F27" s="6"/>
      <c r="G27" s="6"/>
      <c r="H27" s="6"/>
      <c r="I27" s="6"/>
      <c r="J27" s="16">
        <f t="shared" si="0"/>
        <v>9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0</v>
      </c>
      <c r="D28" s="6">
        <v>452</v>
      </c>
      <c r="E28" s="6"/>
      <c r="F28" s="6"/>
      <c r="G28" s="6"/>
      <c r="H28" s="6"/>
      <c r="I28" s="6"/>
      <c r="J28" s="16">
        <f t="shared" si="0"/>
        <v>452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269</v>
      </c>
      <c r="D29" s="6">
        <v>560</v>
      </c>
      <c r="E29" s="6">
        <v>269</v>
      </c>
      <c r="F29" s="6"/>
      <c r="G29" s="6"/>
      <c r="H29" s="6"/>
      <c r="I29" s="6"/>
      <c r="J29" s="16">
        <f t="shared" si="0"/>
        <v>560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16">
        <f t="shared" si="0"/>
        <v>0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400</v>
      </c>
      <c r="D32" s="6">
        <v>210</v>
      </c>
      <c r="E32" s="6">
        <v>265</v>
      </c>
      <c r="F32" s="6"/>
      <c r="G32" s="6"/>
      <c r="H32" s="6"/>
      <c r="I32" s="6"/>
      <c r="J32" s="16">
        <f t="shared" si="0"/>
        <v>345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30</v>
      </c>
      <c r="D33" s="6"/>
      <c r="E33" s="6"/>
      <c r="F33" s="6">
        <v>10</v>
      </c>
      <c r="G33" s="6"/>
      <c r="H33" s="6"/>
      <c r="I33" s="6"/>
      <c r="J33" s="16">
        <f t="shared" si="0"/>
        <v>20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51</v>
      </c>
      <c r="D34" s="6"/>
      <c r="E34" s="6"/>
      <c r="F34" s="6"/>
      <c r="G34" s="6"/>
      <c r="H34" s="6"/>
      <c r="I34" s="6"/>
      <c r="J34" s="16">
        <f t="shared" si="0"/>
        <v>51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20</v>
      </c>
      <c r="D37" s="6"/>
      <c r="E37" s="6"/>
      <c r="F37" s="6"/>
      <c r="G37" s="6"/>
      <c r="H37" s="6"/>
      <c r="I37" s="6"/>
      <c r="J37" s="16">
        <f t="shared" si="0"/>
        <v>20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53</v>
      </c>
      <c r="D38" s="6">
        <v>26</v>
      </c>
      <c r="E38" s="6"/>
      <c r="F38" s="6"/>
      <c r="G38" s="6"/>
      <c r="H38" s="6"/>
      <c r="I38" s="6"/>
      <c r="J38" s="16">
        <f t="shared" si="0"/>
        <v>79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6</v>
      </c>
      <c r="D39" s="6"/>
      <c r="E39" s="6"/>
      <c r="F39" s="6"/>
      <c r="G39" s="6"/>
      <c r="H39" s="6">
        <v>1</v>
      </c>
      <c r="I39" s="6"/>
      <c r="J39" s="16">
        <f t="shared" si="0"/>
        <v>5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0</v>
      </c>
      <c r="D40" s="6"/>
      <c r="E40" s="6"/>
      <c r="F40" s="6"/>
      <c r="G40" s="6"/>
      <c r="H40" s="6"/>
      <c r="I40" s="6"/>
      <c r="J40" s="16">
        <f t="shared" si="0"/>
        <v>0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64</v>
      </c>
      <c r="D41" s="6"/>
      <c r="E41" s="6"/>
      <c r="F41" s="6"/>
      <c r="G41" s="6"/>
      <c r="H41" s="6"/>
      <c r="I41" s="6"/>
      <c r="J41" s="16">
        <f t="shared" si="0"/>
        <v>64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82</v>
      </c>
      <c r="D42" s="6"/>
      <c r="E42" s="6">
        <v>1</v>
      </c>
      <c r="F42" s="6"/>
      <c r="G42" s="6"/>
      <c r="H42" s="6"/>
      <c r="I42" s="6"/>
      <c r="J42" s="16">
        <f t="shared" si="0"/>
        <v>81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209</v>
      </c>
      <c r="D43" s="6"/>
      <c r="E43" s="6"/>
      <c r="F43" s="6"/>
      <c r="G43" s="6"/>
      <c r="H43" s="6">
        <v>4</v>
      </c>
      <c r="I43" s="6"/>
      <c r="J43" s="16">
        <f t="shared" si="0"/>
        <v>205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26</v>
      </c>
      <c r="D46" s="6"/>
      <c r="E46" s="6"/>
      <c r="F46" s="6"/>
      <c r="G46" s="6"/>
      <c r="H46" s="6"/>
      <c r="I46" s="6"/>
      <c r="J46" s="16">
        <f t="shared" si="0"/>
        <v>26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23</v>
      </c>
      <c r="D47" s="6"/>
      <c r="E47" s="6"/>
      <c r="F47" s="6"/>
      <c r="G47" s="6">
        <v>2</v>
      </c>
      <c r="H47" s="6"/>
      <c r="I47" s="6"/>
      <c r="J47" s="16">
        <f t="shared" si="0"/>
        <v>21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92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310</v>
      </c>
      <c r="D49" s="6"/>
      <c r="E49" s="6">
        <v>7</v>
      </c>
      <c r="F49" s="6">
        <v>7</v>
      </c>
      <c r="G49" s="6"/>
      <c r="H49" s="6">
        <v>70</v>
      </c>
      <c r="I49" s="6"/>
      <c r="J49" s="16">
        <f t="shared" si="0"/>
        <v>226</v>
      </c>
      <c r="K49" s="13">
        <v>200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77</v>
      </c>
      <c r="D50" s="6"/>
      <c r="E50" s="6"/>
      <c r="F50" s="6"/>
      <c r="G50" s="6">
        <v>1</v>
      </c>
      <c r="H50" s="6"/>
      <c r="I50" s="6"/>
      <c r="J50" s="16">
        <f t="shared" si="0"/>
        <v>76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26</v>
      </c>
      <c r="D51" s="6"/>
      <c r="E51" s="6"/>
      <c r="F51" s="6"/>
      <c r="G51" s="6">
        <v>1</v>
      </c>
      <c r="H51" s="6"/>
      <c r="I51" s="6"/>
      <c r="J51" s="16">
        <f t="shared" si="0"/>
        <v>25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/>
      <c r="F52" s="6"/>
      <c r="G52" s="6"/>
      <c r="H52" s="6"/>
      <c r="I52" s="6"/>
      <c r="J52" s="16">
        <f t="shared" si="0"/>
        <v>20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30</v>
      </c>
      <c r="D53" s="6"/>
      <c r="E53" s="6"/>
      <c r="F53" s="6"/>
      <c r="G53" s="6"/>
      <c r="H53" s="6"/>
      <c r="I53" s="6"/>
      <c r="J53" s="16">
        <f t="shared" si="0"/>
        <v>30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92</v>
      </c>
      <c r="C54" s="6">
        <v>0</v>
      </c>
      <c r="D54" s="6"/>
      <c r="E54" s="6"/>
      <c r="F54" s="6"/>
      <c r="G54" s="6"/>
      <c r="H54" s="6"/>
      <c r="I54" s="6"/>
      <c r="J54" s="16">
        <f t="shared" si="0"/>
        <v>0</v>
      </c>
      <c r="K54" s="13">
        <v>0</v>
      </c>
      <c r="L54" s="14"/>
    </row>
    <row r="55" spans="1:12" x14ac:dyDescent="0.25">
      <c r="A55" s="6">
        <v>55</v>
      </c>
      <c r="B55" s="7" t="s">
        <v>92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34</v>
      </c>
      <c r="D56" s="6"/>
      <c r="E56" s="6"/>
      <c r="F56" s="6"/>
      <c r="G56" s="6"/>
      <c r="H56" s="6"/>
      <c r="I56" s="6"/>
      <c r="J56" s="16">
        <f t="shared" si="0"/>
        <v>34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30</v>
      </c>
      <c r="D58" s="6"/>
      <c r="E58" s="6">
        <v>3</v>
      </c>
      <c r="F58" s="6">
        <v>4</v>
      </c>
      <c r="G58" s="6">
        <v>4</v>
      </c>
      <c r="H58" s="6"/>
      <c r="I58" s="6"/>
      <c r="J58" s="16">
        <f t="shared" si="0"/>
        <v>19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78</v>
      </c>
      <c r="D59" s="6"/>
      <c r="E59" s="6"/>
      <c r="F59" s="6"/>
      <c r="G59" s="6"/>
      <c r="H59" s="6"/>
      <c r="I59" s="6"/>
      <c r="J59" s="16">
        <f t="shared" si="0"/>
        <v>78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276</v>
      </c>
      <c r="D62" s="6">
        <v>246</v>
      </c>
      <c r="E62" s="6">
        <v>230</v>
      </c>
      <c r="F62" s="6"/>
      <c r="G62" s="6"/>
      <c r="H62" s="6"/>
      <c r="I62" s="6"/>
      <c r="J62" s="16">
        <f t="shared" si="0"/>
        <v>292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0</v>
      </c>
      <c r="D63" s="6"/>
      <c r="E63" s="6"/>
      <c r="F63" s="6"/>
      <c r="G63" s="6"/>
      <c r="H63" s="6"/>
      <c r="I63" s="6"/>
      <c r="J63" s="16">
        <f t="shared" si="0"/>
        <v>0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142</v>
      </c>
      <c r="D64" s="6"/>
      <c r="E64" s="6"/>
      <c r="F64" s="6">
        <v>11</v>
      </c>
      <c r="G64" s="6">
        <v>5</v>
      </c>
      <c r="H64" s="6"/>
      <c r="I64" s="6"/>
      <c r="J64" s="16">
        <f t="shared" si="0"/>
        <v>126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0</v>
      </c>
      <c r="D65" s="6"/>
      <c r="E65" s="6"/>
      <c r="F65" s="6"/>
      <c r="G65" s="6"/>
      <c r="H65" s="6"/>
      <c r="I65" s="6"/>
      <c r="J65" s="16">
        <f t="shared" si="0"/>
        <v>0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19</v>
      </c>
      <c r="D66" s="6"/>
      <c r="E66" s="6"/>
      <c r="F66" s="6">
        <v>10</v>
      </c>
      <c r="G66" s="6">
        <v>9</v>
      </c>
      <c r="H66" s="6"/>
      <c r="I66" s="6"/>
      <c r="J66" s="16">
        <f t="shared" si="0"/>
        <v>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1</v>
      </c>
      <c r="D67" s="6"/>
      <c r="E67" s="6"/>
      <c r="F67" s="6"/>
      <c r="G67" s="6"/>
      <c r="H67" s="6"/>
      <c r="I67" s="6"/>
      <c r="J67" s="16">
        <f t="shared" ref="J67:J76" si="1">+C67-E67-F67-G67-H67-I67+D67</f>
        <v>1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30</v>
      </c>
      <c r="D68" s="6"/>
      <c r="E68" s="6"/>
      <c r="F68" s="6">
        <v>9</v>
      </c>
      <c r="G68" s="6"/>
      <c r="H68" s="6"/>
      <c r="I68" s="6"/>
      <c r="J68" s="16">
        <f t="shared" si="1"/>
        <v>21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17</v>
      </c>
      <c r="D69" s="6"/>
      <c r="E69" s="6"/>
      <c r="F69" s="6"/>
      <c r="G69" s="6"/>
      <c r="H69" s="6"/>
      <c r="I69" s="6"/>
      <c r="J69" s="16">
        <f t="shared" si="1"/>
        <v>17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24</v>
      </c>
      <c r="D70" s="6"/>
      <c r="E70" s="6">
        <v>1</v>
      </c>
      <c r="F70" s="6"/>
      <c r="G70" s="6"/>
      <c r="H70" s="6"/>
      <c r="I70" s="6"/>
      <c r="J70" s="16">
        <f t="shared" si="1"/>
        <v>23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4</v>
      </c>
      <c r="D71" s="6"/>
      <c r="E71" s="6">
        <v>2</v>
      </c>
      <c r="F71" s="6"/>
      <c r="G71" s="6"/>
      <c r="H71" s="6"/>
      <c r="I71" s="6"/>
      <c r="J71" s="16">
        <f t="shared" si="1"/>
        <v>2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93</v>
      </c>
      <c r="D72" s="6"/>
      <c r="E72" s="6">
        <v>5</v>
      </c>
      <c r="F72" s="6">
        <v>24</v>
      </c>
      <c r="G72" s="6">
        <v>12</v>
      </c>
      <c r="H72" s="6">
        <v>14</v>
      </c>
      <c r="I72" s="6"/>
      <c r="J72" s="16">
        <f t="shared" si="1"/>
        <v>38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142</v>
      </c>
      <c r="D73" s="6"/>
      <c r="E73" s="6"/>
      <c r="F73" s="6"/>
      <c r="G73" s="6"/>
      <c r="H73" s="6"/>
      <c r="I73" s="6"/>
      <c r="J73" s="16">
        <f t="shared" si="1"/>
        <v>142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18</v>
      </c>
      <c r="D74" s="6"/>
      <c r="E74" s="6">
        <v>2</v>
      </c>
      <c r="F74" s="6"/>
      <c r="G74" s="6">
        <v>3</v>
      </c>
      <c r="H74" s="6"/>
      <c r="I74" s="6"/>
      <c r="J74" s="16">
        <f t="shared" si="1"/>
        <v>13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30</v>
      </c>
      <c r="D75" s="6"/>
      <c r="E75" s="6">
        <v>1</v>
      </c>
      <c r="F75" s="6"/>
      <c r="G75" s="6"/>
      <c r="H75" s="6"/>
      <c r="I75" s="6"/>
      <c r="J75" s="16">
        <f t="shared" si="1"/>
        <v>29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20</v>
      </c>
      <c r="D76" s="6"/>
      <c r="E76" s="6"/>
      <c r="F76" s="6"/>
      <c r="G76" s="6"/>
      <c r="H76" s="6"/>
      <c r="I76" s="6"/>
      <c r="J76" s="16">
        <f t="shared" si="1"/>
        <v>20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1EAF-97D1-45B9-AD58-8F387452D69F}">
  <dimension ref="A1:L76"/>
  <sheetViews>
    <sheetView topLeftCell="A15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137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45877</v>
      </c>
      <c r="F2" s="18">
        <v>45884</v>
      </c>
      <c r="G2" s="18">
        <v>45891</v>
      </c>
      <c r="H2" s="18">
        <v>45898</v>
      </c>
      <c r="I2" s="18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30</v>
      </c>
      <c r="D3" s="6"/>
      <c r="E3" s="6"/>
      <c r="F3" s="6"/>
      <c r="G3" s="6"/>
      <c r="H3" s="6"/>
      <c r="I3" s="6"/>
      <c r="J3" s="16">
        <f t="shared" ref="J3:J66" si="0">+C3-E3-F3-G3-H3-I3+D3</f>
        <v>30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18</v>
      </c>
      <c r="D4" s="6"/>
      <c r="E4" s="6"/>
      <c r="F4" s="6"/>
      <c r="G4" s="6"/>
      <c r="H4" s="6"/>
      <c r="I4" s="6"/>
      <c r="J4" s="16">
        <f t="shared" si="0"/>
        <v>18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43</v>
      </c>
      <c r="D6" s="6"/>
      <c r="E6" s="6">
        <v>1</v>
      </c>
      <c r="F6" s="6"/>
      <c r="G6" s="6"/>
      <c r="H6" s="6"/>
      <c r="I6" s="6"/>
      <c r="J6" s="16">
        <f t="shared" si="0"/>
        <v>42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48</v>
      </c>
      <c r="D7" s="6"/>
      <c r="E7" s="6">
        <v>4</v>
      </c>
      <c r="F7" s="6"/>
      <c r="G7" s="6"/>
      <c r="H7" s="6"/>
      <c r="I7" s="6"/>
      <c r="J7" s="16">
        <f t="shared" si="0"/>
        <v>44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34</v>
      </c>
      <c r="D8" s="6"/>
      <c r="E8" s="6"/>
      <c r="F8" s="6"/>
      <c r="G8" s="6">
        <v>2</v>
      </c>
      <c r="H8" s="6"/>
      <c r="I8" s="6"/>
      <c r="J8" s="16">
        <f t="shared" si="0"/>
        <v>32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52</v>
      </c>
      <c r="D9" s="6"/>
      <c r="E9" s="6"/>
      <c r="F9" s="6"/>
      <c r="G9" s="6"/>
      <c r="H9" s="6"/>
      <c r="I9" s="6"/>
      <c r="J9" s="16">
        <f t="shared" si="0"/>
        <v>52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12</v>
      </c>
      <c r="D10" s="6">
        <v>27</v>
      </c>
      <c r="E10" s="6">
        <v>5</v>
      </c>
      <c r="F10" s="6"/>
      <c r="G10" s="6">
        <v>13</v>
      </c>
      <c r="H10" s="6"/>
      <c r="I10" s="6"/>
      <c r="J10" s="16">
        <f t="shared" si="0"/>
        <v>21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216</v>
      </c>
      <c r="D11" s="6"/>
      <c r="E11" s="6">
        <v>100</v>
      </c>
      <c r="F11" s="6"/>
      <c r="G11" s="6">
        <v>45</v>
      </c>
      <c r="H11" s="6">
        <v>44</v>
      </c>
      <c r="I11" s="6"/>
      <c r="J11" s="16">
        <f t="shared" si="0"/>
        <v>27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105</v>
      </c>
      <c r="D12" s="6">
        <v>84</v>
      </c>
      <c r="E12" s="6"/>
      <c r="F12" s="6"/>
      <c r="G12" s="6"/>
      <c r="H12" s="6">
        <v>41</v>
      </c>
      <c r="I12" s="6"/>
      <c r="J12" s="16">
        <f t="shared" si="0"/>
        <v>148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</v>
      </c>
      <c r="D13" s="6"/>
      <c r="E13" s="6"/>
      <c r="F13" s="6"/>
      <c r="G13" s="6"/>
      <c r="H13" s="6"/>
      <c r="I13" s="6"/>
      <c r="J13" s="16">
        <f t="shared" si="0"/>
        <v>1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39</v>
      </c>
      <c r="D14" s="6"/>
      <c r="E14" s="6"/>
      <c r="F14" s="6"/>
      <c r="G14" s="6"/>
      <c r="H14" s="6"/>
      <c r="I14" s="6"/>
      <c r="J14" s="16">
        <f t="shared" si="0"/>
        <v>39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34</v>
      </c>
      <c r="D15" s="6">
        <v>57</v>
      </c>
      <c r="E15" s="6">
        <v>31</v>
      </c>
      <c r="F15" s="6"/>
      <c r="G15" s="6">
        <v>3</v>
      </c>
      <c r="H15" s="6">
        <v>57</v>
      </c>
      <c r="I15" s="6"/>
      <c r="J15" s="16">
        <f t="shared" si="0"/>
        <v>0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0</v>
      </c>
      <c r="D16" s="6">
        <v>336</v>
      </c>
      <c r="E16" s="6"/>
      <c r="F16" s="6"/>
      <c r="G16" s="6"/>
      <c r="H16" s="6">
        <v>227</v>
      </c>
      <c r="I16" s="6"/>
      <c r="J16" s="16">
        <f t="shared" si="0"/>
        <v>109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74</v>
      </c>
      <c r="D17" s="6">
        <v>80</v>
      </c>
      <c r="E17" s="6">
        <v>19</v>
      </c>
      <c r="F17" s="6">
        <v>65</v>
      </c>
      <c r="G17" s="6">
        <v>3</v>
      </c>
      <c r="H17" s="6">
        <v>5</v>
      </c>
      <c r="I17" s="6"/>
      <c r="J17" s="16">
        <f t="shared" si="0"/>
        <v>62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28</v>
      </c>
      <c r="D18" s="6">
        <v>100</v>
      </c>
      <c r="E18" s="6">
        <v>20</v>
      </c>
      <c r="F18" s="6">
        <v>66</v>
      </c>
      <c r="G18" s="6"/>
      <c r="H18" s="6"/>
      <c r="I18" s="6"/>
      <c r="J18" s="16">
        <f t="shared" si="0"/>
        <v>42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20</v>
      </c>
      <c r="D19" s="6"/>
      <c r="E19" s="6"/>
      <c r="F19" s="6"/>
      <c r="G19" s="6">
        <v>5</v>
      </c>
      <c r="H19" s="6"/>
      <c r="I19" s="6"/>
      <c r="J19" s="16">
        <f t="shared" si="0"/>
        <v>15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33</v>
      </c>
      <c r="D20" s="6"/>
      <c r="E20" s="6"/>
      <c r="F20" s="6"/>
      <c r="G20" s="6"/>
      <c r="H20" s="6"/>
      <c r="I20" s="6"/>
      <c r="J20" s="16">
        <f t="shared" si="0"/>
        <v>33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11</v>
      </c>
      <c r="D21" s="6">
        <v>58</v>
      </c>
      <c r="E21" s="6"/>
      <c r="F21" s="6">
        <v>6</v>
      </c>
      <c r="G21" s="6"/>
      <c r="H21" s="6"/>
      <c r="I21" s="6"/>
      <c r="J21" s="16">
        <f t="shared" si="0"/>
        <v>63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21</v>
      </c>
      <c r="D22" s="6"/>
      <c r="E22" s="6"/>
      <c r="F22" s="6"/>
      <c r="G22" s="6"/>
      <c r="H22" s="6"/>
      <c r="I22" s="6"/>
      <c r="J22" s="16">
        <f t="shared" si="0"/>
        <v>21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4</v>
      </c>
      <c r="D23" s="6"/>
      <c r="E23" s="6"/>
      <c r="F23" s="6"/>
      <c r="G23" s="6"/>
      <c r="H23" s="6">
        <v>2</v>
      </c>
      <c r="I23" s="6"/>
      <c r="J23" s="16">
        <f t="shared" si="0"/>
        <v>2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38</v>
      </c>
      <c r="D24" s="6">
        <v>5</v>
      </c>
      <c r="E24" s="6"/>
      <c r="F24" s="6"/>
      <c r="G24" s="6"/>
      <c r="H24" s="6"/>
      <c r="I24" s="6"/>
      <c r="J24" s="16">
        <f t="shared" si="0"/>
        <v>43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291</v>
      </c>
      <c r="D26" s="6"/>
      <c r="E26" s="6"/>
      <c r="F26" s="6"/>
      <c r="G26" s="6"/>
      <c r="H26" s="6"/>
      <c r="I26" s="6"/>
      <c r="J26" s="16">
        <f t="shared" si="0"/>
        <v>291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9</v>
      </c>
      <c r="D27" s="6">
        <v>20</v>
      </c>
      <c r="E27" s="6"/>
      <c r="F27" s="6"/>
      <c r="G27" s="6"/>
      <c r="H27" s="6"/>
      <c r="I27" s="6"/>
      <c r="J27" s="16">
        <f t="shared" si="0"/>
        <v>29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0</v>
      </c>
      <c r="D28" s="6"/>
      <c r="E28" s="6"/>
      <c r="F28" s="6"/>
      <c r="G28" s="6"/>
      <c r="H28" s="6"/>
      <c r="I28" s="6"/>
      <c r="J28" s="1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/>
      <c r="E31" s="6"/>
      <c r="F31" s="6"/>
      <c r="G31" s="6"/>
      <c r="H31" s="6"/>
      <c r="I31" s="6"/>
      <c r="J31" s="16">
        <f t="shared" si="0"/>
        <v>0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345</v>
      </c>
      <c r="D32" s="6"/>
      <c r="E32" s="6"/>
      <c r="F32" s="6"/>
      <c r="G32" s="6"/>
      <c r="H32" s="6"/>
      <c r="I32" s="6"/>
      <c r="J32" s="16">
        <f t="shared" si="0"/>
        <v>345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20</v>
      </c>
      <c r="D33" s="6"/>
      <c r="E33" s="6"/>
      <c r="F33" s="6"/>
      <c r="G33" s="6"/>
      <c r="H33" s="6"/>
      <c r="I33" s="6"/>
      <c r="J33" s="16">
        <f t="shared" si="0"/>
        <v>20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51</v>
      </c>
      <c r="D34" s="6"/>
      <c r="E34" s="6"/>
      <c r="F34" s="6"/>
      <c r="G34" s="6"/>
      <c r="H34" s="6"/>
      <c r="I34" s="6"/>
      <c r="J34" s="16">
        <f t="shared" si="0"/>
        <v>51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20</v>
      </c>
      <c r="D37" s="6"/>
      <c r="E37" s="6"/>
      <c r="F37" s="6"/>
      <c r="G37" s="6"/>
      <c r="H37" s="6"/>
      <c r="I37" s="6"/>
      <c r="J37" s="16">
        <f t="shared" si="0"/>
        <v>20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79</v>
      </c>
      <c r="D38" s="6"/>
      <c r="E38" s="6"/>
      <c r="F38" s="6"/>
      <c r="G38" s="6"/>
      <c r="H38" s="6"/>
      <c r="I38" s="6"/>
      <c r="J38" s="16">
        <f t="shared" si="0"/>
        <v>79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5</v>
      </c>
      <c r="D39" s="6">
        <v>101</v>
      </c>
      <c r="E39" s="6"/>
      <c r="F39" s="6"/>
      <c r="G39" s="6"/>
      <c r="H39" s="6">
        <v>101</v>
      </c>
      <c r="I39" s="6"/>
      <c r="J39" s="16">
        <f t="shared" si="0"/>
        <v>5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0</v>
      </c>
      <c r="D40" s="6">
        <v>64</v>
      </c>
      <c r="E40" s="6"/>
      <c r="F40" s="6">
        <v>14</v>
      </c>
      <c r="G40" s="6">
        <v>13</v>
      </c>
      <c r="H40" s="6">
        <v>15</v>
      </c>
      <c r="I40" s="6"/>
      <c r="J40" s="16">
        <f t="shared" si="0"/>
        <v>22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64</v>
      </c>
      <c r="D41" s="6"/>
      <c r="E41" s="6">
        <v>3</v>
      </c>
      <c r="F41" s="6"/>
      <c r="G41" s="6"/>
      <c r="H41" s="6"/>
      <c r="I41" s="6"/>
      <c r="J41" s="16">
        <f t="shared" si="0"/>
        <v>61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25</v>
      </c>
      <c r="D42" s="6">
        <v>11</v>
      </c>
      <c r="E42" s="6">
        <v>6</v>
      </c>
      <c r="F42" s="6"/>
      <c r="G42" s="6">
        <v>10</v>
      </c>
      <c r="H42" s="6">
        <v>3</v>
      </c>
      <c r="I42" s="6"/>
      <c r="J42" s="16">
        <f t="shared" si="0"/>
        <v>17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205</v>
      </c>
      <c r="D43" s="6"/>
      <c r="E43" s="6">
        <v>27</v>
      </c>
      <c r="F43" s="6"/>
      <c r="G43" s="6"/>
      <c r="H43" s="6">
        <v>70</v>
      </c>
      <c r="I43" s="6"/>
      <c r="J43" s="16">
        <f t="shared" si="0"/>
        <v>108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26</v>
      </c>
      <c r="D46" s="6"/>
      <c r="E46" s="6"/>
      <c r="F46" s="6"/>
      <c r="G46" s="6"/>
      <c r="H46" s="6"/>
      <c r="I46" s="6"/>
      <c r="J46" s="16">
        <f t="shared" si="0"/>
        <v>26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21</v>
      </c>
      <c r="D47" s="6"/>
      <c r="E47" s="6"/>
      <c r="F47" s="6"/>
      <c r="G47" s="6">
        <v>3</v>
      </c>
      <c r="H47" s="6"/>
      <c r="I47" s="6"/>
      <c r="J47" s="16">
        <f t="shared" si="0"/>
        <v>18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92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15</v>
      </c>
      <c r="L48" s="14">
        <v>30</v>
      </c>
    </row>
    <row r="49" spans="1:12" x14ac:dyDescent="0.25">
      <c r="A49" s="6">
        <v>47</v>
      </c>
      <c r="B49" s="7" t="s">
        <v>95</v>
      </c>
      <c r="C49" s="6">
        <v>226</v>
      </c>
      <c r="D49" s="6"/>
      <c r="E49" s="6">
        <v>15</v>
      </c>
      <c r="F49" s="6">
        <v>8</v>
      </c>
      <c r="G49" s="6">
        <v>0</v>
      </c>
      <c r="H49" s="6"/>
      <c r="I49" s="6"/>
      <c r="J49" s="16">
        <f t="shared" si="0"/>
        <v>203</v>
      </c>
      <c r="K49" s="13">
        <v>200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76</v>
      </c>
      <c r="D50" s="6"/>
      <c r="E50" s="6">
        <v>8</v>
      </c>
      <c r="F50" s="6"/>
      <c r="G50" s="6">
        <v>6</v>
      </c>
      <c r="H50" s="6"/>
      <c r="I50" s="6"/>
      <c r="J50" s="16">
        <f t="shared" si="0"/>
        <v>62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25</v>
      </c>
      <c r="D51" s="6"/>
      <c r="E51" s="6">
        <v>2</v>
      </c>
      <c r="F51" s="6"/>
      <c r="G51" s="6">
        <v>6</v>
      </c>
      <c r="H51" s="6"/>
      <c r="I51" s="6"/>
      <c r="J51" s="16">
        <f t="shared" si="0"/>
        <v>17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>
        <v>6</v>
      </c>
      <c r="F52" s="6"/>
      <c r="G52" s="6"/>
      <c r="H52" s="6"/>
      <c r="I52" s="6"/>
      <c r="J52" s="16">
        <f t="shared" si="0"/>
        <v>14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30</v>
      </c>
      <c r="D53" s="6"/>
      <c r="E53" s="6"/>
      <c r="F53" s="6"/>
      <c r="G53" s="6"/>
      <c r="H53" s="6"/>
      <c r="I53" s="6"/>
      <c r="J53" s="16">
        <f t="shared" si="0"/>
        <v>30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92</v>
      </c>
      <c r="C54" s="6">
        <v>0</v>
      </c>
      <c r="D54" s="6"/>
      <c r="E54" s="6"/>
      <c r="F54" s="6"/>
      <c r="G54" s="6"/>
      <c r="H54" s="6"/>
      <c r="I54" s="6"/>
      <c r="J54" s="16">
        <f t="shared" si="0"/>
        <v>0</v>
      </c>
      <c r="K54" s="13">
        <v>0</v>
      </c>
      <c r="L54" s="14"/>
    </row>
    <row r="55" spans="1:12" x14ac:dyDescent="0.25">
      <c r="A55" s="6">
        <v>55</v>
      </c>
      <c r="B55" s="7" t="s">
        <v>92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30</v>
      </c>
      <c r="D56" s="6"/>
      <c r="E56" s="6"/>
      <c r="F56" s="6"/>
      <c r="G56" s="6"/>
      <c r="H56" s="6"/>
      <c r="I56" s="6"/>
      <c r="J56" s="16">
        <f t="shared" si="0"/>
        <v>30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19</v>
      </c>
      <c r="D58" s="6"/>
      <c r="E58" s="6"/>
      <c r="F58" s="6">
        <v>8</v>
      </c>
      <c r="G58" s="6"/>
      <c r="H58" s="6"/>
      <c r="I58" s="6"/>
      <c r="J58" s="16">
        <f t="shared" si="0"/>
        <v>11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78</v>
      </c>
      <c r="D59" s="6"/>
      <c r="E59" s="6"/>
      <c r="F59" s="6"/>
      <c r="G59" s="6"/>
      <c r="H59" s="6"/>
      <c r="I59" s="6"/>
      <c r="J59" s="16">
        <f t="shared" si="0"/>
        <v>78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292</v>
      </c>
      <c r="D62" s="6"/>
      <c r="E62" s="6"/>
      <c r="F62" s="6"/>
      <c r="G62" s="6"/>
      <c r="H62" s="6"/>
      <c r="I62" s="6"/>
      <c r="J62" s="16">
        <f t="shared" si="0"/>
        <v>292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0</v>
      </c>
      <c r="D63" s="6"/>
      <c r="E63" s="6"/>
      <c r="F63" s="6"/>
      <c r="G63" s="6"/>
      <c r="H63" s="6"/>
      <c r="I63" s="6"/>
      <c r="J63" s="16">
        <f t="shared" si="0"/>
        <v>0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126</v>
      </c>
      <c r="D64" s="6"/>
      <c r="E64" s="6"/>
      <c r="F64" s="6">
        <v>2</v>
      </c>
      <c r="G64" s="6"/>
      <c r="H64" s="6"/>
      <c r="I64" s="6"/>
      <c r="J64" s="16">
        <f t="shared" si="0"/>
        <v>124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0</v>
      </c>
      <c r="D65" s="6"/>
      <c r="E65" s="6"/>
      <c r="F65" s="6"/>
      <c r="G65" s="6"/>
      <c r="H65" s="6"/>
      <c r="I65" s="6"/>
      <c r="J65" s="16">
        <f t="shared" si="0"/>
        <v>0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0"/>
        <v>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1</v>
      </c>
      <c r="D67" s="6">
        <v>4</v>
      </c>
      <c r="E67" s="6"/>
      <c r="F67" s="6"/>
      <c r="G67" s="6"/>
      <c r="H67" s="6"/>
      <c r="I67" s="6"/>
      <c r="J67" s="16">
        <f t="shared" ref="J67:J76" si="1">+C67-E67-F67-G67-H67-I67+D67</f>
        <v>5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21</v>
      </c>
      <c r="D68" s="6"/>
      <c r="E68" s="6">
        <v>13</v>
      </c>
      <c r="F68" s="6"/>
      <c r="G68" s="6"/>
      <c r="H68" s="6"/>
      <c r="I68" s="6"/>
      <c r="J68" s="16">
        <f t="shared" si="1"/>
        <v>8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17</v>
      </c>
      <c r="D69" s="6"/>
      <c r="E69" s="6"/>
      <c r="F69" s="6"/>
      <c r="G69" s="6"/>
      <c r="H69" s="6"/>
      <c r="I69" s="6"/>
      <c r="J69" s="16">
        <f t="shared" si="1"/>
        <v>17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23</v>
      </c>
      <c r="D70" s="6"/>
      <c r="E70" s="6">
        <v>23</v>
      </c>
      <c r="F70" s="6"/>
      <c r="G70" s="6">
        <v>0</v>
      </c>
      <c r="H70" s="6"/>
      <c r="I70" s="6"/>
      <c r="J70" s="16">
        <f t="shared" si="1"/>
        <v>0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2</v>
      </c>
      <c r="D71" s="6"/>
      <c r="E71" s="6">
        <v>2</v>
      </c>
      <c r="F71" s="6"/>
      <c r="G71" s="6">
        <v>0</v>
      </c>
      <c r="H71" s="6"/>
      <c r="I71" s="6"/>
      <c r="J71" s="16">
        <f t="shared" si="1"/>
        <v>0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38</v>
      </c>
      <c r="D72" s="6"/>
      <c r="E72" s="6">
        <v>8</v>
      </c>
      <c r="F72" s="6">
        <v>8</v>
      </c>
      <c r="G72" s="6">
        <v>4</v>
      </c>
      <c r="H72" s="6"/>
      <c r="I72" s="6"/>
      <c r="J72" s="16">
        <f t="shared" si="1"/>
        <v>18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142</v>
      </c>
      <c r="D73" s="6"/>
      <c r="E73" s="6"/>
      <c r="F73" s="6"/>
      <c r="G73" s="6"/>
      <c r="H73" s="6"/>
      <c r="I73" s="6"/>
      <c r="J73" s="16">
        <f t="shared" si="1"/>
        <v>142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10</v>
      </c>
      <c r="D74" s="6"/>
      <c r="E74" s="6">
        <v>5</v>
      </c>
      <c r="F74" s="6"/>
      <c r="G74" s="6"/>
      <c r="H74" s="6"/>
      <c r="I74" s="6"/>
      <c r="J74" s="16">
        <f t="shared" si="1"/>
        <v>5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27</v>
      </c>
      <c r="D75" s="6"/>
      <c r="E75" s="6">
        <v>3</v>
      </c>
      <c r="F75" s="6"/>
      <c r="G75" s="6"/>
      <c r="H75" s="6"/>
      <c r="I75" s="6"/>
      <c r="J75" s="16">
        <f t="shared" si="1"/>
        <v>24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20</v>
      </c>
      <c r="D76" s="6"/>
      <c r="E76" s="6"/>
      <c r="F76" s="6"/>
      <c r="G76" s="6"/>
      <c r="H76" s="6"/>
      <c r="I76" s="6"/>
      <c r="J76" s="16">
        <f t="shared" si="1"/>
        <v>20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65D9-0AF2-47BA-A85A-59BDD44412C4}">
  <dimension ref="A1:L76"/>
  <sheetViews>
    <sheetView topLeftCell="A28" zoomScaleNormal="100" workbookViewId="0">
      <selection activeCell="I68" sqref="I68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138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45905</v>
      </c>
      <c r="F2" s="18">
        <v>45912</v>
      </c>
      <c r="G2" s="18">
        <v>45919</v>
      </c>
      <c r="H2" s="18">
        <v>45926</v>
      </c>
      <c r="I2" s="18">
        <v>45930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13</v>
      </c>
      <c r="D3" s="6"/>
      <c r="E3" s="6"/>
      <c r="F3" s="6">
        <v>13</v>
      </c>
      <c r="G3" s="6"/>
      <c r="H3" s="6"/>
      <c r="I3" s="6"/>
      <c r="J3" s="16">
        <f t="shared" ref="J3:J66" si="0"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16</v>
      </c>
      <c r="D4" s="6"/>
      <c r="E4" s="6"/>
      <c r="F4" s="6">
        <v>1</v>
      </c>
      <c r="G4" s="6"/>
      <c r="H4" s="6"/>
      <c r="I4" s="6"/>
      <c r="J4" s="16">
        <f t="shared" si="0"/>
        <v>15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0</v>
      </c>
      <c r="D6" s="6"/>
      <c r="E6" s="6"/>
      <c r="F6" s="6"/>
      <c r="G6" s="6"/>
      <c r="H6" s="6"/>
      <c r="I6" s="6"/>
      <c r="J6" s="16">
        <f t="shared" si="0"/>
        <v>0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5</v>
      </c>
      <c r="D7" s="6"/>
      <c r="E7" s="6"/>
      <c r="F7" s="6"/>
      <c r="G7" s="6"/>
      <c r="H7" s="6"/>
      <c r="I7" s="6"/>
      <c r="J7" s="16">
        <f t="shared" si="0"/>
        <v>5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30</v>
      </c>
      <c r="D8" s="6"/>
      <c r="E8" s="6"/>
      <c r="F8" s="6"/>
      <c r="G8" s="6"/>
      <c r="H8" s="6"/>
      <c r="I8" s="6">
        <v>2</v>
      </c>
      <c r="J8" s="16">
        <f t="shared" si="0"/>
        <v>28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19</v>
      </c>
      <c r="D9" s="6"/>
      <c r="E9" s="6"/>
      <c r="F9" s="6"/>
      <c r="G9" s="6">
        <v>10</v>
      </c>
      <c r="H9" s="6"/>
      <c r="I9" s="6">
        <v>1</v>
      </c>
      <c r="J9" s="16">
        <f t="shared" si="0"/>
        <v>8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5</v>
      </c>
      <c r="D10" s="6">
        <v>25</v>
      </c>
      <c r="E10" s="6"/>
      <c r="F10" s="6"/>
      <c r="G10" s="6">
        <v>4</v>
      </c>
      <c r="H10" s="6">
        <v>11</v>
      </c>
      <c r="I10" s="6">
        <v>5</v>
      </c>
      <c r="J10" s="16">
        <f t="shared" si="0"/>
        <v>10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180</v>
      </c>
      <c r="D11" s="6">
        <v>211</v>
      </c>
      <c r="E11" s="6">
        <v>120</v>
      </c>
      <c r="F11" s="6">
        <v>27</v>
      </c>
      <c r="G11" s="6">
        <v>8</v>
      </c>
      <c r="H11" s="6"/>
      <c r="I11" s="6">
        <v>92</v>
      </c>
      <c r="J11" s="16">
        <f t="shared" si="0"/>
        <v>144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260</v>
      </c>
      <c r="D12" s="6"/>
      <c r="E12" s="6">
        <v>60</v>
      </c>
      <c r="F12" s="6">
        <v>82</v>
      </c>
      <c r="G12" s="6"/>
      <c r="H12" s="6">
        <v>27</v>
      </c>
      <c r="I12" s="6">
        <v>2</v>
      </c>
      <c r="J12" s="16">
        <f t="shared" si="0"/>
        <v>89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2</v>
      </c>
      <c r="D13" s="6"/>
      <c r="E13" s="6"/>
      <c r="F13" s="6"/>
      <c r="G13" s="6"/>
      <c r="H13" s="6"/>
      <c r="I13" s="6"/>
      <c r="J13" s="16">
        <f t="shared" si="0"/>
        <v>2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35</v>
      </c>
      <c r="D14" s="6"/>
      <c r="E14" s="6"/>
      <c r="F14" s="6"/>
      <c r="G14" s="6"/>
      <c r="H14" s="6"/>
      <c r="I14" s="6"/>
      <c r="J14" s="16">
        <f t="shared" si="0"/>
        <v>35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57</v>
      </c>
      <c r="D15" s="6">
        <v>143</v>
      </c>
      <c r="E15" s="6">
        <v>57</v>
      </c>
      <c r="F15" s="6">
        <v>38</v>
      </c>
      <c r="G15" s="6">
        <v>38</v>
      </c>
      <c r="H15" s="6"/>
      <c r="I15" s="6"/>
      <c r="J15" s="16">
        <f t="shared" si="0"/>
        <v>67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120</v>
      </c>
      <c r="D16" s="6"/>
      <c r="E16" s="6"/>
      <c r="F16" s="6"/>
      <c r="G16" s="6"/>
      <c r="H16" s="6"/>
      <c r="I16" s="6"/>
      <c r="J16" s="16">
        <f t="shared" si="0"/>
        <v>120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10</v>
      </c>
      <c r="D17" s="6">
        <v>172</v>
      </c>
      <c r="E17" s="6"/>
      <c r="F17" s="6">
        <v>4</v>
      </c>
      <c r="G17" s="6">
        <v>16</v>
      </c>
      <c r="H17" s="6"/>
      <c r="I17" s="6">
        <v>16</v>
      </c>
      <c r="J17" s="16">
        <f t="shared" si="0"/>
        <v>146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22</v>
      </c>
      <c r="D18" s="6">
        <v>404</v>
      </c>
      <c r="E18" s="6"/>
      <c r="F18" s="6">
        <v>4</v>
      </c>
      <c r="G18" s="6"/>
      <c r="H18" s="6">
        <v>3</v>
      </c>
      <c r="I18" s="6"/>
      <c r="J18" s="16">
        <f t="shared" si="0"/>
        <v>419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24</v>
      </c>
      <c r="D19" s="6"/>
      <c r="E19" s="6"/>
      <c r="F19" s="6">
        <v>5</v>
      </c>
      <c r="G19" s="6"/>
      <c r="H19" s="6"/>
      <c r="I19" s="6">
        <v>1</v>
      </c>
      <c r="J19" s="16">
        <f t="shared" si="0"/>
        <v>18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30</v>
      </c>
      <c r="D20" s="6"/>
      <c r="E20" s="6"/>
      <c r="F20" s="6"/>
      <c r="G20" s="6"/>
      <c r="H20" s="6"/>
      <c r="I20" s="6"/>
      <c r="J20" s="16">
        <f t="shared" si="0"/>
        <v>30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57</v>
      </c>
      <c r="D21" s="6"/>
      <c r="E21" s="6"/>
      <c r="F21" s="6"/>
      <c r="G21" s="6"/>
      <c r="H21" s="6"/>
      <c r="I21" s="6">
        <v>3</v>
      </c>
      <c r="J21" s="16">
        <f t="shared" si="0"/>
        <v>54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14</v>
      </c>
      <c r="D22" s="6"/>
      <c r="E22" s="6"/>
      <c r="F22" s="6"/>
      <c r="G22" s="6"/>
      <c r="H22" s="6"/>
      <c r="I22" s="6"/>
      <c r="J22" s="16">
        <f t="shared" si="0"/>
        <v>14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2</v>
      </c>
      <c r="D23" s="6"/>
      <c r="E23" s="6"/>
      <c r="F23" s="6">
        <v>1</v>
      </c>
      <c r="G23" s="6">
        <v>1</v>
      </c>
      <c r="H23" s="6"/>
      <c r="I23" s="6"/>
      <c r="J23" s="1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38</v>
      </c>
      <c r="D24" s="6"/>
      <c r="E24" s="6"/>
      <c r="F24" s="6"/>
      <c r="G24" s="6"/>
      <c r="H24" s="6"/>
      <c r="I24" s="6"/>
      <c r="J24" s="1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291</v>
      </c>
      <c r="D26" s="6"/>
      <c r="E26" s="6"/>
      <c r="F26" s="6">
        <v>49</v>
      </c>
      <c r="G26" s="6">
        <v>15</v>
      </c>
      <c r="H26" s="6">
        <v>2</v>
      </c>
      <c r="I26" s="6"/>
      <c r="J26" s="16">
        <f t="shared" si="0"/>
        <v>225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0</v>
      </c>
      <c r="D27" s="6">
        <v>25</v>
      </c>
      <c r="E27" s="6"/>
      <c r="F27" s="6"/>
      <c r="G27" s="6"/>
      <c r="H27" s="6">
        <v>5</v>
      </c>
      <c r="I27" s="6"/>
      <c r="J27" s="16">
        <f t="shared" si="0"/>
        <v>20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0</v>
      </c>
      <c r="D28" s="6"/>
      <c r="E28" s="6"/>
      <c r="F28" s="6"/>
      <c r="G28" s="6"/>
      <c r="H28" s="6"/>
      <c r="I28" s="6"/>
      <c r="J28" s="1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>
        <v>74</v>
      </c>
      <c r="E31" s="6"/>
      <c r="F31" s="6"/>
      <c r="G31" s="6"/>
      <c r="H31" s="6"/>
      <c r="I31" s="6"/>
      <c r="J31" s="16">
        <f t="shared" si="0"/>
        <v>74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280</v>
      </c>
      <c r="D32" s="6"/>
      <c r="E32" s="6"/>
      <c r="F32" s="6"/>
      <c r="G32" s="6"/>
      <c r="H32" s="6"/>
      <c r="I32" s="6"/>
      <c r="J32" s="16">
        <f t="shared" si="0"/>
        <v>280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0</v>
      </c>
      <c r="D33" s="6"/>
      <c r="E33" s="6"/>
      <c r="F33" s="6"/>
      <c r="G33" s="6"/>
      <c r="H33" s="6"/>
      <c r="I33" s="6"/>
      <c r="J33" s="16">
        <f t="shared" si="0"/>
        <v>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51</v>
      </c>
      <c r="D34" s="6"/>
      <c r="E34" s="6"/>
      <c r="F34" s="6"/>
      <c r="G34" s="6"/>
      <c r="H34" s="6">
        <v>5</v>
      </c>
      <c r="I34" s="6"/>
      <c r="J34" s="16">
        <f t="shared" si="0"/>
        <v>46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20</v>
      </c>
      <c r="D37" s="6"/>
      <c r="E37" s="6"/>
      <c r="F37" s="6"/>
      <c r="G37" s="6">
        <v>1</v>
      </c>
      <c r="H37" s="6"/>
      <c r="I37" s="6"/>
      <c r="J37" s="16">
        <f t="shared" si="0"/>
        <v>19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10</v>
      </c>
      <c r="D38" s="6"/>
      <c r="E38" s="6"/>
      <c r="F38" s="6"/>
      <c r="G38" s="6"/>
      <c r="H38" s="6"/>
      <c r="I38" s="6"/>
      <c r="J38" s="16">
        <f t="shared" si="0"/>
        <v>10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5</v>
      </c>
      <c r="D39" s="6">
        <v>64</v>
      </c>
      <c r="E39" s="6"/>
      <c r="F39" s="6"/>
      <c r="G39" s="6"/>
      <c r="H39" s="6">
        <v>41</v>
      </c>
      <c r="I39" s="6"/>
      <c r="J39" s="16">
        <f t="shared" si="0"/>
        <v>28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35</v>
      </c>
      <c r="D40" s="6">
        <v>60</v>
      </c>
      <c r="E40" s="6"/>
      <c r="F40" s="6"/>
      <c r="G40" s="6">
        <v>10</v>
      </c>
      <c r="H40" s="6">
        <v>75</v>
      </c>
      <c r="I40" s="6">
        <v>2</v>
      </c>
      <c r="J40" s="16">
        <f t="shared" si="0"/>
        <v>8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64</v>
      </c>
      <c r="D41" s="6"/>
      <c r="E41" s="6"/>
      <c r="F41" s="6">
        <v>4</v>
      </c>
      <c r="G41" s="6"/>
      <c r="H41" s="6"/>
      <c r="I41" s="6"/>
      <c r="J41" s="16">
        <f t="shared" si="0"/>
        <v>60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18</v>
      </c>
      <c r="D42" s="6"/>
      <c r="E42" s="6">
        <v>8</v>
      </c>
      <c r="F42" s="6">
        <v>4</v>
      </c>
      <c r="G42" s="6">
        <v>6</v>
      </c>
      <c r="H42" s="6"/>
      <c r="I42" s="6"/>
      <c r="J42" s="16">
        <f t="shared" si="0"/>
        <v>0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20</v>
      </c>
      <c r="D43" s="6">
        <v>402</v>
      </c>
      <c r="E43" s="6">
        <v>20</v>
      </c>
      <c r="F43" s="6">
        <v>15</v>
      </c>
      <c r="G43" s="6">
        <v>15</v>
      </c>
      <c r="H43" s="6">
        <v>4</v>
      </c>
      <c r="I43" s="6"/>
      <c r="J43" s="16">
        <f t="shared" si="0"/>
        <v>368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25</v>
      </c>
      <c r="D46" s="6"/>
      <c r="E46" s="6"/>
      <c r="F46" s="6"/>
      <c r="G46" s="6"/>
      <c r="H46" s="6"/>
      <c r="I46" s="6"/>
      <c r="J46" s="16">
        <f t="shared" si="0"/>
        <v>25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15</v>
      </c>
      <c r="D47" s="6"/>
      <c r="E47" s="6"/>
      <c r="F47" s="6">
        <v>7</v>
      </c>
      <c r="G47" s="6"/>
      <c r="H47" s="6"/>
      <c r="I47" s="6"/>
      <c r="J47" s="16">
        <f t="shared" si="0"/>
        <v>8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92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0</v>
      </c>
      <c r="L48" s="14">
        <v>0</v>
      </c>
    </row>
    <row r="49" spans="1:12" x14ac:dyDescent="0.25">
      <c r="A49" s="6">
        <v>47</v>
      </c>
      <c r="B49" s="7" t="s">
        <v>95</v>
      </c>
      <c r="C49" s="6">
        <v>203</v>
      </c>
      <c r="D49" s="6"/>
      <c r="E49" s="6"/>
      <c r="F49" s="6">
        <v>5</v>
      </c>
      <c r="G49" s="6"/>
      <c r="H49" s="6">
        <v>9</v>
      </c>
      <c r="I49" s="6">
        <v>15</v>
      </c>
      <c r="J49" s="16">
        <f t="shared" si="0"/>
        <v>174</v>
      </c>
      <c r="K49" s="13">
        <v>200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30</v>
      </c>
      <c r="D50" s="6">
        <v>20</v>
      </c>
      <c r="E50" s="6"/>
      <c r="F50" s="6">
        <v>1</v>
      </c>
      <c r="G50" s="6"/>
      <c r="H50" s="6"/>
      <c r="I50" s="6">
        <v>6</v>
      </c>
      <c r="J50" s="16">
        <f t="shared" si="0"/>
        <v>43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7</v>
      </c>
      <c r="D51" s="6"/>
      <c r="E51" s="6"/>
      <c r="F51" s="6">
        <v>1</v>
      </c>
      <c r="G51" s="6"/>
      <c r="H51" s="6"/>
      <c r="I51" s="6">
        <v>4</v>
      </c>
      <c r="J51" s="16">
        <f t="shared" si="0"/>
        <v>2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/>
      <c r="F52" s="6"/>
      <c r="G52" s="6"/>
      <c r="H52" s="6"/>
      <c r="I52" s="6"/>
      <c r="J52" s="16">
        <f t="shared" si="0"/>
        <v>20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25</v>
      </c>
      <c r="D53" s="6"/>
      <c r="E53" s="6"/>
      <c r="F53" s="6"/>
      <c r="G53" s="6"/>
      <c r="H53" s="6"/>
      <c r="I53" s="6"/>
      <c r="J53" s="16">
        <f t="shared" si="0"/>
        <v>25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139</v>
      </c>
      <c r="C54" s="6">
        <v>0</v>
      </c>
      <c r="D54" s="6">
        <v>108</v>
      </c>
      <c r="E54" s="6"/>
      <c r="F54" s="6"/>
      <c r="G54" s="6"/>
      <c r="H54" s="6"/>
      <c r="I54" s="6"/>
      <c r="J54" s="16">
        <f t="shared" si="0"/>
        <v>108</v>
      </c>
      <c r="K54" s="13">
        <v>0</v>
      </c>
      <c r="L54" s="14"/>
    </row>
    <row r="55" spans="1:12" x14ac:dyDescent="0.25">
      <c r="A55" s="6">
        <v>55</v>
      </c>
      <c r="B55" s="7" t="s">
        <v>92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20</v>
      </c>
      <c r="D56" s="6">
        <v>25</v>
      </c>
      <c r="E56" s="6"/>
      <c r="F56" s="6"/>
      <c r="G56" s="6"/>
      <c r="H56" s="6"/>
      <c r="I56" s="6">
        <v>1</v>
      </c>
      <c r="J56" s="16">
        <f t="shared" si="0"/>
        <v>44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20</v>
      </c>
      <c r="D58" s="6"/>
      <c r="E58" s="6"/>
      <c r="F58" s="6"/>
      <c r="G58" s="6"/>
      <c r="H58" s="6"/>
      <c r="I58" s="6">
        <v>1</v>
      </c>
      <c r="J58" s="16">
        <f t="shared" si="0"/>
        <v>19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78</v>
      </c>
      <c r="D59" s="6"/>
      <c r="E59" s="6"/>
      <c r="F59" s="6"/>
      <c r="G59" s="6"/>
      <c r="H59" s="6"/>
      <c r="I59" s="6"/>
      <c r="J59" s="16">
        <f t="shared" si="0"/>
        <v>78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250</v>
      </c>
      <c r="D62" s="6"/>
      <c r="E62" s="6"/>
      <c r="F62" s="6"/>
      <c r="G62" s="6"/>
      <c r="H62" s="6"/>
      <c r="I62" s="6"/>
      <c r="J62" s="16">
        <f t="shared" si="0"/>
        <v>250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25</v>
      </c>
      <c r="D63" s="6">
        <v>35</v>
      </c>
      <c r="E63" s="6">
        <v>5</v>
      </c>
      <c r="F63" s="6">
        <v>1</v>
      </c>
      <c r="G63" s="6"/>
      <c r="H63" s="6">
        <v>2</v>
      </c>
      <c r="I63" s="6">
        <v>2</v>
      </c>
      <c r="J63" s="16">
        <f t="shared" si="0"/>
        <v>50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110</v>
      </c>
      <c r="D64" s="6"/>
      <c r="E64" s="6"/>
      <c r="F64" s="6">
        <v>1</v>
      </c>
      <c r="G64" s="6">
        <v>1</v>
      </c>
      <c r="H64" s="6">
        <v>2</v>
      </c>
      <c r="I64" s="6">
        <v>1</v>
      </c>
      <c r="J64" s="16">
        <f t="shared" si="0"/>
        <v>105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10</v>
      </c>
      <c r="D65" s="6"/>
      <c r="E65" s="6"/>
      <c r="F65" s="6"/>
      <c r="G65" s="6"/>
      <c r="H65" s="6"/>
      <c r="I65" s="6"/>
      <c r="J65" s="16">
        <f t="shared" si="0"/>
        <v>10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0"/>
        <v>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5</v>
      </c>
      <c r="D67" s="6"/>
      <c r="E67" s="6"/>
      <c r="F67" s="6"/>
      <c r="G67" s="6"/>
      <c r="H67" s="6"/>
      <c r="I67" s="6"/>
      <c r="J67" s="16">
        <f t="shared" ref="J67:J76" si="1">+C67-E67-F67-G67-H67-I67+D67</f>
        <v>5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8</v>
      </c>
      <c r="D68" s="6">
        <v>32</v>
      </c>
      <c r="E68" s="6"/>
      <c r="F68" s="6"/>
      <c r="G68" s="6">
        <v>9</v>
      </c>
      <c r="H68" s="6"/>
      <c r="I68" s="6">
        <v>1</v>
      </c>
      <c r="J68" s="16">
        <f t="shared" si="1"/>
        <v>30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15</v>
      </c>
      <c r="D69" s="6">
        <v>31</v>
      </c>
      <c r="E69" s="6"/>
      <c r="F69" s="6"/>
      <c r="G69" s="6">
        <v>18</v>
      </c>
      <c r="H69" s="6"/>
      <c r="I69" s="6">
        <v>4</v>
      </c>
      <c r="J69" s="16">
        <f t="shared" si="1"/>
        <v>24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9</v>
      </c>
      <c r="D70" s="6"/>
      <c r="E70" s="6"/>
      <c r="F70" s="6"/>
      <c r="G70" s="6"/>
      <c r="H70" s="6"/>
      <c r="I70" s="6">
        <v>2</v>
      </c>
      <c r="J70" s="16">
        <f t="shared" si="1"/>
        <v>7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15</v>
      </c>
      <c r="D71" s="6"/>
      <c r="E71" s="6"/>
      <c r="F71" s="6"/>
      <c r="G71" s="6"/>
      <c r="H71" s="6"/>
      <c r="I71" s="6">
        <v>0</v>
      </c>
      <c r="J71" s="16">
        <f t="shared" si="1"/>
        <v>15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15</v>
      </c>
      <c r="D72" s="6">
        <v>12</v>
      </c>
      <c r="E72" s="6"/>
      <c r="F72" s="6">
        <v>1</v>
      </c>
      <c r="G72" s="6"/>
      <c r="H72" s="6">
        <v>19</v>
      </c>
      <c r="I72" s="6">
        <v>1</v>
      </c>
      <c r="J72" s="16">
        <f t="shared" si="1"/>
        <v>6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120</v>
      </c>
      <c r="D73" s="6"/>
      <c r="E73" s="6"/>
      <c r="F73" s="6"/>
      <c r="G73" s="6">
        <v>8</v>
      </c>
      <c r="H73" s="6">
        <v>9</v>
      </c>
      <c r="I73" s="6"/>
      <c r="J73" s="16">
        <f t="shared" si="1"/>
        <v>103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5</v>
      </c>
      <c r="D74" s="6">
        <v>35</v>
      </c>
      <c r="E74" s="6"/>
      <c r="F74" s="6"/>
      <c r="G74" s="6"/>
      <c r="H74" s="6">
        <v>2</v>
      </c>
      <c r="I74" s="6">
        <v>3</v>
      </c>
      <c r="J74" s="16">
        <f t="shared" si="1"/>
        <v>35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0</v>
      </c>
      <c r="D75" s="6">
        <v>45</v>
      </c>
      <c r="E75" s="6"/>
      <c r="F75" s="6"/>
      <c r="G75" s="6">
        <v>0</v>
      </c>
      <c r="H75" s="6"/>
      <c r="I75" s="6">
        <v>2</v>
      </c>
      <c r="J75" s="16">
        <f t="shared" si="1"/>
        <v>43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10</v>
      </c>
      <c r="D76" s="6"/>
      <c r="E76" s="6"/>
      <c r="F76" s="6"/>
      <c r="G76" s="6"/>
      <c r="H76" s="6"/>
      <c r="I76" s="6"/>
      <c r="J76" s="16">
        <f t="shared" si="1"/>
        <v>10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B3A5-C559-4CE5-BF7F-B311DED2B391}">
  <dimension ref="A1:L76"/>
  <sheetViews>
    <sheetView topLeftCell="A45" zoomScaleNormal="100" workbookViewId="0">
      <selection activeCell="H79" sqref="H79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140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45940</v>
      </c>
      <c r="F2" s="18">
        <v>45947</v>
      </c>
      <c r="G2" s="18">
        <v>45954</v>
      </c>
      <c r="H2" s="18">
        <v>45961</v>
      </c>
      <c r="I2" s="18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/>
      <c r="E3" s="6"/>
      <c r="F3" s="6"/>
      <c r="G3" s="6"/>
      <c r="H3" s="6"/>
      <c r="I3" s="6"/>
      <c r="J3" s="16">
        <f t="shared" ref="J3:J66" si="0"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15</v>
      </c>
      <c r="D4" s="6">
        <v>40</v>
      </c>
      <c r="E4" s="6"/>
      <c r="F4" s="6">
        <v>2</v>
      </c>
      <c r="G4" s="6">
        <v>4</v>
      </c>
      <c r="H4" s="6">
        <v>20</v>
      </c>
      <c r="I4" s="6"/>
      <c r="J4" s="16">
        <f t="shared" si="0"/>
        <v>29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0</v>
      </c>
      <c r="D6" s="6"/>
      <c r="E6" s="6"/>
      <c r="F6" s="6"/>
      <c r="G6" s="6"/>
      <c r="H6" s="6"/>
      <c r="I6" s="6"/>
      <c r="J6" s="16">
        <f t="shared" si="0"/>
        <v>0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5</v>
      </c>
      <c r="D7" s="6"/>
      <c r="E7" s="6"/>
      <c r="F7" s="6"/>
      <c r="G7" s="6"/>
      <c r="H7" s="6">
        <v>5</v>
      </c>
      <c r="I7" s="6"/>
      <c r="J7" s="16">
        <f t="shared" si="0"/>
        <v>0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28</v>
      </c>
      <c r="D8" s="6"/>
      <c r="E8" s="6"/>
      <c r="F8" s="6"/>
      <c r="G8" s="6"/>
      <c r="H8" s="6"/>
      <c r="I8" s="6"/>
      <c r="J8" s="16">
        <f t="shared" si="0"/>
        <v>28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8</v>
      </c>
      <c r="D9" s="6"/>
      <c r="E9" s="6"/>
      <c r="F9" s="6">
        <v>3</v>
      </c>
      <c r="G9" s="6"/>
      <c r="H9" s="6">
        <v>5</v>
      </c>
      <c r="I9" s="6"/>
      <c r="J9" s="1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10</v>
      </c>
      <c r="D10" s="6">
        <v>15</v>
      </c>
      <c r="E10" s="6">
        <v>10</v>
      </c>
      <c r="F10" s="6">
        <v>12</v>
      </c>
      <c r="G10" s="6">
        <v>3</v>
      </c>
      <c r="H10" s="6"/>
      <c r="I10" s="6"/>
      <c r="J10" s="16">
        <f t="shared" si="0"/>
        <v>0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144</v>
      </c>
      <c r="D11" s="6"/>
      <c r="E11" s="6">
        <v>76</v>
      </c>
      <c r="F11" s="6">
        <v>4</v>
      </c>
      <c r="G11" s="6">
        <v>29</v>
      </c>
      <c r="H11" s="6">
        <v>25</v>
      </c>
      <c r="I11" s="6"/>
      <c r="J11" s="16">
        <f t="shared" si="0"/>
        <v>10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89</v>
      </c>
      <c r="D12" s="6">
        <v>211</v>
      </c>
      <c r="E12" s="6">
        <v>116</v>
      </c>
      <c r="F12" s="6">
        <v>41</v>
      </c>
      <c r="G12" s="6">
        <v>100</v>
      </c>
      <c r="H12" s="6">
        <v>43</v>
      </c>
      <c r="I12" s="6"/>
      <c r="J12" s="16">
        <f t="shared" si="0"/>
        <v>0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2</v>
      </c>
      <c r="D13" s="6">
        <v>135</v>
      </c>
      <c r="E13" s="6"/>
      <c r="F13" s="6"/>
      <c r="G13" s="6"/>
      <c r="H13" s="6"/>
      <c r="I13" s="6"/>
      <c r="J13" s="16">
        <f t="shared" si="0"/>
        <v>137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35</v>
      </c>
      <c r="D14" s="6"/>
      <c r="E14" s="6"/>
      <c r="F14" s="6">
        <v>7</v>
      </c>
      <c r="G14" s="6"/>
      <c r="H14" s="6"/>
      <c r="I14" s="6"/>
      <c r="J14" s="16">
        <f t="shared" si="0"/>
        <v>28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67</v>
      </c>
      <c r="D15" s="6"/>
      <c r="E15" s="6"/>
      <c r="F15" s="6"/>
      <c r="G15" s="6">
        <v>5</v>
      </c>
      <c r="H15" s="6"/>
      <c r="I15" s="6"/>
      <c r="J15" s="16">
        <f t="shared" si="0"/>
        <v>62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120</v>
      </c>
      <c r="D16" s="6"/>
      <c r="E16" s="6"/>
      <c r="F16" s="6"/>
      <c r="G16" s="6"/>
      <c r="H16" s="6"/>
      <c r="I16" s="6"/>
      <c r="J16" s="16">
        <f t="shared" si="0"/>
        <v>120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146</v>
      </c>
      <c r="D17" s="6">
        <v>93</v>
      </c>
      <c r="E17" s="6">
        <v>7</v>
      </c>
      <c r="F17" s="6">
        <v>16</v>
      </c>
      <c r="G17" s="6">
        <v>18</v>
      </c>
      <c r="H17" s="6">
        <v>3</v>
      </c>
      <c r="I17" s="6"/>
      <c r="J17" s="16">
        <f t="shared" si="0"/>
        <v>195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419</v>
      </c>
      <c r="D18" s="6">
        <v>78</v>
      </c>
      <c r="E18" s="6"/>
      <c r="F18" s="6">
        <v>4</v>
      </c>
      <c r="G18" s="6">
        <v>10</v>
      </c>
      <c r="H18" s="6">
        <v>2</v>
      </c>
      <c r="I18" s="6"/>
      <c r="J18" s="16">
        <f t="shared" si="0"/>
        <v>481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18</v>
      </c>
      <c r="D19" s="6"/>
      <c r="E19" s="6"/>
      <c r="F19" s="6"/>
      <c r="G19" s="6">
        <v>1</v>
      </c>
      <c r="H19" s="6">
        <v>2</v>
      </c>
      <c r="I19" s="6"/>
      <c r="J19" s="16">
        <f t="shared" si="0"/>
        <v>15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30</v>
      </c>
      <c r="D20" s="6"/>
      <c r="E20" s="6"/>
      <c r="F20" s="6"/>
      <c r="G20" s="6">
        <v>2</v>
      </c>
      <c r="H20" s="6"/>
      <c r="I20" s="6"/>
      <c r="J20" s="16">
        <f t="shared" si="0"/>
        <v>28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54</v>
      </c>
      <c r="D21" s="6"/>
      <c r="E21" s="6"/>
      <c r="F21" s="6"/>
      <c r="G21" s="6"/>
      <c r="H21" s="6">
        <v>1</v>
      </c>
      <c r="I21" s="6"/>
      <c r="J21" s="16">
        <f t="shared" si="0"/>
        <v>53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14</v>
      </c>
      <c r="D22" s="6"/>
      <c r="E22" s="6"/>
      <c r="F22" s="6"/>
      <c r="G22" s="6"/>
      <c r="H22" s="6">
        <v>4</v>
      </c>
      <c r="I22" s="6"/>
      <c r="J22" s="16">
        <f t="shared" si="0"/>
        <v>10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/>
      <c r="E23" s="6"/>
      <c r="F23" s="6"/>
      <c r="G23" s="6"/>
      <c r="H23" s="6"/>
      <c r="I23" s="6"/>
      <c r="J23" s="16">
        <f t="shared" si="0"/>
        <v>0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38</v>
      </c>
      <c r="D24" s="6"/>
      <c r="E24" s="6"/>
      <c r="F24" s="6"/>
      <c r="G24" s="6"/>
      <c r="H24" s="6"/>
      <c r="I24" s="6"/>
      <c r="J24" s="1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225</v>
      </c>
      <c r="D26" s="6"/>
      <c r="E26" s="6"/>
      <c r="F26" s="6"/>
      <c r="G26" s="6">
        <v>12</v>
      </c>
      <c r="H26" s="6"/>
      <c r="I26" s="6"/>
      <c r="J26" s="16">
        <f t="shared" si="0"/>
        <v>213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20</v>
      </c>
      <c r="D27" s="6">
        <v>15</v>
      </c>
      <c r="E27" s="6"/>
      <c r="F27" s="6">
        <v>0</v>
      </c>
      <c r="G27" s="6">
        <v>15</v>
      </c>
      <c r="H27" s="6">
        <v>12</v>
      </c>
      <c r="I27" s="6"/>
      <c r="J27" s="16">
        <f t="shared" si="0"/>
        <v>8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0</v>
      </c>
      <c r="D28" s="6">
        <v>356</v>
      </c>
      <c r="E28" s="6"/>
      <c r="F28" s="6"/>
      <c r="G28" s="6"/>
      <c r="H28" s="6"/>
      <c r="I28" s="6"/>
      <c r="J28" s="16">
        <f t="shared" si="0"/>
        <v>356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74</v>
      </c>
      <c r="D31" s="6"/>
      <c r="E31" s="6"/>
      <c r="F31" s="6"/>
      <c r="G31" s="6"/>
      <c r="H31" s="6"/>
      <c r="I31" s="6"/>
      <c r="J31" s="16">
        <f t="shared" si="0"/>
        <v>74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280</v>
      </c>
      <c r="D32" s="6"/>
      <c r="E32" s="6"/>
      <c r="F32" s="6"/>
      <c r="G32" s="6"/>
      <c r="H32" s="6"/>
      <c r="I32" s="6"/>
      <c r="J32" s="16">
        <f t="shared" si="0"/>
        <v>280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0</v>
      </c>
      <c r="D33" s="6"/>
      <c r="E33" s="6"/>
      <c r="F33" s="6"/>
      <c r="G33" s="6"/>
      <c r="H33" s="6"/>
      <c r="I33" s="6"/>
      <c r="J33" s="16">
        <f t="shared" si="0"/>
        <v>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46</v>
      </c>
      <c r="D34" s="6"/>
      <c r="E34" s="6"/>
      <c r="F34" s="6"/>
      <c r="G34" s="6"/>
      <c r="H34" s="6"/>
      <c r="I34" s="6"/>
      <c r="J34" s="16">
        <f t="shared" si="0"/>
        <v>46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/>
      <c r="E35" s="6"/>
      <c r="F35" s="6"/>
      <c r="G35" s="6"/>
      <c r="H35" s="6"/>
      <c r="I35" s="6"/>
      <c r="J35" s="16">
        <f t="shared" si="0"/>
        <v>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/>
      <c r="E36" s="6"/>
      <c r="F36" s="6"/>
      <c r="G36" s="6"/>
      <c r="H36" s="6"/>
      <c r="I36" s="6"/>
      <c r="J36" s="16">
        <f t="shared" si="0"/>
        <v>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19</v>
      </c>
      <c r="D37" s="6"/>
      <c r="E37" s="6"/>
      <c r="F37" s="6"/>
      <c r="G37" s="6"/>
      <c r="H37" s="6"/>
      <c r="I37" s="6"/>
      <c r="J37" s="16">
        <f t="shared" si="0"/>
        <v>19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10</v>
      </c>
      <c r="D38" s="6"/>
      <c r="E38" s="6"/>
      <c r="F38" s="6"/>
      <c r="G38" s="6"/>
      <c r="H38" s="6"/>
      <c r="I38" s="6"/>
      <c r="J38" s="16">
        <f t="shared" si="0"/>
        <v>10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28</v>
      </c>
      <c r="D39" s="6"/>
      <c r="E39" s="6"/>
      <c r="F39" s="6"/>
      <c r="G39" s="6"/>
      <c r="H39" s="6"/>
      <c r="I39" s="6"/>
      <c r="J39" s="16">
        <f t="shared" si="0"/>
        <v>28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8</v>
      </c>
      <c r="D40" s="6">
        <v>35</v>
      </c>
      <c r="E40" s="6"/>
      <c r="F40" s="6">
        <v>2</v>
      </c>
      <c r="G40" s="6">
        <v>2</v>
      </c>
      <c r="H40" s="6"/>
      <c r="I40" s="6"/>
      <c r="J40" s="16">
        <f t="shared" si="0"/>
        <v>39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60</v>
      </c>
      <c r="D41" s="6"/>
      <c r="E41" s="6">
        <v>20</v>
      </c>
      <c r="F41" s="6"/>
      <c r="G41" s="6">
        <v>20</v>
      </c>
      <c r="H41" s="6"/>
      <c r="I41" s="6"/>
      <c r="J41" s="16">
        <f t="shared" si="0"/>
        <v>20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0</v>
      </c>
      <c r="D42" s="6"/>
      <c r="E42" s="6"/>
      <c r="F42" s="6"/>
      <c r="G42" s="6"/>
      <c r="H42" s="6"/>
      <c r="I42" s="6"/>
      <c r="J42" s="16">
        <f t="shared" si="0"/>
        <v>0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368</v>
      </c>
      <c r="D43" s="6"/>
      <c r="E43" s="6"/>
      <c r="F43" s="6"/>
      <c r="G43" s="6">
        <v>8</v>
      </c>
      <c r="H43" s="6">
        <v>20</v>
      </c>
      <c r="I43" s="6"/>
      <c r="J43" s="16">
        <f t="shared" si="0"/>
        <v>340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25</v>
      </c>
      <c r="D46" s="6"/>
      <c r="E46" s="6"/>
      <c r="F46" s="6"/>
      <c r="G46" s="6"/>
      <c r="H46" s="6"/>
      <c r="I46" s="6"/>
      <c r="J46" s="16">
        <f t="shared" si="0"/>
        <v>25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8</v>
      </c>
      <c r="D47" s="6"/>
      <c r="E47" s="6"/>
      <c r="F47" s="6"/>
      <c r="G47" s="6"/>
      <c r="H47" s="6">
        <v>4</v>
      </c>
      <c r="I47" s="6"/>
      <c r="J47" s="16">
        <f t="shared" si="0"/>
        <v>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92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0</v>
      </c>
      <c r="L48" s="14">
        <v>0</v>
      </c>
    </row>
    <row r="49" spans="1:12" x14ac:dyDescent="0.25">
      <c r="A49" s="6">
        <v>47</v>
      </c>
      <c r="B49" s="7" t="s">
        <v>95</v>
      </c>
      <c r="C49" s="6">
        <v>174</v>
      </c>
      <c r="D49" s="6"/>
      <c r="E49" s="6">
        <v>3</v>
      </c>
      <c r="F49" s="6">
        <v>10</v>
      </c>
      <c r="G49" s="6"/>
      <c r="H49" s="6"/>
      <c r="I49" s="6"/>
      <c r="J49" s="16">
        <f t="shared" si="0"/>
        <v>161</v>
      </c>
      <c r="K49" s="13">
        <v>150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43</v>
      </c>
      <c r="D50" s="6">
        <v>60</v>
      </c>
      <c r="E50" s="6"/>
      <c r="F50" s="6">
        <v>3</v>
      </c>
      <c r="G50" s="6"/>
      <c r="H50" s="6"/>
      <c r="I50" s="6"/>
      <c r="J50" s="16">
        <f t="shared" si="0"/>
        <v>100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</v>
      </c>
      <c r="D51" s="6">
        <v>26</v>
      </c>
      <c r="E51" s="6"/>
      <c r="F51" s="6">
        <v>3</v>
      </c>
      <c r="G51" s="6"/>
      <c r="H51" s="6"/>
      <c r="I51" s="6"/>
      <c r="J51" s="16">
        <f t="shared" si="0"/>
        <v>25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/>
      <c r="F52" s="6"/>
      <c r="G52" s="6"/>
      <c r="H52" s="6"/>
      <c r="I52" s="6"/>
      <c r="J52" s="16">
        <f t="shared" si="0"/>
        <v>20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25</v>
      </c>
      <c r="D53" s="6"/>
      <c r="E53" s="6"/>
      <c r="F53" s="6"/>
      <c r="G53" s="6">
        <v>2</v>
      </c>
      <c r="H53" s="6"/>
      <c r="I53" s="6"/>
      <c r="J53" s="16">
        <f t="shared" si="0"/>
        <v>23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139</v>
      </c>
      <c r="C54" s="6">
        <v>8</v>
      </c>
      <c r="D54" s="6"/>
      <c r="E54" s="6"/>
      <c r="F54" s="6"/>
      <c r="G54" s="6"/>
      <c r="H54" s="6"/>
      <c r="I54" s="6"/>
      <c r="J54" s="16">
        <f t="shared" si="0"/>
        <v>8</v>
      </c>
      <c r="K54" s="13">
        <v>0</v>
      </c>
      <c r="L54" s="14"/>
    </row>
    <row r="55" spans="1:12" x14ac:dyDescent="0.25">
      <c r="A55" s="6">
        <v>55</v>
      </c>
      <c r="B55" s="7" t="s">
        <v>92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44</v>
      </c>
      <c r="D56" s="6"/>
      <c r="E56" s="6"/>
      <c r="F56" s="6"/>
      <c r="G56" s="6"/>
      <c r="H56" s="6"/>
      <c r="I56" s="6"/>
      <c r="J56" s="16">
        <f t="shared" si="0"/>
        <v>44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19</v>
      </c>
      <c r="D58" s="6"/>
      <c r="E58" s="6"/>
      <c r="F58" s="6">
        <v>2</v>
      </c>
      <c r="G58" s="6"/>
      <c r="H58" s="6"/>
      <c r="I58" s="6"/>
      <c r="J58" s="16">
        <f t="shared" si="0"/>
        <v>17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78</v>
      </c>
      <c r="D59" s="6"/>
      <c r="E59" s="6"/>
      <c r="F59" s="6">
        <v>4</v>
      </c>
      <c r="G59" s="6"/>
      <c r="H59" s="6"/>
      <c r="I59" s="6"/>
      <c r="J59" s="16">
        <f t="shared" si="0"/>
        <v>74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250</v>
      </c>
      <c r="D62" s="6"/>
      <c r="E62" s="6"/>
      <c r="F62" s="6"/>
      <c r="G62" s="6"/>
      <c r="H62" s="6"/>
      <c r="I62" s="6"/>
      <c r="J62" s="16">
        <f t="shared" si="0"/>
        <v>250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50</v>
      </c>
      <c r="D63" s="6"/>
      <c r="E63" s="6"/>
      <c r="F63" s="6">
        <v>6</v>
      </c>
      <c r="G63" s="6">
        <v>2</v>
      </c>
      <c r="H63" s="6">
        <v>4</v>
      </c>
      <c r="I63" s="6"/>
      <c r="J63" s="16">
        <f t="shared" si="0"/>
        <v>38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105</v>
      </c>
      <c r="D64" s="6"/>
      <c r="E64" s="6"/>
      <c r="F64" s="6"/>
      <c r="G64" s="6">
        <v>4</v>
      </c>
      <c r="H64" s="6">
        <v>1</v>
      </c>
      <c r="I64" s="6"/>
      <c r="J64" s="16">
        <f t="shared" si="0"/>
        <v>100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10</v>
      </c>
      <c r="D65" s="6"/>
      <c r="E65" s="6"/>
      <c r="F65" s="6"/>
      <c r="G65" s="6"/>
      <c r="H65" s="6">
        <v>0</v>
      </c>
      <c r="I65" s="6"/>
      <c r="J65" s="16">
        <f t="shared" si="0"/>
        <v>10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0"/>
        <v>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5</v>
      </c>
      <c r="D67" s="6"/>
      <c r="E67" s="6"/>
      <c r="F67" s="6"/>
      <c r="G67" s="6"/>
      <c r="H67" s="6"/>
      <c r="I67" s="6"/>
      <c r="J67" s="16">
        <f t="shared" ref="J67:J76" si="1">+C67-E67-F67-G67-H67-I67+D67</f>
        <v>5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30</v>
      </c>
      <c r="D68" s="6"/>
      <c r="E68" s="6"/>
      <c r="F68" s="6"/>
      <c r="G68" s="6"/>
      <c r="H68" s="6">
        <v>2</v>
      </c>
      <c r="I68" s="6"/>
      <c r="J68" s="16">
        <f t="shared" si="1"/>
        <v>28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24</v>
      </c>
      <c r="D69" s="6"/>
      <c r="E69" s="6"/>
      <c r="F69" s="6"/>
      <c r="G69" s="6"/>
      <c r="H69" s="6"/>
      <c r="I69" s="6"/>
      <c r="J69" s="16">
        <f t="shared" si="1"/>
        <v>24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7</v>
      </c>
      <c r="D70" s="6"/>
      <c r="E70" s="6"/>
      <c r="F70" s="6">
        <v>2</v>
      </c>
      <c r="G70" s="6"/>
      <c r="H70" s="6">
        <v>2</v>
      </c>
      <c r="I70" s="6"/>
      <c r="J70" s="16">
        <f t="shared" si="1"/>
        <v>3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15</v>
      </c>
      <c r="D71" s="6"/>
      <c r="E71" s="6"/>
      <c r="F71" s="6"/>
      <c r="G71" s="6"/>
      <c r="H71" s="6"/>
      <c r="I71" s="6"/>
      <c r="J71" s="16">
        <f t="shared" si="1"/>
        <v>15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6</v>
      </c>
      <c r="D72" s="6">
        <v>14</v>
      </c>
      <c r="E72" s="6"/>
      <c r="F72" s="6">
        <v>10</v>
      </c>
      <c r="G72" s="6">
        <v>5</v>
      </c>
      <c r="H72" s="6">
        <v>3</v>
      </c>
      <c r="I72" s="6"/>
      <c r="J72" s="16">
        <f t="shared" si="1"/>
        <v>2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103</v>
      </c>
      <c r="D73" s="6"/>
      <c r="E73" s="6"/>
      <c r="F73" s="6"/>
      <c r="G73" s="6">
        <v>2</v>
      </c>
      <c r="H73" s="6">
        <v>5</v>
      </c>
      <c r="I73" s="6"/>
      <c r="J73" s="16">
        <f t="shared" si="1"/>
        <v>96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35</v>
      </c>
      <c r="D74" s="6"/>
      <c r="E74" s="6"/>
      <c r="F74" s="6">
        <v>2</v>
      </c>
      <c r="G74" s="6"/>
      <c r="H74" s="6"/>
      <c r="I74" s="6"/>
      <c r="J74" s="16">
        <f t="shared" si="1"/>
        <v>33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43</v>
      </c>
      <c r="D75" s="6"/>
      <c r="E75" s="6"/>
      <c r="F75" s="6">
        <v>1</v>
      </c>
      <c r="G75" s="6">
        <v>3</v>
      </c>
      <c r="H75" s="6">
        <v>1</v>
      </c>
      <c r="I75" s="6"/>
      <c r="J75" s="16">
        <f t="shared" si="1"/>
        <v>38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10</v>
      </c>
      <c r="D76" s="6"/>
      <c r="E76" s="6"/>
      <c r="F76" s="6"/>
      <c r="G76" s="6"/>
      <c r="H76" s="6"/>
      <c r="I76" s="6"/>
      <c r="J76" s="16">
        <f t="shared" si="1"/>
        <v>10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24A3-1343-4BAA-B09F-97423F95B7FF}">
  <dimension ref="A1:L76"/>
  <sheetViews>
    <sheetView topLeftCell="A42" zoomScaleNormal="100" workbookViewId="0">
      <selection activeCell="H49" sqref="H49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141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45968</v>
      </c>
      <c r="F2" s="18">
        <v>45975</v>
      </c>
      <c r="G2" s="18">
        <v>45982</v>
      </c>
      <c r="H2" s="18">
        <v>45989</v>
      </c>
      <c r="I2" s="18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/>
      <c r="E3" s="6"/>
      <c r="F3" s="6"/>
      <c r="G3" s="6"/>
      <c r="H3" s="6"/>
      <c r="I3" s="6"/>
      <c r="J3" s="16">
        <f t="shared" ref="J3:J66" si="0"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38</v>
      </c>
      <c r="D4" s="6"/>
      <c r="E4" s="6">
        <v>20</v>
      </c>
      <c r="F4" s="6">
        <v>4</v>
      </c>
      <c r="G4" s="6"/>
      <c r="H4" s="6">
        <v>14</v>
      </c>
      <c r="I4" s="6"/>
      <c r="J4" s="16">
        <f t="shared" si="0"/>
        <v>0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0</v>
      </c>
      <c r="D6" s="6"/>
      <c r="E6" s="6"/>
      <c r="F6" s="6"/>
      <c r="G6" s="6"/>
      <c r="H6" s="6"/>
      <c r="I6" s="6"/>
      <c r="J6" s="16">
        <f t="shared" si="0"/>
        <v>0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0</v>
      </c>
      <c r="D7" s="6">
        <v>46</v>
      </c>
      <c r="E7" s="6"/>
      <c r="F7" s="6">
        <v>38</v>
      </c>
      <c r="G7" s="6"/>
      <c r="H7" s="6"/>
      <c r="I7" s="6"/>
      <c r="J7" s="16">
        <f t="shared" si="0"/>
        <v>8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28</v>
      </c>
      <c r="D8" s="6"/>
      <c r="E8" s="6"/>
      <c r="F8" s="6"/>
      <c r="G8" s="6">
        <v>1</v>
      </c>
      <c r="H8" s="6"/>
      <c r="I8" s="6"/>
      <c r="J8" s="16">
        <f t="shared" si="0"/>
        <v>27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0</v>
      </c>
      <c r="D9" s="6"/>
      <c r="E9" s="6"/>
      <c r="F9" s="6"/>
      <c r="G9" s="6"/>
      <c r="H9" s="6"/>
      <c r="I9" s="6"/>
      <c r="J9" s="16">
        <f t="shared" si="0"/>
        <v>0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10</v>
      </c>
      <c r="D10" s="6">
        <v>15</v>
      </c>
      <c r="E10" s="6"/>
      <c r="F10" s="6">
        <v>5</v>
      </c>
      <c r="G10" s="6">
        <v>5</v>
      </c>
      <c r="H10" s="6"/>
      <c r="I10" s="6"/>
      <c r="J10" s="16">
        <f t="shared" si="0"/>
        <v>15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10</v>
      </c>
      <c r="D11" s="6">
        <v>183</v>
      </c>
      <c r="E11" s="6"/>
      <c r="F11" s="6">
        <v>10</v>
      </c>
      <c r="G11" s="6"/>
      <c r="H11" s="6">
        <v>8</v>
      </c>
      <c r="I11" s="6"/>
      <c r="J11" s="16">
        <f t="shared" si="0"/>
        <v>175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42</v>
      </c>
      <c r="D12" s="6">
        <v>309</v>
      </c>
      <c r="E12" s="6"/>
      <c r="F12" s="6">
        <v>10</v>
      </c>
      <c r="G12" s="6">
        <v>2</v>
      </c>
      <c r="H12" s="6">
        <v>22</v>
      </c>
      <c r="I12" s="6"/>
      <c r="J12" s="16">
        <f t="shared" si="0"/>
        <v>317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137</v>
      </c>
      <c r="D13" s="6"/>
      <c r="E13" s="6"/>
      <c r="F13" s="6"/>
      <c r="G13" s="6"/>
      <c r="H13" s="6"/>
      <c r="I13" s="6"/>
      <c r="J13" s="16">
        <f t="shared" si="0"/>
        <v>137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28</v>
      </c>
      <c r="D14" s="6"/>
      <c r="E14" s="6">
        <v>2</v>
      </c>
      <c r="F14" s="6">
        <v>2</v>
      </c>
      <c r="G14" s="6"/>
      <c r="H14" s="6"/>
      <c r="I14" s="6"/>
      <c r="J14" s="16">
        <f t="shared" si="0"/>
        <v>24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62</v>
      </c>
      <c r="D15" s="6"/>
      <c r="E15" s="6"/>
      <c r="F15" s="6"/>
      <c r="G15" s="6"/>
      <c r="H15" s="6"/>
      <c r="I15" s="6"/>
      <c r="J15" s="16">
        <f t="shared" si="0"/>
        <v>62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120</v>
      </c>
      <c r="D16" s="6"/>
      <c r="E16" s="6"/>
      <c r="F16" s="6"/>
      <c r="G16" s="6"/>
      <c r="H16" s="6"/>
      <c r="I16" s="6"/>
      <c r="J16" s="16">
        <f t="shared" si="0"/>
        <v>120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195</v>
      </c>
      <c r="D17" s="6">
        <v>4</v>
      </c>
      <c r="E17" s="6">
        <v>16</v>
      </c>
      <c r="F17" s="6">
        <v>14</v>
      </c>
      <c r="G17" s="6">
        <v>15</v>
      </c>
      <c r="H17" s="6">
        <v>15</v>
      </c>
      <c r="I17" s="6"/>
      <c r="J17" s="16">
        <f t="shared" si="0"/>
        <v>139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481</v>
      </c>
      <c r="D18" s="6">
        <v>264</v>
      </c>
      <c r="E18" s="6"/>
      <c r="F18" s="6"/>
      <c r="G18" s="6">
        <v>9</v>
      </c>
      <c r="H18" s="6"/>
      <c r="I18" s="6"/>
      <c r="J18" s="16">
        <f t="shared" si="0"/>
        <v>736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12</v>
      </c>
      <c r="D19" s="6"/>
      <c r="E19" s="6"/>
      <c r="F19" s="6">
        <v>6</v>
      </c>
      <c r="G19" s="6">
        <v>1</v>
      </c>
      <c r="H19" s="6"/>
      <c r="I19" s="6"/>
      <c r="J19" s="16">
        <f t="shared" si="0"/>
        <v>5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26</v>
      </c>
      <c r="D20" s="6"/>
      <c r="E20" s="6">
        <v>2</v>
      </c>
      <c r="F20" s="6"/>
      <c r="G20" s="6"/>
      <c r="H20" s="6"/>
      <c r="I20" s="6"/>
      <c r="J20" s="16">
        <f t="shared" si="0"/>
        <v>24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53</v>
      </c>
      <c r="D21" s="6"/>
      <c r="E21" s="6"/>
      <c r="F21" s="6"/>
      <c r="G21" s="6"/>
      <c r="H21" s="6">
        <v>8</v>
      </c>
      <c r="I21" s="6"/>
      <c r="J21" s="16">
        <f t="shared" si="0"/>
        <v>45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10</v>
      </c>
      <c r="D22" s="6"/>
      <c r="E22" s="6"/>
      <c r="F22" s="6"/>
      <c r="G22" s="6"/>
      <c r="H22" s="6">
        <v>10</v>
      </c>
      <c r="I22" s="6"/>
      <c r="J22" s="16">
        <f t="shared" si="0"/>
        <v>0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0</v>
      </c>
      <c r="D23" s="6">
        <v>15</v>
      </c>
      <c r="E23" s="6"/>
      <c r="F23" s="6"/>
      <c r="G23" s="6"/>
      <c r="H23" s="6"/>
      <c r="I23" s="6"/>
      <c r="J23" s="16">
        <f t="shared" si="0"/>
        <v>15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38</v>
      </c>
      <c r="D24" s="6"/>
      <c r="E24" s="6"/>
      <c r="F24" s="6"/>
      <c r="G24" s="6"/>
      <c r="H24" s="6"/>
      <c r="I24" s="6"/>
      <c r="J24" s="16">
        <f t="shared" si="0"/>
        <v>38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213</v>
      </c>
      <c r="D26" s="6"/>
      <c r="E26" s="6"/>
      <c r="F26" s="6"/>
      <c r="G26" s="6"/>
      <c r="H26" s="6">
        <v>10</v>
      </c>
      <c r="I26" s="6"/>
      <c r="J26" s="16">
        <f t="shared" si="0"/>
        <v>203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8</v>
      </c>
      <c r="D27" s="6">
        <v>15</v>
      </c>
      <c r="E27" s="6"/>
      <c r="F27" s="6"/>
      <c r="G27" s="6">
        <v>8</v>
      </c>
      <c r="H27" s="6">
        <v>12</v>
      </c>
      <c r="I27" s="6"/>
      <c r="J27" s="16">
        <f t="shared" si="0"/>
        <v>3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0</v>
      </c>
      <c r="D28" s="6">
        <v>420</v>
      </c>
      <c r="E28" s="6"/>
      <c r="F28" s="6"/>
      <c r="G28" s="6"/>
      <c r="H28" s="6"/>
      <c r="I28" s="6"/>
      <c r="J28" s="16">
        <f t="shared" si="0"/>
        <v>420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>
        <v>0</v>
      </c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74</v>
      </c>
      <c r="D31" s="6"/>
      <c r="E31" s="6"/>
      <c r="F31" s="6"/>
      <c r="G31" s="6"/>
      <c r="H31" s="6"/>
      <c r="I31" s="6"/>
      <c r="J31" s="16">
        <f t="shared" si="0"/>
        <v>74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280</v>
      </c>
      <c r="D32" s="6"/>
      <c r="E32" s="6"/>
      <c r="F32" s="6"/>
      <c r="G32" s="6"/>
      <c r="H32" s="6"/>
      <c r="I32" s="6"/>
      <c r="J32" s="16">
        <f t="shared" si="0"/>
        <v>280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0</v>
      </c>
      <c r="D33" s="6"/>
      <c r="E33" s="6"/>
      <c r="F33" s="6"/>
      <c r="G33" s="6"/>
      <c r="H33" s="6"/>
      <c r="I33" s="6"/>
      <c r="J33" s="16">
        <f t="shared" si="0"/>
        <v>0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46</v>
      </c>
      <c r="D34" s="6"/>
      <c r="E34" s="6"/>
      <c r="F34" s="6"/>
      <c r="G34" s="6"/>
      <c r="H34" s="6"/>
      <c r="I34" s="6"/>
      <c r="J34" s="16">
        <f t="shared" si="0"/>
        <v>46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0</v>
      </c>
      <c r="D35" s="6">
        <v>10</v>
      </c>
      <c r="E35" s="6"/>
      <c r="F35" s="6"/>
      <c r="G35" s="6"/>
      <c r="H35" s="6"/>
      <c r="I35" s="6"/>
      <c r="J35" s="16">
        <f t="shared" si="0"/>
        <v>10</v>
      </c>
      <c r="K35" s="13">
        <v>0</v>
      </c>
      <c r="L35" s="14"/>
    </row>
    <row r="36" spans="1:12" x14ac:dyDescent="0.25">
      <c r="A36" s="6">
        <v>34</v>
      </c>
      <c r="B36" s="7" t="s">
        <v>130</v>
      </c>
      <c r="C36" s="6">
        <v>0</v>
      </c>
      <c r="D36" s="6">
        <v>10</v>
      </c>
      <c r="E36" s="6"/>
      <c r="F36" s="6"/>
      <c r="G36" s="6"/>
      <c r="H36" s="6"/>
      <c r="I36" s="6"/>
      <c r="J36" s="16">
        <f t="shared" si="0"/>
        <v>10</v>
      </c>
      <c r="K36" s="13">
        <v>0</v>
      </c>
      <c r="L36" s="14"/>
    </row>
    <row r="37" spans="1:12" x14ac:dyDescent="0.25">
      <c r="A37" s="6">
        <v>35</v>
      </c>
      <c r="B37" s="7" t="s">
        <v>65</v>
      </c>
      <c r="C37" s="6">
        <v>19</v>
      </c>
      <c r="D37" s="6"/>
      <c r="E37" s="6"/>
      <c r="F37" s="6"/>
      <c r="G37" s="6"/>
      <c r="H37" s="6"/>
      <c r="I37" s="6"/>
      <c r="J37" s="16">
        <f t="shared" si="0"/>
        <v>19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10</v>
      </c>
      <c r="D38" s="6"/>
      <c r="E38" s="6"/>
      <c r="F38" s="6"/>
      <c r="G38" s="6"/>
      <c r="H38" s="6"/>
      <c r="I38" s="6"/>
      <c r="J38" s="16">
        <f t="shared" si="0"/>
        <v>10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28</v>
      </c>
      <c r="D39" s="6">
        <v>6</v>
      </c>
      <c r="E39" s="6"/>
      <c r="F39" s="6"/>
      <c r="G39" s="6">
        <v>34</v>
      </c>
      <c r="H39" s="6"/>
      <c r="I39" s="6"/>
      <c r="J39" s="16">
        <f t="shared" si="0"/>
        <v>0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39</v>
      </c>
      <c r="D40" s="6"/>
      <c r="E40" s="6">
        <v>1</v>
      </c>
      <c r="F40" s="6"/>
      <c r="G40" s="6">
        <v>22</v>
      </c>
      <c r="H40" s="6"/>
      <c r="I40" s="6"/>
      <c r="J40" s="16">
        <f t="shared" si="0"/>
        <v>16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20</v>
      </c>
      <c r="D41" s="6"/>
      <c r="E41" s="6"/>
      <c r="F41" s="6"/>
      <c r="G41" s="6"/>
      <c r="H41" s="6"/>
      <c r="I41" s="6"/>
      <c r="J41" s="16">
        <f t="shared" si="0"/>
        <v>20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6</v>
      </c>
      <c r="D42" s="6">
        <v>9</v>
      </c>
      <c r="E42" s="6"/>
      <c r="F42" s="6"/>
      <c r="G42" s="6">
        <v>15</v>
      </c>
      <c r="H42" s="6"/>
      <c r="I42" s="6"/>
      <c r="J42" s="16">
        <f t="shared" si="0"/>
        <v>0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340</v>
      </c>
      <c r="D43" s="6"/>
      <c r="E43" s="6"/>
      <c r="F43" s="6"/>
      <c r="G43" s="6"/>
      <c r="H43" s="6">
        <v>51</v>
      </c>
      <c r="I43" s="6"/>
      <c r="J43" s="16">
        <f t="shared" si="0"/>
        <v>289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25</v>
      </c>
      <c r="D46" s="6"/>
      <c r="E46" s="6">
        <v>3</v>
      </c>
      <c r="F46" s="6"/>
      <c r="G46" s="6"/>
      <c r="H46" s="6"/>
      <c r="I46" s="6"/>
      <c r="J46" s="16">
        <f t="shared" si="0"/>
        <v>22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4</v>
      </c>
      <c r="D47" s="6"/>
      <c r="E47" s="6"/>
      <c r="F47" s="6">
        <v>2</v>
      </c>
      <c r="G47" s="6"/>
      <c r="H47" s="6"/>
      <c r="I47" s="6"/>
      <c r="J47" s="16">
        <f t="shared" si="0"/>
        <v>2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92</v>
      </c>
      <c r="C48" s="6">
        <v>0</v>
      </c>
      <c r="D48" s="6"/>
      <c r="E48" s="6"/>
      <c r="F48" s="6"/>
      <c r="G48" s="6"/>
      <c r="H48" s="6"/>
      <c r="I48" s="6"/>
      <c r="J48" s="16">
        <f t="shared" si="0"/>
        <v>0</v>
      </c>
      <c r="K48" s="13">
        <v>0</v>
      </c>
      <c r="L48" s="14">
        <v>0</v>
      </c>
    </row>
    <row r="49" spans="1:12" x14ac:dyDescent="0.25">
      <c r="A49" s="6">
        <v>47</v>
      </c>
      <c r="B49" s="7" t="s">
        <v>95</v>
      </c>
      <c r="C49" s="6">
        <v>157</v>
      </c>
      <c r="D49" s="6"/>
      <c r="E49" s="6"/>
      <c r="F49" s="6"/>
      <c r="G49" s="6">
        <v>55</v>
      </c>
      <c r="H49" s="6">
        <v>12</v>
      </c>
      <c r="I49" s="6"/>
      <c r="J49" s="16">
        <f t="shared" si="0"/>
        <v>90</v>
      </c>
      <c r="K49" s="13">
        <v>150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100</v>
      </c>
      <c r="D50" s="6"/>
      <c r="E50" s="6">
        <v>6</v>
      </c>
      <c r="F50" s="6">
        <v>11</v>
      </c>
      <c r="G50" s="6"/>
      <c r="H50" s="6"/>
      <c r="I50" s="6"/>
      <c r="J50" s="16">
        <f t="shared" si="0"/>
        <v>83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25</v>
      </c>
      <c r="D51" s="6"/>
      <c r="E51" s="6">
        <v>4</v>
      </c>
      <c r="F51" s="6">
        <v>3</v>
      </c>
      <c r="G51" s="6"/>
      <c r="H51" s="6">
        <v>4</v>
      </c>
      <c r="I51" s="6"/>
      <c r="J51" s="16">
        <f t="shared" si="0"/>
        <v>14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20</v>
      </c>
      <c r="D52" s="6"/>
      <c r="E52" s="6">
        <v>2</v>
      </c>
      <c r="F52" s="6">
        <v>4</v>
      </c>
      <c r="G52" s="6"/>
      <c r="H52" s="6">
        <v>6</v>
      </c>
      <c r="I52" s="6"/>
      <c r="J52" s="16">
        <f t="shared" si="0"/>
        <v>8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23</v>
      </c>
      <c r="D53" s="6"/>
      <c r="E53" s="6"/>
      <c r="F53" s="6"/>
      <c r="G53" s="6">
        <v>1</v>
      </c>
      <c r="H53" s="6"/>
      <c r="I53" s="6"/>
      <c r="J53" s="16">
        <f t="shared" si="0"/>
        <v>22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139</v>
      </c>
      <c r="C54" s="6">
        <v>8</v>
      </c>
      <c r="D54" s="6"/>
      <c r="E54" s="6"/>
      <c r="F54" s="6"/>
      <c r="G54" s="6"/>
      <c r="H54" s="6"/>
      <c r="I54" s="6"/>
      <c r="J54" s="16">
        <f t="shared" si="0"/>
        <v>8</v>
      </c>
      <c r="K54" s="13">
        <v>0</v>
      </c>
      <c r="L54" s="14"/>
    </row>
    <row r="55" spans="1:12" x14ac:dyDescent="0.25">
      <c r="A55" s="6">
        <v>55</v>
      </c>
      <c r="B55" s="7" t="s">
        <v>92</v>
      </c>
      <c r="C55" s="6">
        <v>0</v>
      </c>
      <c r="D55" s="6"/>
      <c r="E55" s="6"/>
      <c r="F55" s="6"/>
      <c r="G55" s="6"/>
      <c r="H55" s="6"/>
      <c r="I55" s="6"/>
      <c r="J55" s="16">
        <f t="shared" si="0"/>
        <v>0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44</v>
      </c>
      <c r="D56" s="6"/>
      <c r="E56" s="6"/>
      <c r="F56" s="6">
        <v>2</v>
      </c>
      <c r="G56" s="6"/>
      <c r="H56" s="6">
        <v>1</v>
      </c>
      <c r="I56" s="6"/>
      <c r="J56" s="16">
        <f t="shared" si="0"/>
        <v>41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17</v>
      </c>
      <c r="D58" s="6"/>
      <c r="E58" s="6"/>
      <c r="F58" s="6">
        <v>4</v>
      </c>
      <c r="G58" s="6">
        <v>1</v>
      </c>
      <c r="H58" s="6">
        <v>2</v>
      </c>
      <c r="I58" s="6"/>
      <c r="J58" s="16">
        <f t="shared" si="0"/>
        <v>10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74</v>
      </c>
      <c r="D59" s="6"/>
      <c r="E59" s="6"/>
      <c r="F59" s="6"/>
      <c r="G59" s="6"/>
      <c r="H59" s="6"/>
      <c r="I59" s="6"/>
      <c r="J59" s="16">
        <f t="shared" si="0"/>
        <v>74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250</v>
      </c>
      <c r="D62" s="6"/>
      <c r="E62" s="6"/>
      <c r="F62" s="6"/>
      <c r="G62" s="6"/>
      <c r="H62" s="6"/>
      <c r="I62" s="6"/>
      <c r="J62" s="16">
        <f t="shared" si="0"/>
        <v>250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38</v>
      </c>
      <c r="D63" s="6"/>
      <c r="E63" s="6"/>
      <c r="F63" s="6">
        <v>1</v>
      </c>
      <c r="G63" s="6">
        <v>3</v>
      </c>
      <c r="H63" s="6">
        <v>4</v>
      </c>
      <c r="I63" s="6"/>
      <c r="J63" s="16">
        <f t="shared" si="0"/>
        <v>30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100</v>
      </c>
      <c r="D64" s="6"/>
      <c r="E64" s="6"/>
      <c r="F64" s="6">
        <v>3</v>
      </c>
      <c r="G64" s="6">
        <v>2</v>
      </c>
      <c r="H64" s="6">
        <v>6</v>
      </c>
      <c r="I64" s="6"/>
      <c r="J64" s="16">
        <f t="shared" si="0"/>
        <v>89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10</v>
      </c>
      <c r="D65" s="6"/>
      <c r="E65" s="6"/>
      <c r="F65" s="6">
        <v>2</v>
      </c>
      <c r="G65" s="6">
        <v>4</v>
      </c>
      <c r="H65" s="6"/>
      <c r="I65" s="6"/>
      <c r="J65" s="16">
        <f t="shared" si="0"/>
        <v>4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0"/>
        <v>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5</v>
      </c>
      <c r="D67" s="6"/>
      <c r="E67" s="6"/>
      <c r="F67" s="6"/>
      <c r="G67" s="6"/>
      <c r="H67" s="6"/>
      <c r="I67" s="6"/>
      <c r="J67" s="16">
        <f t="shared" ref="J67:J76" si="1">+C67-E67-F67-G67-H67-I67+D67</f>
        <v>5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28</v>
      </c>
      <c r="D68" s="6"/>
      <c r="E68" s="6"/>
      <c r="F68" s="6">
        <v>2</v>
      </c>
      <c r="G68" s="6">
        <v>2</v>
      </c>
      <c r="H68" s="6"/>
      <c r="I68" s="6"/>
      <c r="J68" s="16">
        <f t="shared" si="1"/>
        <v>24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24</v>
      </c>
      <c r="D69" s="6"/>
      <c r="E69" s="6"/>
      <c r="F69" s="6">
        <v>1</v>
      </c>
      <c r="G69" s="6"/>
      <c r="H69" s="6"/>
      <c r="I69" s="6"/>
      <c r="J69" s="16">
        <f t="shared" si="1"/>
        <v>23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3</v>
      </c>
      <c r="D70" s="6">
        <v>11</v>
      </c>
      <c r="E70" s="6"/>
      <c r="F70" s="6">
        <v>6</v>
      </c>
      <c r="G70" s="6">
        <v>1</v>
      </c>
      <c r="H70" s="6"/>
      <c r="I70" s="6"/>
      <c r="J70" s="16">
        <f t="shared" si="1"/>
        <v>7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15</v>
      </c>
      <c r="D71" s="6"/>
      <c r="E71" s="6"/>
      <c r="F71" s="6"/>
      <c r="G71" s="6"/>
      <c r="H71" s="6"/>
      <c r="I71" s="6"/>
      <c r="J71" s="16">
        <f t="shared" si="1"/>
        <v>15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2</v>
      </c>
      <c r="D72" s="6">
        <v>122</v>
      </c>
      <c r="E72" s="6"/>
      <c r="F72" s="6"/>
      <c r="G72" s="6">
        <v>3</v>
      </c>
      <c r="H72" s="6">
        <v>6</v>
      </c>
      <c r="I72" s="6"/>
      <c r="J72" s="16">
        <f t="shared" si="1"/>
        <v>115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96</v>
      </c>
      <c r="D73" s="6"/>
      <c r="E73" s="6"/>
      <c r="F73" s="6"/>
      <c r="G73" s="6"/>
      <c r="H73" s="6">
        <v>1</v>
      </c>
      <c r="I73" s="6"/>
      <c r="J73" s="16">
        <f t="shared" si="1"/>
        <v>95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33</v>
      </c>
      <c r="D74" s="6"/>
      <c r="E74" s="6"/>
      <c r="F74" s="6"/>
      <c r="G74" s="6">
        <v>3</v>
      </c>
      <c r="H74" s="6">
        <v>2</v>
      </c>
      <c r="I74" s="6"/>
      <c r="J74" s="16">
        <f t="shared" si="1"/>
        <v>28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38</v>
      </c>
      <c r="D75" s="6">
        <v>15</v>
      </c>
      <c r="E75" s="6"/>
      <c r="F75" s="6"/>
      <c r="G75" s="6"/>
      <c r="H75" s="6">
        <v>3</v>
      </c>
      <c r="I75" s="6"/>
      <c r="J75" s="16">
        <f t="shared" si="1"/>
        <v>50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10</v>
      </c>
      <c r="D76" s="6"/>
      <c r="E76" s="6"/>
      <c r="F76" s="6"/>
      <c r="G76" s="6"/>
      <c r="H76" s="6"/>
      <c r="I76" s="6"/>
      <c r="J76" s="16">
        <f t="shared" si="1"/>
        <v>10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1F9C-ABBC-4E22-8C7B-985088D4872F}">
  <dimension ref="A1:L76"/>
  <sheetViews>
    <sheetView zoomScaleNormal="100" workbookViewId="0">
      <selection activeCell="D19" sqref="D19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142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45996</v>
      </c>
      <c r="F2" s="18">
        <v>46003</v>
      </c>
      <c r="G2" s="18">
        <v>46010</v>
      </c>
      <c r="H2" s="18">
        <v>46017</v>
      </c>
      <c r="I2" s="18">
        <v>46022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14</v>
      </c>
      <c r="D3" s="6"/>
      <c r="E3" s="6"/>
      <c r="F3" s="6"/>
      <c r="G3" s="6"/>
      <c r="H3" s="6"/>
      <c r="I3" s="6">
        <v>14</v>
      </c>
      <c r="J3" s="16">
        <f t="shared" ref="J3:J66" si="0">+C3-E3-F3-G3-H3-I3+D3</f>
        <v>0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5</v>
      </c>
      <c r="D4" s="6"/>
      <c r="E4" s="6"/>
      <c r="F4" s="6"/>
      <c r="G4" s="6"/>
      <c r="H4" s="6"/>
      <c r="I4" s="6"/>
      <c r="J4" s="16">
        <f t="shared" si="0"/>
        <v>5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0</v>
      </c>
      <c r="D6" s="6">
        <v>26</v>
      </c>
      <c r="E6" s="6"/>
      <c r="F6" s="6"/>
      <c r="G6" s="6"/>
      <c r="H6" s="6"/>
      <c r="I6" s="6"/>
      <c r="J6" s="16">
        <f t="shared" si="0"/>
        <v>26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5</v>
      </c>
      <c r="D7" s="6">
        <v>62</v>
      </c>
      <c r="E7" s="6">
        <v>2</v>
      </c>
      <c r="F7" s="6">
        <v>1</v>
      </c>
      <c r="G7" s="6"/>
      <c r="H7" s="6">
        <v>15</v>
      </c>
      <c r="I7" s="6"/>
      <c r="J7" s="16">
        <f t="shared" si="0"/>
        <v>49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27</v>
      </c>
      <c r="D8" s="6"/>
      <c r="E8" s="6">
        <v>2</v>
      </c>
      <c r="F8" s="6"/>
      <c r="G8" s="6"/>
      <c r="H8" s="6"/>
      <c r="I8" s="6"/>
      <c r="J8" s="16">
        <f t="shared" si="0"/>
        <v>25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1</v>
      </c>
      <c r="D9" s="6">
        <v>3</v>
      </c>
      <c r="E9" s="6"/>
      <c r="F9" s="6"/>
      <c r="G9" s="6"/>
      <c r="H9" s="6"/>
      <c r="I9" s="6"/>
      <c r="J9" s="16">
        <f t="shared" si="0"/>
        <v>4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15</v>
      </c>
      <c r="D10" s="6"/>
      <c r="E10" s="6">
        <v>4</v>
      </c>
      <c r="F10" s="6">
        <v>2</v>
      </c>
      <c r="G10" s="6"/>
      <c r="H10" s="6"/>
      <c r="I10" s="6"/>
      <c r="J10" s="16">
        <f t="shared" si="0"/>
        <v>9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170</v>
      </c>
      <c r="D11" s="6">
        <v>38</v>
      </c>
      <c r="E11" s="6">
        <v>10</v>
      </c>
      <c r="F11" s="6"/>
      <c r="G11" s="6">
        <v>4</v>
      </c>
      <c r="H11" s="6"/>
      <c r="I11" s="6"/>
      <c r="J11" s="16">
        <f t="shared" si="0"/>
        <v>194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190</v>
      </c>
      <c r="D12" s="6">
        <v>234</v>
      </c>
      <c r="E12" s="6">
        <v>30</v>
      </c>
      <c r="F12" s="6">
        <v>78</v>
      </c>
      <c r="G12" s="6">
        <v>153</v>
      </c>
      <c r="H12" s="6">
        <v>133</v>
      </c>
      <c r="I12" s="6">
        <v>11</v>
      </c>
      <c r="J12" s="16">
        <f t="shared" si="0"/>
        <v>19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137</v>
      </c>
      <c r="D13" s="6"/>
      <c r="E13" s="6"/>
      <c r="F13" s="6"/>
      <c r="G13" s="6"/>
      <c r="H13" s="6"/>
      <c r="I13" s="6"/>
      <c r="J13" s="16">
        <f t="shared" si="0"/>
        <v>137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16</v>
      </c>
      <c r="D14" s="6"/>
      <c r="E14" s="6"/>
      <c r="F14" s="6"/>
      <c r="G14" s="6"/>
      <c r="H14" s="6"/>
      <c r="I14" s="6"/>
      <c r="J14" s="16">
        <f t="shared" si="0"/>
        <v>16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62</v>
      </c>
      <c r="D15" s="6"/>
      <c r="E15" s="6"/>
      <c r="F15" s="6"/>
      <c r="G15" s="6"/>
      <c r="H15" s="6"/>
      <c r="I15" s="6"/>
      <c r="J15" s="16">
        <f t="shared" si="0"/>
        <v>62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120</v>
      </c>
      <c r="D16" s="6"/>
      <c r="E16" s="6"/>
      <c r="F16" s="6"/>
      <c r="G16" s="6"/>
      <c r="H16" s="6"/>
      <c r="I16" s="6"/>
      <c r="J16" s="16">
        <f t="shared" si="0"/>
        <v>120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139</v>
      </c>
      <c r="D17" s="6">
        <v>108</v>
      </c>
      <c r="E17" s="6">
        <v>11</v>
      </c>
      <c r="F17" s="6">
        <v>21</v>
      </c>
      <c r="G17" s="6">
        <v>16</v>
      </c>
      <c r="H17" s="6">
        <v>12</v>
      </c>
      <c r="I17" s="6">
        <v>23</v>
      </c>
      <c r="J17" s="16">
        <f t="shared" si="0"/>
        <v>164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736</v>
      </c>
      <c r="D18" s="6">
        <v>0</v>
      </c>
      <c r="E18" s="6"/>
      <c r="F18" s="6"/>
      <c r="G18" s="6">
        <v>36</v>
      </c>
      <c r="H18" s="6">
        <v>31</v>
      </c>
      <c r="I18" s="6"/>
      <c r="J18" s="16">
        <f t="shared" si="0"/>
        <v>669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5</v>
      </c>
      <c r="D19" s="6">
        <v>96</v>
      </c>
      <c r="E19" s="6">
        <v>5</v>
      </c>
      <c r="F19" s="6"/>
      <c r="G19" s="6"/>
      <c r="H19" s="6">
        <v>9</v>
      </c>
      <c r="I19" s="6"/>
      <c r="J19" s="16">
        <f t="shared" si="0"/>
        <v>87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26</v>
      </c>
      <c r="D20" s="6"/>
      <c r="E20" s="6"/>
      <c r="F20" s="6"/>
      <c r="G20" s="6"/>
      <c r="H20" s="6">
        <v>11</v>
      </c>
      <c r="I20" s="6"/>
      <c r="J20" s="16">
        <f t="shared" si="0"/>
        <v>15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40</v>
      </c>
      <c r="D21" s="6">
        <v>40</v>
      </c>
      <c r="E21" s="6">
        <v>4</v>
      </c>
      <c r="F21" s="6"/>
      <c r="G21" s="6"/>
      <c r="H21" s="6">
        <v>3</v>
      </c>
      <c r="I21" s="6">
        <v>43</v>
      </c>
      <c r="J21" s="16">
        <f t="shared" si="0"/>
        <v>30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0</v>
      </c>
      <c r="D22" s="6">
        <v>59</v>
      </c>
      <c r="E22" s="6"/>
      <c r="F22" s="6"/>
      <c r="G22" s="6">
        <v>5</v>
      </c>
      <c r="H22" s="6">
        <v>2</v>
      </c>
      <c r="I22" s="6">
        <v>2</v>
      </c>
      <c r="J22" s="16">
        <f t="shared" si="0"/>
        <v>50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15</v>
      </c>
      <c r="D23" s="6"/>
      <c r="E23" s="6"/>
      <c r="F23" s="6"/>
      <c r="G23" s="6"/>
      <c r="H23" s="6"/>
      <c r="I23" s="6"/>
      <c r="J23" s="16">
        <f t="shared" si="0"/>
        <v>15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27</v>
      </c>
      <c r="D24" s="6"/>
      <c r="E24" s="6"/>
      <c r="F24" s="6"/>
      <c r="G24" s="6"/>
      <c r="H24" s="6"/>
      <c r="I24" s="6"/>
      <c r="J24" s="16">
        <f t="shared" si="0"/>
        <v>27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203</v>
      </c>
      <c r="D26" s="6"/>
      <c r="E26" s="6">
        <v>16</v>
      </c>
      <c r="F26" s="6">
        <v>3</v>
      </c>
      <c r="G26" s="6"/>
      <c r="H26" s="6"/>
      <c r="I26" s="6"/>
      <c r="J26" s="16">
        <f t="shared" si="0"/>
        <v>184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3</v>
      </c>
      <c r="D27" s="6">
        <v>15</v>
      </c>
      <c r="E27" s="6"/>
      <c r="F27" s="6"/>
      <c r="G27" s="6"/>
      <c r="H27" s="6"/>
      <c r="I27" s="6"/>
      <c r="J27" s="16">
        <f t="shared" si="0"/>
        <v>18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420</v>
      </c>
      <c r="D28" s="6">
        <v>150</v>
      </c>
      <c r="E28" s="6"/>
      <c r="F28" s="6"/>
      <c r="G28" s="6"/>
      <c r="H28" s="6"/>
      <c r="I28" s="6"/>
      <c r="J28" s="16">
        <f t="shared" si="0"/>
        <v>570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0</v>
      </c>
      <c r="D31" s="6">
        <v>148</v>
      </c>
      <c r="E31" s="6">
        <v>48</v>
      </c>
      <c r="F31" s="6"/>
      <c r="G31" s="6">
        <v>30</v>
      </c>
      <c r="H31" s="6"/>
      <c r="I31" s="6"/>
      <c r="J31" s="16">
        <f t="shared" si="0"/>
        <v>70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280</v>
      </c>
      <c r="D32" s="6"/>
      <c r="E32" s="6"/>
      <c r="F32" s="6"/>
      <c r="G32" s="6"/>
      <c r="H32" s="6"/>
      <c r="I32" s="6"/>
      <c r="J32" s="16">
        <f t="shared" si="0"/>
        <v>280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0</v>
      </c>
      <c r="D33" s="6">
        <v>3</v>
      </c>
      <c r="E33" s="6"/>
      <c r="F33" s="6"/>
      <c r="G33" s="6"/>
      <c r="H33" s="6"/>
      <c r="I33" s="6"/>
      <c r="J33" s="16">
        <f t="shared" si="0"/>
        <v>3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46</v>
      </c>
      <c r="D34" s="6"/>
      <c r="E34" s="6"/>
      <c r="F34" s="6"/>
      <c r="G34" s="6"/>
      <c r="H34" s="6"/>
      <c r="I34" s="6"/>
      <c r="J34" s="16">
        <f t="shared" si="0"/>
        <v>46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10</v>
      </c>
      <c r="D35" s="6">
        <v>14</v>
      </c>
      <c r="E35" s="6">
        <v>10</v>
      </c>
      <c r="F35" s="6"/>
      <c r="G35" s="6"/>
      <c r="H35" s="6"/>
      <c r="I35" s="6"/>
      <c r="J35" s="16">
        <f t="shared" si="0"/>
        <v>14</v>
      </c>
      <c r="K35" s="13">
        <v>10</v>
      </c>
      <c r="L35" s="14">
        <v>10</v>
      </c>
    </row>
    <row r="36" spans="1:12" x14ac:dyDescent="0.25">
      <c r="A36" s="6">
        <v>34</v>
      </c>
      <c r="B36" s="7" t="s">
        <v>130</v>
      </c>
      <c r="C36" s="6">
        <v>10</v>
      </c>
      <c r="D36" s="6">
        <v>14</v>
      </c>
      <c r="E36" s="6">
        <v>10</v>
      </c>
      <c r="F36" s="6"/>
      <c r="G36" s="6"/>
      <c r="H36" s="6"/>
      <c r="I36" s="6"/>
      <c r="J36" s="16">
        <f t="shared" si="0"/>
        <v>14</v>
      </c>
      <c r="K36" s="13">
        <v>10</v>
      </c>
      <c r="L36" s="14">
        <v>10</v>
      </c>
    </row>
    <row r="37" spans="1:12" x14ac:dyDescent="0.25">
      <c r="A37" s="6">
        <v>35</v>
      </c>
      <c r="B37" s="7" t="s">
        <v>65</v>
      </c>
      <c r="C37" s="6">
        <v>19</v>
      </c>
      <c r="D37" s="6"/>
      <c r="E37" s="6"/>
      <c r="F37" s="6"/>
      <c r="G37" s="6"/>
      <c r="H37" s="6">
        <v>3</v>
      </c>
      <c r="I37" s="6"/>
      <c r="J37" s="16">
        <f t="shared" si="0"/>
        <v>16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10</v>
      </c>
      <c r="D38" s="6"/>
      <c r="E38" s="6"/>
      <c r="F38" s="6"/>
      <c r="G38" s="6"/>
      <c r="H38" s="6"/>
      <c r="I38" s="6"/>
      <c r="J38" s="16">
        <f t="shared" si="0"/>
        <v>10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0</v>
      </c>
      <c r="D39" s="6">
        <v>53</v>
      </c>
      <c r="E39" s="6">
        <v>5</v>
      </c>
      <c r="F39" s="6"/>
      <c r="G39" s="6"/>
      <c r="H39" s="6"/>
      <c r="I39" s="6"/>
      <c r="J39" s="16">
        <f t="shared" si="0"/>
        <v>48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16</v>
      </c>
      <c r="D40" s="6">
        <v>45</v>
      </c>
      <c r="E40" s="6"/>
      <c r="F40" s="6"/>
      <c r="G40" s="6"/>
      <c r="H40" s="6"/>
      <c r="I40" s="6"/>
      <c r="J40" s="16">
        <f t="shared" si="0"/>
        <v>61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66</v>
      </c>
      <c r="D41" s="6">
        <v>7</v>
      </c>
      <c r="E41" s="6">
        <v>11</v>
      </c>
      <c r="F41" s="6"/>
      <c r="G41" s="6"/>
      <c r="H41" s="6">
        <v>8</v>
      </c>
      <c r="I41" s="6"/>
      <c r="J41" s="16">
        <f t="shared" si="0"/>
        <v>54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11</v>
      </c>
      <c r="D42" s="6">
        <v>57</v>
      </c>
      <c r="E42" s="6"/>
      <c r="F42" s="6"/>
      <c r="G42" s="6"/>
      <c r="H42" s="6"/>
      <c r="I42" s="6"/>
      <c r="J42" s="16">
        <f t="shared" si="0"/>
        <v>68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230</v>
      </c>
      <c r="D43" s="6"/>
      <c r="E43" s="6">
        <v>23</v>
      </c>
      <c r="F43" s="6">
        <v>40</v>
      </c>
      <c r="G43" s="6"/>
      <c r="H43" s="6">
        <v>52</v>
      </c>
      <c r="I43" s="6"/>
      <c r="J43" s="16">
        <f t="shared" si="0"/>
        <v>115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22</v>
      </c>
      <c r="D46" s="6"/>
      <c r="E46" s="6"/>
      <c r="F46" s="6"/>
      <c r="G46" s="6"/>
      <c r="H46" s="6"/>
      <c r="I46" s="6"/>
      <c r="J46" s="16">
        <f t="shared" si="0"/>
        <v>22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0</v>
      </c>
      <c r="D47" s="6">
        <v>17</v>
      </c>
      <c r="E47" s="6"/>
      <c r="F47" s="6"/>
      <c r="G47" s="6"/>
      <c r="H47" s="6">
        <v>1</v>
      </c>
      <c r="I47" s="6"/>
      <c r="J47" s="16">
        <f t="shared" si="0"/>
        <v>16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144</v>
      </c>
      <c r="C48" s="6">
        <v>0</v>
      </c>
      <c r="D48" s="6">
        <v>20</v>
      </c>
      <c r="E48" s="6"/>
      <c r="F48" s="6"/>
      <c r="G48" s="6"/>
      <c r="H48" s="6"/>
      <c r="I48" s="6">
        <v>3</v>
      </c>
      <c r="J48" s="16">
        <f t="shared" si="0"/>
        <v>17</v>
      </c>
      <c r="K48" s="13">
        <v>15</v>
      </c>
      <c r="L48" s="14">
        <v>50</v>
      </c>
    </row>
    <row r="49" spans="1:12" x14ac:dyDescent="0.25">
      <c r="A49" s="6">
        <v>47</v>
      </c>
      <c r="B49" s="7" t="s">
        <v>95</v>
      </c>
      <c r="C49" s="6">
        <v>90</v>
      </c>
      <c r="D49" s="6">
        <v>296</v>
      </c>
      <c r="E49" s="6">
        <v>11</v>
      </c>
      <c r="F49" s="6"/>
      <c r="G49" s="6"/>
      <c r="H49" s="6">
        <v>28</v>
      </c>
      <c r="I49" s="6"/>
      <c r="J49" s="16">
        <f t="shared" si="0"/>
        <v>347</v>
      </c>
      <c r="K49" s="13">
        <v>150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83</v>
      </c>
      <c r="D50" s="6">
        <v>110</v>
      </c>
      <c r="E50" s="6"/>
      <c r="F50" s="6"/>
      <c r="G50" s="6"/>
      <c r="H50" s="6">
        <v>11</v>
      </c>
      <c r="I50" s="6"/>
      <c r="J50" s="16">
        <f t="shared" si="0"/>
        <v>182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14</v>
      </c>
      <c r="D51" s="6"/>
      <c r="E51" s="6"/>
      <c r="F51" s="6"/>
      <c r="G51" s="6"/>
      <c r="H51" s="6">
        <v>3</v>
      </c>
      <c r="I51" s="6"/>
      <c r="J51" s="16">
        <f t="shared" si="0"/>
        <v>11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8</v>
      </c>
      <c r="D52" s="6">
        <v>35</v>
      </c>
      <c r="E52" s="6"/>
      <c r="F52" s="6"/>
      <c r="G52" s="6"/>
      <c r="H52" s="6"/>
      <c r="I52" s="6"/>
      <c r="J52" s="16">
        <f t="shared" si="0"/>
        <v>43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22</v>
      </c>
      <c r="D53" s="6"/>
      <c r="E53" s="6"/>
      <c r="F53" s="6"/>
      <c r="G53" s="6"/>
      <c r="H53" s="6"/>
      <c r="I53" s="6"/>
      <c r="J53" s="16">
        <f t="shared" si="0"/>
        <v>22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139</v>
      </c>
      <c r="C54" s="6">
        <v>8</v>
      </c>
      <c r="D54" s="6"/>
      <c r="E54" s="6"/>
      <c r="F54" s="6"/>
      <c r="G54" s="6"/>
      <c r="H54" s="6"/>
      <c r="I54" s="6"/>
      <c r="J54" s="16">
        <f t="shared" si="0"/>
        <v>8</v>
      </c>
      <c r="K54" s="13">
        <v>0</v>
      </c>
      <c r="L54" s="14"/>
    </row>
    <row r="55" spans="1:12" x14ac:dyDescent="0.25">
      <c r="A55" s="6">
        <v>55</v>
      </c>
      <c r="B55" s="7" t="s">
        <v>143</v>
      </c>
      <c r="C55" s="6">
        <v>0</v>
      </c>
      <c r="D55" s="6">
        <v>65</v>
      </c>
      <c r="E55" s="6"/>
      <c r="F55" s="6"/>
      <c r="G55" s="6"/>
      <c r="H55" s="6"/>
      <c r="I55" s="6">
        <v>3</v>
      </c>
      <c r="J55" s="16">
        <f t="shared" si="0"/>
        <v>62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41</v>
      </c>
      <c r="D56" s="6"/>
      <c r="E56" s="6"/>
      <c r="F56" s="6"/>
      <c r="G56" s="6"/>
      <c r="H56" s="6"/>
      <c r="I56" s="6"/>
      <c r="J56" s="16">
        <f t="shared" si="0"/>
        <v>41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0</v>
      </c>
      <c r="D58" s="6">
        <v>70</v>
      </c>
      <c r="E58" s="6"/>
      <c r="F58" s="6">
        <v>2</v>
      </c>
      <c r="G58" s="6">
        <v>4</v>
      </c>
      <c r="H58" s="6">
        <v>9</v>
      </c>
      <c r="I58" s="6">
        <v>6</v>
      </c>
      <c r="J58" s="16">
        <f t="shared" si="0"/>
        <v>49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74</v>
      </c>
      <c r="D59" s="6"/>
      <c r="E59" s="6"/>
      <c r="F59" s="6"/>
      <c r="G59" s="6"/>
      <c r="H59" s="6"/>
      <c r="I59" s="6"/>
      <c r="J59" s="16">
        <f t="shared" si="0"/>
        <v>74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250</v>
      </c>
      <c r="D62" s="6"/>
      <c r="E62" s="6"/>
      <c r="F62" s="6"/>
      <c r="G62" s="6">
        <v>15</v>
      </c>
      <c r="H62" s="6">
        <v>30</v>
      </c>
      <c r="I62" s="6"/>
      <c r="J62" s="16">
        <f t="shared" si="0"/>
        <v>205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30</v>
      </c>
      <c r="D63" s="6">
        <v>30</v>
      </c>
      <c r="E63" s="6"/>
      <c r="F63" s="6">
        <v>1</v>
      </c>
      <c r="G63" s="6">
        <v>8</v>
      </c>
      <c r="H63" s="6"/>
      <c r="I63" s="6"/>
      <c r="J63" s="16">
        <f t="shared" si="0"/>
        <v>51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89</v>
      </c>
      <c r="D64" s="6"/>
      <c r="E64" s="6"/>
      <c r="F64" s="6"/>
      <c r="G64" s="6"/>
      <c r="H64" s="6"/>
      <c r="I64" s="6"/>
      <c r="J64" s="16">
        <f t="shared" si="0"/>
        <v>89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4</v>
      </c>
      <c r="D65" s="6">
        <v>29</v>
      </c>
      <c r="E65" s="6"/>
      <c r="F65" s="6"/>
      <c r="G65" s="6"/>
      <c r="H65" s="6">
        <v>4</v>
      </c>
      <c r="I65" s="6"/>
      <c r="J65" s="16">
        <f t="shared" si="0"/>
        <v>29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0"/>
        <v>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14</v>
      </c>
      <c r="D67" s="6"/>
      <c r="E67" s="6"/>
      <c r="F67" s="6"/>
      <c r="G67" s="6"/>
      <c r="H67" s="6"/>
      <c r="I67" s="6"/>
      <c r="J67" s="16">
        <f t="shared" ref="J67:J76" si="1">+C67-E67-F67-G67-H67-I67+D67</f>
        <v>14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19</v>
      </c>
      <c r="D68" s="6"/>
      <c r="E68" s="6"/>
      <c r="F68" s="6"/>
      <c r="G68" s="6"/>
      <c r="H68" s="6"/>
      <c r="I68" s="6"/>
      <c r="J68" s="16">
        <f t="shared" si="1"/>
        <v>19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22</v>
      </c>
      <c r="D69" s="6"/>
      <c r="E69" s="6"/>
      <c r="F69" s="6"/>
      <c r="G69" s="6"/>
      <c r="H69" s="6"/>
      <c r="I69" s="6"/>
      <c r="J69" s="16">
        <f t="shared" si="1"/>
        <v>22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4</v>
      </c>
      <c r="D70" s="6"/>
      <c r="E70" s="6"/>
      <c r="F70" s="6"/>
      <c r="G70" s="6"/>
      <c r="H70" s="6"/>
      <c r="I70" s="6"/>
      <c r="J70" s="16">
        <f t="shared" si="1"/>
        <v>4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20</v>
      </c>
      <c r="D71" s="6"/>
      <c r="E71" s="6"/>
      <c r="F71" s="6"/>
      <c r="G71" s="6"/>
      <c r="H71" s="6"/>
      <c r="I71" s="6"/>
      <c r="J71" s="16">
        <f t="shared" si="1"/>
        <v>20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115</v>
      </c>
      <c r="D72" s="6">
        <v>56</v>
      </c>
      <c r="E72" s="6">
        <v>6</v>
      </c>
      <c r="F72" s="6"/>
      <c r="G72" s="6">
        <v>5</v>
      </c>
      <c r="H72" s="6">
        <v>12</v>
      </c>
      <c r="I72" s="6">
        <v>6</v>
      </c>
      <c r="J72" s="16">
        <f t="shared" si="1"/>
        <v>142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95</v>
      </c>
      <c r="D73" s="6"/>
      <c r="E73" s="6"/>
      <c r="F73" s="6"/>
      <c r="G73" s="6"/>
      <c r="H73" s="6"/>
      <c r="I73" s="6"/>
      <c r="J73" s="16">
        <f t="shared" si="1"/>
        <v>95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28</v>
      </c>
      <c r="D74" s="6"/>
      <c r="E74" s="6"/>
      <c r="F74" s="6"/>
      <c r="G74" s="6"/>
      <c r="H74" s="6">
        <v>1</v>
      </c>
      <c r="I74" s="6"/>
      <c r="J74" s="16">
        <f t="shared" si="1"/>
        <v>27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50</v>
      </c>
      <c r="D75" s="6"/>
      <c r="E75" s="6"/>
      <c r="F75" s="6"/>
      <c r="G75" s="6"/>
      <c r="H75" s="6"/>
      <c r="I75" s="6"/>
      <c r="J75" s="16">
        <f t="shared" si="1"/>
        <v>50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10</v>
      </c>
      <c r="D76" s="6">
        <v>30</v>
      </c>
      <c r="E76" s="6"/>
      <c r="F76" s="6"/>
      <c r="G76" s="6"/>
      <c r="H76" s="6"/>
      <c r="I76" s="6"/>
      <c r="J76" s="16">
        <f t="shared" si="1"/>
        <v>40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85C6-A33C-4340-8531-FB5829B807D1}">
  <dimension ref="A1:L76"/>
  <sheetViews>
    <sheetView topLeftCell="A37" zoomScaleNormal="100" workbookViewId="0">
      <selection activeCell="H44" sqref="H44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145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46031</v>
      </c>
      <c r="F2" s="18">
        <v>46038</v>
      </c>
      <c r="G2" s="18">
        <v>46045</v>
      </c>
      <c r="H2" s="18">
        <v>46052</v>
      </c>
      <c r="I2" s="18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0</v>
      </c>
      <c r="D3" s="6">
        <v>33</v>
      </c>
      <c r="E3" s="6"/>
      <c r="F3" s="6"/>
      <c r="G3" s="6">
        <v>2</v>
      </c>
      <c r="H3" s="6"/>
      <c r="I3" s="6"/>
      <c r="J3" s="16">
        <f t="shared" ref="J3:J66" si="0">+C3-E3-F3-G3-H3-I3+D3</f>
        <v>31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5</v>
      </c>
      <c r="D4" s="6">
        <v>59</v>
      </c>
      <c r="E4" s="6">
        <v>4</v>
      </c>
      <c r="F4" s="6">
        <v>15</v>
      </c>
      <c r="G4" s="6">
        <v>1</v>
      </c>
      <c r="H4" s="6"/>
      <c r="I4" s="6"/>
      <c r="J4" s="16">
        <f t="shared" si="0"/>
        <v>44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26</v>
      </c>
      <c r="D6" s="6"/>
      <c r="E6" s="6">
        <v>11</v>
      </c>
      <c r="F6" s="6"/>
      <c r="G6" s="6"/>
      <c r="H6" s="6"/>
      <c r="I6" s="6">
        <v>15</v>
      </c>
      <c r="J6" s="16">
        <f t="shared" si="0"/>
        <v>0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49</v>
      </c>
      <c r="D7" s="6"/>
      <c r="E7" s="6">
        <v>4</v>
      </c>
      <c r="F7" s="6"/>
      <c r="G7" s="6"/>
      <c r="H7" s="6">
        <v>6</v>
      </c>
      <c r="I7" s="6"/>
      <c r="J7" s="16">
        <f t="shared" si="0"/>
        <v>39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25</v>
      </c>
      <c r="D8" s="6"/>
      <c r="E8" s="6"/>
      <c r="F8" s="6"/>
      <c r="G8" s="6"/>
      <c r="H8" s="6"/>
      <c r="I8" s="6"/>
      <c r="J8" s="16">
        <f t="shared" si="0"/>
        <v>25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4</v>
      </c>
      <c r="D9" s="6">
        <v>50</v>
      </c>
      <c r="E9" s="6">
        <v>4</v>
      </c>
      <c r="F9" s="6"/>
      <c r="G9" s="6"/>
      <c r="H9" s="6"/>
      <c r="I9" s="6">
        <v>19</v>
      </c>
      <c r="J9" s="16">
        <f t="shared" si="0"/>
        <v>31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</v>
      </c>
      <c r="D10" s="6"/>
      <c r="E10" s="6"/>
      <c r="F10" s="6"/>
      <c r="G10" s="6"/>
      <c r="H10" s="6"/>
      <c r="I10" s="6"/>
      <c r="J10" s="16">
        <f t="shared" si="0"/>
        <v>1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194</v>
      </c>
      <c r="D11" s="6">
        <v>212</v>
      </c>
      <c r="E11" s="6">
        <v>13</v>
      </c>
      <c r="F11" s="6">
        <v>27</v>
      </c>
      <c r="G11" s="6">
        <v>67</v>
      </c>
      <c r="H11" s="6">
        <v>1</v>
      </c>
      <c r="I11" s="6">
        <v>1</v>
      </c>
      <c r="J11" s="16">
        <f t="shared" si="0"/>
        <v>297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19</v>
      </c>
      <c r="D12" s="6">
        <v>516</v>
      </c>
      <c r="E12" s="6">
        <v>19</v>
      </c>
      <c r="F12" s="6">
        <v>5</v>
      </c>
      <c r="G12" s="6">
        <v>52</v>
      </c>
      <c r="H12" s="6">
        <v>22</v>
      </c>
      <c r="I12" s="6">
        <v>3</v>
      </c>
      <c r="J12" s="16">
        <f t="shared" si="0"/>
        <v>434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137</v>
      </c>
      <c r="D13" s="6"/>
      <c r="E13" s="6"/>
      <c r="F13" s="6"/>
      <c r="G13" s="6"/>
      <c r="H13" s="6"/>
      <c r="I13" s="6"/>
      <c r="J13" s="16">
        <f t="shared" si="0"/>
        <v>137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16</v>
      </c>
      <c r="D14" s="6"/>
      <c r="E14" s="6"/>
      <c r="F14" s="6"/>
      <c r="G14" s="6"/>
      <c r="H14" s="6"/>
      <c r="I14" s="6"/>
      <c r="J14" s="16">
        <f t="shared" si="0"/>
        <v>16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62</v>
      </c>
      <c r="D15" s="6"/>
      <c r="E15" s="6"/>
      <c r="F15" s="6"/>
      <c r="G15" s="6"/>
      <c r="H15" s="6">
        <v>5</v>
      </c>
      <c r="I15" s="6"/>
      <c r="J15" s="16">
        <f t="shared" si="0"/>
        <v>57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120</v>
      </c>
      <c r="D16" s="6"/>
      <c r="E16" s="6"/>
      <c r="F16" s="6"/>
      <c r="G16" s="6"/>
      <c r="H16" s="6">
        <v>20</v>
      </c>
      <c r="I16" s="6"/>
      <c r="J16" s="16">
        <f t="shared" si="0"/>
        <v>100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164</v>
      </c>
      <c r="D17" s="6">
        <v>80</v>
      </c>
      <c r="E17" s="6">
        <v>14</v>
      </c>
      <c r="F17" s="6">
        <v>35</v>
      </c>
      <c r="G17" s="6">
        <v>64</v>
      </c>
      <c r="H17" s="6">
        <v>115</v>
      </c>
      <c r="I17" s="6">
        <v>15</v>
      </c>
      <c r="J17" s="16">
        <f t="shared" si="0"/>
        <v>1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450</v>
      </c>
      <c r="D18" s="6"/>
      <c r="E18" s="6">
        <v>6</v>
      </c>
      <c r="F18" s="6">
        <v>42</v>
      </c>
      <c r="G18" s="6">
        <v>25</v>
      </c>
      <c r="H18" s="6">
        <v>41</v>
      </c>
      <c r="I18" s="6">
        <v>5</v>
      </c>
      <c r="J18" s="16">
        <f t="shared" si="0"/>
        <v>331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87</v>
      </c>
      <c r="D19" s="6"/>
      <c r="E19" s="6">
        <v>7</v>
      </c>
      <c r="F19" s="6"/>
      <c r="G19" s="6"/>
      <c r="H19" s="6">
        <v>3</v>
      </c>
      <c r="I19" s="6"/>
      <c r="J19" s="16">
        <f t="shared" si="0"/>
        <v>77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15</v>
      </c>
      <c r="D20" s="6"/>
      <c r="E20" s="6">
        <v>12</v>
      </c>
      <c r="F20" s="6"/>
      <c r="G20" s="6"/>
      <c r="H20" s="6"/>
      <c r="I20" s="6">
        <v>3</v>
      </c>
      <c r="J20" s="16">
        <f t="shared" si="0"/>
        <v>0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30</v>
      </c>
      <c r="D21" s="6"/>
      <c r="E21" s="6">
        <v>2</v>
      </c>
      <c r="F21" s="6">
        <v>5</v>
      </c>
      <c r="G21" s="6"/>
      <c r="H21" s="6"/>
      <c r="I21" s="6"/>
      <c r="J21" s="16">
        <f t="shared" si="0"/>
        <v>23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50</v>
      </c>
      <c r="D22" s="6"/>
      <c r="E22" s="6">
        <v>3</v>
      </c>
      <c r="F22" s="6"/>
      <c r="G22" s="6"/>
      <c r="H22" s="6"/>
      <c r="I22" s="6">
        <v>3</v>
      </c>
      <c r="J22" s="16">
        <f t="shared" si="0"/>
        <v>44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7</v>
      </c>
      <c r="D23" s="6"/>
      <c r="E23" s="6"/>
      <c r="F23" s="6"/>
      <c r="G23" s="6">
        <v>5</v>
      </c>
      <c r="H23" s="6"/>
      <c r="I23" s="6">
        <v>0</v>
      </c>
      <c r="J23" s="16">
        <f t="shared" si="0"/>
        <v>2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27</v>
      </c>
      <c r="D24" s="6"/>
      <c r="E24" s="6"/>
      <c r="F24" s="6"/>
      <c r="G24" s="6"/>
      <c r="H24" s="6"/>
      <c r="I24" s="6"/>
      <c r="J24" s="16">
        <f t="shared" si="0"/>
        <v>27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184</v>
      </c>
      <c r="D26" s="6"/>
      <c r="E26" s="6"/>
      <c r="F26" s="6"/>
      <c r="G26" s="6"/>
      <c r="H26" s="6"/>
      <c r="I26" s="6"/>
      <c r="J26" s="16">
        <f t="shared" si="0"/>
        <v>184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11</v>
      </c>
      <c r="D27" s="6"/>
      <c r="E27" s="6"/>
      <c r="F27" s="6"/>
      <c r="G27" s="6"/>
      <c r="H27" s="6"/>
      <c r="I27" s="6"/>
      <c r="J27" s="16">
        <f t="shared" si="0"/>
        <v>11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570</v>
      </c>
      <c r="D28" s="6"/>
      <c r="E28" s="6">
        <v>570</v>
      </c>
      <c r="F28" s="6"/>
      <c r="G28" s="6"/>
      <c r="H28" s="6"/>
      <c r="I28" s="6"/>
      <c r="J28" s="16">
        <f t="shared" si="0"/>
        <v>0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/>
      <c r="E29" s="6"/>
      <c r="F29" s="6"/>
      <c r="G29" s="6"/>
      <c r="H29" s="6"/>
      <c r="I29" s="6"/>
      <c r="J29" s="16">
        <f t="shared" si="0"/>
        <v>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/>
      <c r="E30" s="6"/>
      <c r="F30" s="6"/>
      <c r="G30" s="6"/>
      <c r="H30" s="6"/>
      <c r="I30" s="6"/>
      <c r="J30" s="16">
        <f t="shared" si="0"/>
        <v>0</v>
      </c>
      <c r="K30" s="13">
        <v>0</v>
      </c>
      <c r="L30" s="14"/>
    </row>
    <row r="31" spans="1:12" x14ac:dyDescent="0.25">
      <c r="A31" s="6">
        <v>29</v>
      </c>
      <c r="B31" s="7" t="s">
        <v>61</v>
      </c>
      <c r="C31" s="6">
        <v>70</v>
      </c>
      <c r="D31" s="6">
        <v>122</v>
      </c>
      <c r="E31" s="6"/>
      <c r="F31" s="6"/>
      <c r="G31" s="6"/>
      <c r="H31" s="6">
        <v>80</v>
      </c>
      <c r="I31" s="6"/>
      <c r="J31" s="16">
        <f t="shared" si="0"/>
        <v>112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280</v>
      </c>
      <c r="D32" s="6">
        <v>474</v>
      </c>
      <c r="E32" s="6"/>
      <c r="F32" s="6">
        <v>88</v>
      </c>
      <c r="G32" s="6"/>
      <c r="H32" s="6"/>
      <c r="I32" s="6"/>
      <c r="J32" s="16">
        <f t="shared" si="0"/>
        <v>666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3</v>
      </c>
      <c r="D33" s="6"/>
      <c r="E33" s="6"/>
      <c r="F33" s="6"/>
      <c r="G33" s="6"/>
      <c r="H33" s="6"/>
      <c r="I33" s="6"/>
      <c r="J33" s="16">
        <f t="shared" si="0"/>
        <v>3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46</v>
      </c>
      <c r="D34" s="6"/>
      <c r="E34" s="6"/>
      <c r="F34" s="6"/>
      <c r="G34" s="6"/>
      <c r="H34" s="6"/>
      <c r="I34" s="6"/>
      <c r="J34" s="16">
        <f t="shared" si="0"/>
        <v>46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14</v>
      </c>
      <c r="D35" s="6"/>
      <c r="E35" s="6"/>
      <c r="F35" s="6"/>
      <c r="G35" s="6"/>
      <c r="H35" s="6"/>
      <c r="I35" s="6"/>
      <c r="J35" s="16">
        <f t="shared" si="0"/>
        <v>14</v>
      </c>
      <c r="K35" s="13">
        <v>10</v>
      </c>
      <c r="L35" s="14">
        <v>10</v>
      </c>
    </row>
    <row r="36" spans="1:12" x14ac:dyDescent="0.25">
      <c r="A36" s="6">
        <v>34</v>
      </c>
      <c r="B36" s="7" t="s">
        <v>130</v>
      </c>
      <c r="C36" s="6">
        <v>14</v>
      </c>
      <c r="D36" s="6"/>
      <c r="E36" s="6"/>
      <c r="F36" s="6"/>
      <c r="G36" s="6"/>
      <c r="H36" s="6"/>
      <c r="I36" s="6"/>
      <c r="J36" s="16">
        <f t="shared" si="0"/>
        <v>14</v>
      </c>
      <c r="K36" s="13">
        <v>10</v>
      </c>
      <c r="L36" s="14">
        <v>10</v>
      </c>
    </row>
    <row r="37" spans="1:12" x14ac:dyDescent="0.25">
      <c r="A37" s="6">
        <v>35</v>
      </c>
      <c r="B37" s="7" t="s">
        <v>65</v>
      </c>
      <c r="C37" s="6">
        <v>16</v>
      </c>
      <c r="D37" s="6"/>
      <c r="E37" s="6">
        <v>6</v>
      </c>
      <c r="F37" s="6"/>
      <c r="G37" s="6"/>
      <c r="H37" s="6"/>
      <c r="I37" s="6"/>
      <c r="J37" s="16">
        <f t="shared" si="0"/>
        <v>10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10</v>
      </c>
      <c r="D38" s="6"/>
      <c r="E38" s="6"/>
      <c r="F38" s="6"/>
      <c r="G38" s="6"/>
      <c r="H38" s="6"/>
      <c r="I38" s="6"/>
      <c r="J38" s="16">
        <f t="shared" si="0"/>
        <v>10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48</v>
      </c>
      <c r="D39" s="6"/>
      <c r="E39" s="6"/>
      <c r="F39" s="6"/>
      <c r="G39" s="6"/>
      <c r="H39" s="6"/>
      <c r="I39" s="6"/>
      <c r="J39" s="16">
        <f t="shared" si="0"/>
        <v>48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61</v>
      </c>
      <c r="D40" s="6"/>
      <c r="E40" s="6"/>
      <c r="F40" s="6"/>
      <c r="G40" s="6"/>
      <c r="H40" s="6"/>
      <c r="I40" s="6"/>
      <c r="J40" s="16">
        <f t="shared" si="0"/>
        <v>61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54</v>
      </c>
      <c r="D41" s="6"/>
      <c r="E41" s="6"/>
      <c r="F41" s="6"/>
      <c r="G41" s="6"/>
      <c r="H41" s="6"/>
      <c r="I41" s="6"/>
      <c r="J41" s="16">
        <f t="shared" si="0"/>
        <v>54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68</v>
      </c>
      <c r="D42" s="6"/>
      <c r="E42" s="6">
        <v>9</v>
      </c>
      <c r="F42" s="6"/>
      <c r="G42" s="6">
        <v>5</v>
      </c>
      <c r="H42" s="6"/>
      <c r="I42" s="6"/>
      <c r="J42" s="16">
        <f t="shared" si="0"/>
        <v>54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115</v>
      </c>
      <c r="D43" s="6">
        <v>108</v>
      </c>
      <c r="E43" s="6">
        <v>75</v>
      </c>
      <c r="F43" s="6">
        <v>20</v>
      </c>
      <c r="G43" s="6">
        <v>108</v>
      </c>
      <c r="H43" s="6"/>
      <c r="I43" s="6"/>
      <c r="J43" s="16">
        <f t="shared" si="0"/>
        <v>20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22</v>
      </c>
      <c r="D46" s="6"/>
      <c r="E46" s="6"/>
      <c r="F46" s="6"/>
      <c r="G46" s="6"/>
      <c r="H46" s="6"/>
      <c r="I46" s="6"/>
      <c r="J46" s="16">
        <f t="shared" si="0"/>
        <v>22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16</v>
      </c>
      <c r="D47" s="6"/>
      <c r="E47" s="6"/>
      <c r="F47" s="6"/>
      <c r="G47" s="6"/>
      <c r="H47" s="6"/>
      <c r="I47" s="6">
        <v>2</v>
      </c>
      <c r="J47" s="16">
        <f t="shared" si="0"/>
        <v>14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144</v>
      </c>
      <c r="C48" s="6">
        <v>17</v>
      </c>
      <c r="D48" s="6"/>
      <c r="E48" s="6"/>
      <c r="F48" s="6">
        <v>2</v>
      </c>
      <c r="G48" s="6"/>
      <c r="H48" s="6"/>
      <c r="I48" s="6"/>
      <c r="J48" s="16">
        <f t="shared" si="0"/>
        <v>15</v>
      </c>
      <c r="K48" s="13">
        <v>15</v>
      </c>
      <c r="L48" s="14">
        <v>50</v>
      </c>
    </row>
    <row r="49" spans="1:12" x14ac:dyDescent="0.25">
      <c r="A49" s="6">
        <v>47</v>
      </c>
      <c r="B49" s="7" t="s">
        <v>95</v>
      </c>
      <c r="C49" s="6">
        <v>347</v>
      </c>
      <c r="D49" s="6"/>
      <c r="E49" s="6"/>
      <c r="F49" s="6">
        <v>8</v>
      </c>
      <c r="G49" s="6">
        <v>2</v>
      </c>
      <c r="H49" s="6">
        <v>6</v>
      </c>
      <c r="I49" s="6"/>
      <c r="J49" s="16">
        <f t="shared" si="0"/>
        <v>331</v>
      </c>
      <c r="K49" s="13">
        <v>150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182</v>
      </c>
      <c r="D50" s="6"/>
      <c r="E50" s="6">
        <v>4</v>
      </c>
      <c r="F50" s="6">
        <v>5</v>
      </c>
      <c r="G50" s="6">
        <v>4</v>
      </c>
      <c r="H50" s="6"/>
      <c r="I50" s="6"/>
      <c r="J50" s="16">
        <f t="shared" si="0"/>
        <v>169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11</v>
      </c>
      <c r="D51" s="6"/>
      <c r="E51" s="6">
        <v>4</v>
      </c>
      <c r="F51" s="6">
        <v>3</v>
      </c>
      <c r="G51" s="6">
        <v>2</v>
      </c>
      <c r="H51" s="6"/>
      <c r="I51" s="6">
        <v>2</v>
      </c>
      <c r="J51" s="16">
        <f t="shared" si="0"/>
        <v>0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43</v>
      </c>
      <c r="D52" s="6"/>
      <c r="E52" s="6"/>
      <c r="F52" s="6">
        <v>2</v>
      </c>
      <c r="G52" s="6"/>
      <c r="H52" s="6"/>
      <c r="I52" s="6"/>
      <c r="J52" s="16">
        <f t="shared" si="0"/>
        <v>41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22</v>
      </c>
      <c r="D53" s="6"/>
      <c r="E53" s="6"/>
      <c r="F53" s="6"/>
      <c r="G53" s="6"/>
      <c r="H53" s="6"/>
      <c r="I53" s="6"/>
      <c r="J53" s="16">
        <f t="shared" si="0"/>
        <v>22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139</v>
      </c>
      <c r="C54" s="6">
        <v>8</v>
      </c>
      <c r="D54" s="6"/>
      <c r="E54" s="6"/>
      <c r="F54" s="6"/>
      <c r="G54" s="6"/>
      <c r="H54" s="6"/>
      <c r="I54" s="6"/>
      <c r="J54" s="16">
        <f t="shared" si="0"/>
        <v>8</v>
      </c>
      <c r="K54" s="13">
        <v>0</v>
      </c>
      <c r="L54" s="14"/>
    </row>
    <row r="55" spans="1:12" x14ac:dyDescent="0.25">
      <c r="A55" s="6">
        <v>55</v>
      </c>
      <c r="B55" s="7" t="s">
        <v>143</v>
      </c>
      <c r="C55" s="6">
        <v>62</v>
      </c>
      <c r="D55" s="6"/>
      <c r="E55" s="6"/>
      <c r="F55" s="6"/>
      <c r="G55" s="6"/>
      <c r="H55" s="6"/>
      <c r="I55" s="6"/>
      <c r="J55" s="16">
        <f t="shared" si="0"/>
        <v>62</v>
      </c>
      <c r="K55" s="13">
        <v>0</v>
      </c>
      <c r="L55" s="14"/>
    </row>
    <row r="56" spans="1:12" x14ac:dyDescent="0.25">
      <c r="A56" s="6">
        <v>56</v>
      </c>
      <c r="B56" s="7" t="s">
        <v>114</v>
      </c>
      <c r="C56" s="6">
        <v>41</v>
      </c>
      <c r="D56" s="6"/>
      <c r="E56" s="6"/>
      <c r="F56" s="6"/>
      <c r="G56" s="6"/>
      <c r="H56" s="6"/>
      <c r="I56" s="6"/>
      <c r="J56" s="16">
        <f t="shared" si="0"/>
        <v>41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116</v>
      </c>
      <c r="C57" s="6">
        <v>0</v>
      </c>
      <c r="D57" s="6"/>
      <c r="E57" s="6"/>
      <c r="F57" s="6"/>
      <c r="G57" s="6"/>
      <c r="H57" s="6"/>
      <c r="I57" s="6"/>
      <c r="J57" s="16">
        <f t="shared" si="0"/>
        <v>0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49</v>
      </c>
      <c r="D58" s="6"/>
      <c r="E58" s="6">
        <v>7</v>
      </c>
      <c r="F58" s="6"/>
      <c r="G58" s="6"/>
      <c r="H58" s="6"/>
      <c r="I58" s="6"/>
      <c r="J58" s="16">
        <f t="shared" si="0"/>
        <v>42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74</v>
      </c>
      <c r="D59" s="6"/>
      <c r="E59" s="6">
        <v>4</v>
      </c>
      <c r="F59" s="6"/>
      <c r="G59" s="6"/>
      <c r="H59" s="6"/>
      <c r="I59" s="6"/>
      <c r="J59" s="16">
        <f t="shared" si="0"/>
        <v>70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205</v>
      </c>
      <c r="D62" s="6"/>
      <c r="E62" s="6"/>
      <c r="F62" s="6"/>
      <c r="G62" s="6"/>
      <c r="H62" s="6"/>
      <c r="I62" s="6"/>
      <c r="J62" s="16">
        <f t="shared" si="0"/>
        <v>205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51</v>
      </c>
      <c r="D63" s="6"/>
      <c r="E63" s="6">
        <v>7</v>
      </c>
      <c r="F63" s="6"/>
      <c r="G63" s="6">
        <v>1</v>
      </c>
      <c r="H63" s="6"/>
      <c r="I63" s="6"/>
      <c r="J63" s="16">
        <f t="shared" si="0"/>
        <v>43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89</v>
      </c>
      <c r="D64" s="6"/>
      <c r="E64" s="6">
        <v>2</v>
      </c>
      <c r="F64" s="6"/>
      <c r="G64" s="6">
        <v>6</v>
      </c>
      <c r="H64" s="6">
        <v>1</v>
      </c>
      <c r="I64" s="6"/>
      <c r="J64" s="16">
        <f t="shared" si="0"/>
        <v>80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29</v>
      </c>
      <c r="D65" s="6"/>
      <c r="E65" s="6"/>
      <c r="F65" s="6"/>
      <c r="G65" s="6">
        <v>4</v>
      </c>
      <c r="H65" s="6"/>
      <c r="I65" s="6"/>
      <c r="J65" s="16">
        <f t="shared" si="0"/>
        <v>25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0"/>
        <v>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14</v>
      </c>
      <c r="D67" s="6"/>
      <c r="E67" s="6"/>
      <c r="F67" s="6"/>
      <c r="G67" s="6"/>
      <c r="H67" s="6"/>
      <c r="I67" s="6"/>
      <c r="J67" s="16">
        <f t="shared" ref="J67:J76" si="1">+C67-E67-F67-G67-H67-I67+D67</f>
        <v>14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19</v>
      </c>
      <c r="D68" s="6"/>
      <c r="E68" s="6"/>
      <c r="F68" s="6"/>
      <c r="G68" s="6"/>
      <c r="H68" s="6"/>
      <c r="I68" s="6"/>
      <c r="J68" s="16">
        <f t="shared" si="1"/>
        <v>19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22</v>
      </c>
      <c r="D69" s="6"/>
      <c r="E69" s="6"/>
      <c r="F69" s="6"/>
      <c r="G69" s="6"/>
      <c r="H69" s="6"/>
      <c r="I69" s="6"/>
      <c r="J69" s="16">
        <f t="shared" si="1"/>
        <v>22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4</v>
      </c>
      <c r="D70" s="6"/>
      <c r="E70" s="6"/>
      <c r="F70" s="6"/>
      <c r="G70" s="6"/>
      <c r="H70" s="6"/>
      <c r="I70" s="6"/>
      <c r="J70" s="16">
        <f t="shared" si="1"/>
        <v>4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20</v>
      </c>
      <c r="D71" s="6"/>
      <c r="E71" s="6"/>
      <c r="F71" s="6"/>
      <c r="G71" s="6"/>
      <c r="H71" s="6"/>
      <c r="I71" s="6"/>
      <c r="J71" s="16">
        <f t="shared" si="1"/>
        <v>20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142</v>
      </c>
      <c r="D72" s="6"/>
      <c r="E72" s="6">
        <v>17</v>
      </c>
      <c r="F72" s="6">
        <v>4</v>
      </c>
      <c r="G72" s="6">
        <v>2</v>
      </c>
      <c r="H72" s="6">
        <v>4</v>
      </c>
      <c r="I72" s="6">
        <v>3</v>
      </c>
      <c r="J72" s="16">
        <f t="shared" si="1"/>
        <v>112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95</v>
      </c>
      <c r="D73" s="6"/>
      <c r="E73" s="6"/>
      <c r="F73" s="6"/>
      <c r="G73" s="6"/>
      <c r="H73" s="6"/>
      <c r="I73" s="6"/>
      <c r="J73" s="16">
        <f t="shared" si="1"/>
        <v>95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27</v>
      </c>
      <c r="D74" s="6"/>
      <c r="E74" s="6">
        <v>3</v>
      </c>
      <c r="F74" s="6"/>
      <c r="G74" s="6"/>
      <c r="H74" s="6">
        <v>2</v>
      </c>
      <c r="I74" s="6"/>
      <c r="J74" s="16">
        <f t="shared" si="1"/>
        <v>22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50</v>
      </c>
      <c r="D75" s="6"/>
      <c r="E75" s="6"/>
      <c r="F75" s="6"/>
      <c r="G75" s="6"/>
      <c r="H75" s="6"/>
      <c r="I75" s="6"/>
      <c r="J75" s="16">
        <f t="shared" si="1"/>
        <v>50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40</v>
      </c>
      <c r="D76" s="6"/>
      <c r="E76" s="6"/>
      <c r="F76" s="6"/>
      <c r="G76" s="6"/>
      <c r="H76" s="6"/>
      <c r="I76" s="6"/>
      <c r="J76" s="16">
        <f t="shared" si="1"/>
        <v>40</v>
      </c>
      <c r="K76" s="13">
        <v>20</v>
      </c>
      <c r="L76" s="14">
        <v>50</v>
      </c>
    </row>
  </sheetData>
  <pageMargins left="0.7" right="0.7" top="0.75" bottom="0.75" header="0.3" footer="0.3"/>
  <pageSetup paperSize="9" scale="8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67C4-ED9D-49BB-A87C-92C607ABDDA4}">
  <dimension ref="A1:L77"/>
  <sheetViews>
    <sheetView tabSelected="1" zoomScaleNormal="100" workbookViewId="0">
      <selection activeCell="G23" sqref="G23"/>
    </sheetView>
  </sheetViews>
  <sheetFormatPr defaultRowHeight="15" x14ac:dyDescent="0.25"/>
  <cols>
    <col min="1" max="1" width="5.7109375" customWidth="1"/>
    <col min="2" max="2" width="30.5703125" customWidth="1"/>
    <col min="3" max="3" width="11" customWidth="1"/>
    <col min="4" max="4" width="9" customWidth="1"/>
    <col min="5" max="6" width="10.140625" bestFit="1" customWidth="1"/>
    <col min="7" max="7" width="10.7109375" customWidth="1"/>
    <col min="8" max="10" width="10.140625" bestFit="1" customWidth="1"/>
    <col min="11" max="11" width="9.7109375" customWidth="1"/>
    <col min="12" max="12" width="10.85546875" customWidth="1"/>
  </cols>
  <sheetData>
    <row r="1" spans="1:12" x14ac:dyDescent="0.25">
      <c r="A1" s="2" t="s">
        <v>0</v>
      </c>
      <c r="B1" s="2"/>
      <c r="C1" s="15" t="s">
        <v>146</v>
      </c>
      <c r="J1" s="1" t="s">
        <v>92</v>
      </c>
      <c r="L1" s="1">
        <v>45656</v>
      </c>
    </row>
    <row r="2" spans="1:12" x14ac:dyDescent="0.25">
      <c r="A2" s="3" t="s">
        <v>1</v>
      </c>
      <c r="B2" s="3" t="s">
        <v>2</v>
      </c>
      <c r="C2" s="3" t="s">
        <v>51</v>
      </c>
      <c r="D2" s="3" t="s">
        <v>52</v>
      </c>
      <c r="E2" s="18">
        <v>46059</v>
      </c>
      <c r="F2" s="18">
        <v>46066</v>
      </c>
      <c r="G2" s="18">
        <v>46073</v>
      </c>
      <c r="H2" s="18">
        <v>46080</v>
      </c>
      <c r="I2" s="18">
        <v>0</v>
      </c>
      <c r="J2" s="5" t="s">
        <v>3</v>
      </c>
      <c r="K2" s="3" t="s">
        <v>89</v>
      </c>
      <c r="L2" s="3" t="s">
        <v>90</v>
      </c>
    </row>
    <row r="3" spans="1:12" x14ac:dyDescent="0.25">
      <c r="A3" s="6">
        <v>1</v>
      </c>
      <c r="B3" s="7" t="s">
        <v>60</v>
      </c>
      <c r="C3" s="6">
        <v>31</v>
      </c>
      <c r="D3" s="6">
        <v>2</v>
      </c>
      <c r="E3" s="6"/>
      <c r="F3" s="6"/>
      <c r="G3" s="6"/>
      <c r="H3" s="6"/>
      <c r="I3" s="6"/>
      <c r="J3" s="16">
        <f t="shared" ref="J3:J66" si="0">+C3-E3-F3-G3-H3-I3+D3</f>
        <v>33</v>
      </c>
      <c r="K3" s="13">
        <v>10</v>
      </c>
      <c r="L3" s="14">
        <v>50</v>
      </c>
    </row>
    <row r="4" spans="1:12" x14ac:dyDescent="0.25">
      <c r="A4" s="6">
        <v>2</v>
      </c>
      <c r="B4" s="7" t="s">
        <v>113</v>
      </c>
      <c r="C4" s="6">
        <v>44</v>
      </c>
      <c r="D4" s="6"/>
      <c r="E4" s="6"/>
      <c r="F4" s="6"/>
      <c r="G4" s="6"/>
      <c r="H4" s="6"/>
      <c r="I4" s="6"/>
      <c r="J4" s="16">
        <f t="shared" si="0"/>
        <v>44</v>
      </c>
      <c r="K4" s="13">
        <v>10</v>
      </c>
      <c r="L4" s="14">
        <v>50</v>
      </c>
    </row>
    <row r="5" spans="1:12" x14ac:dyDescent="0.25">
      <c r="A5" s="6">
        <v>3</v>
      </c>
      <c r="B5" s="7" t="s">
        <v>110</v>
      </c>
      <c r="C5" s="6">
        <v>0</v>
      </c>
      <c r="D5" s="6"/>
      <c r="E5" s="6"/>
      <c r="F5" s="6"/>
      <c r="G5" s="6"/>
      <c r="H5" s="6"/>
      <c r="I5" s="6"/>
      <c r="J5" s="16">
        <f t="shared" si="0"/>
        <v>0</v>
      </c>
      <c r="K5" s="13">
        <v>5</v>
      </c>
      <c r="L5" s="14">
        <v>50</v>
      </c>
    </row>
    <row r="6" spans="1:12" x14ac:dyDescent="0.25">
      <c r="A6" s="6">
        <v>4</v>
      </c>
      <c r="B6" s="7" t="s">
        <v>6</v>
      </c>
      <c r="C6" s="6">
        <v>0</v>
      </c>
      <c r="D6" s="6">
        <v>33</v>
      </c>
      <c r="E6" s="6"/>
      <c r="F6" s="6"/>
      <c r="G6" s="6">
        <v>2</v>
      </c>
      <c r="H6" s="6"/>
      <c r="I6" s="6"/>
      <c r="J6" s="16">
        <f t="shared" si="0"/>
        <v>31</v>
      </c>
      <c r="K6" s="13">
        <v>30</v>
      </c>
      <c r="L6" s="14">
        <v>100</v>
      </c>
    </row>
    <row r="7" spans="1:12" x14ac:dyDescent="0.25">
      <c r="A7" s="6">
        <v>5</v>
      </c>
      <c r="B7" s="7" t="s">
        <v>9</v>
      </c>
      <c r="C7" s="6">
        <v>39</v>
      </c>
      <c r="D7" s="6"/>
      <c r="E7" s="6">
        <v>4</v>
      </c>
      <c r="F7" s="6"/>
      <c r="G7" s="6">
        <v>9</v>
      </c>
      <c r="H7" s="6"/>
      <c r="I7" s="6"/>
      <c r="J7" s="16">
        <f t="shared" si="0"/>
        <v>26</v>
      </c>
      <c r="K7" s="13">
        <v>50</v>
      </c>
      <c r="L7" s="14">
        <v>100</v>
      </c>
    </row>
    <row r="8" spans="1:12" x14ac:dyDescent="0.25">
      <c r="A8" s="6">
        <v>6</v>
      </c>
      <c r="B8" s="7" t="s">
        <v>7</v>
      </c>
      <c r="C8" s="6">
        <v>25</v>
      </c>
      <c r="D8" s="6"/>
      <c r="E8" s="6"/>
      <c r="F8" s="6"/>
      <c r="G8" s="6"/>
      <c r="H8" s="6"/>
      <c r="I8" s="6"/>
      <c r="J8" s="16">
        <f t="shared" si="0"/>
        <v>25</v>
      </c>
      <c r="K8" s="13">
        <v>15</v>
      </c>
      <c r="L8" s="14">
        <v>50</v>
      </c>
    </row>
    <row r="9" spans="1:12" x14ac:dyDescent="0.25">
      <c r="A9" s="6">
        <v>7</v>
      </c>
      <c r="B9" s="7" t="s">
        <v>8</v>
      </c>
      <c r="C9" s="6">
        <v>31</v>
      </c>
      <c r="D9" s="6"/>
      <c r="E9" s="6"/>
      <c r="F9" s="6"/>
      <c r="G9" s="6"/>
      <c r="H9" s="6"/>
      <c r="I9" s="6"/>
      <c r="J9" s="16">
        <f t="shared" si="0"/>
        <v>31</v>
      </c>
      <c r="K9" s="13">
        <v>15</v>
      </c>
      <c r="L9" s="14">
        <v>30</v>
      </c>
    </row>
    <row r="10" spans="1:12" x14ac:dyDescent="0.25">
      <c r="A10" s="6">
        <v>8</v>
      </c>
      <c r="B10" s="7" t="s">
        <v>66</v>
      </c>
      <c r="C10" s="6">
        <v>1</v>
      </c>
      <c r="D10" s="6">
        <v>15</v>
      </c>
      <c r="E10" s="6"/>
      <c r="F10" s="6"/>
      <c r="G10" s="6"/>
      <c r="H10" s="6"/>
      <c r="I10" s="6"/>
      <c r="J10" s="16">
        <f t="shared" si="0"/>
        <v>16</v>
      </c>
      <c r="K10" s="13">
        <v>10</v>
      </c>
      <c r="L10" s="14">
        <v>30</v>
      </c>
    </row>
    <row r="11" spans="1:12" x14ac:dyDescent="0.25">
      <c r="A11" s="6">
        <v>9</v>
      </c>
      <c r="B11" s="7" t="s">
        <v>10</v>
      </c>
      <c r="C11" s="6">
        <v>297</v>
      </c>
      <c r="D11" s="6"/>
      <c r="E11" s="6"/>
      <c r="F11" s="6"/>
      <c r="G11" s="6">
        <v>1</v>
      </c>
      <c r="H11" s="6"/>
      <c r="I11" s="6"/>
      <c r="J11" s="16">
        <f t="shared" si="0"/>
        <v>296</v>
      </c>
      <c r="K11" s="13">
        <v>200</v>
      </c>
      <c r="L11" s="14">
        <v>500</v>
      </c>
    </row>
    <row r="12" spans="1:12" x14ac:dyDescent="0.25">
      <c r="A12" s="6">
        <v>10</v>
      </c>
      <c r="B12" s="7" t="s">
        <v>11</v>
      </c>
      <c r="C12" s="6">
        <v>434</v>
      </c>
      <c r="D12" s="6"/>
      <c r="E12" s="6"/>
      <c r="F12" s="6">
        <v>48</v>
      </c>
      <c r="G12" s="6">
        <v>30</v>
      </c>
      <c r="H12" s="6"/>
      <c r="I12" s="6"/>
      <c r="J12" s="16">
        <f t="shared" si="0"/>
        <v>356</v>
      </c>
      <c r="K12" s="13">
        <v>200</v>
      </c>
      <c r="L12" s="14">
        <v>750</v>
      </c>
    </row>
    <row r="13" spans="1:12" x14ac:dyDescent="0.25">
      <c r="A13" s="6">
        <v>11</v>
      </c>
      <c r="B13" s="7" t="s">
        <v>12</v>
      </c>
      <c r="C13" s="6">
        <v>137</v>
      </c>
      <c r="D13" s="6"/>
      <c r="E13" s="6"/>
      <c r="F13" s="6">
        <v>10</v>
      </c>
      <c r="G13" s="6"/>
      <c r="H13" s="6"/>
      <c r="I13" s="6"/>
      <c r="J13" s="16">
        <f t="shared" si="0"/>
        <v>127</v>
      </c>
      <c r="K13" s="13">
        <v>10</v>
      </c>
      <c r="L13" s="14">
        <v>30</v>
      </c>
    </row>
    <row r="14" spans="1:12" x14ac:dyDescent="0.25">
      <c r="A14" s="6">
        <v>12</v>
      </c>
      <c r="B14" s="7" t="s">
        <v>13</v>
      </c>
      <c r="C14" s="6">
        <v>16</v>
      </c>
      <c r="D14" s="6"/>
      <c r="E14" s="6"/>
      <c r="F14" s="6"/>
      <c r="G14" s="6"/>
      <c r="H14" s="6"/>
      <c r="I14" s="6"/>
      <c r="J14" s="16">
        <f t="shared" si="0"/>
        <v>16</v>
      </c>
      <c r="K14" s="13">
        <v>10</v>
      </c>
      <c r="L14" s="14">
        <v>20</v>
      </c>
    </row>
    <row r="15" spans="1:12" x14ac:dyDescent="0.25">
      <c r="A15" s="6">
        <v>13</v>
      </c>
      <c r="B15" s="7" t="s">
        <v>14</v>
      </c>
      <c r="C15" s="6">
        <v>57</v>
      </c>
      <c r="D15" s="6"/>
      <c r="E15" s="6"/>
      <c r="F15" s="6"/>
      <c r="G15" s="6"/>
      <c r="H15" s="6"/>
      <c r="I15" s="6"/>
      <c r="J15" s="16">
        <f t="shared" si="0"/>
        <v>57</v>
      </c>
      <c r="K15" s="13">
        <v>10</v>
      </c>
      <c r="L15" s="14">
        <v>20</v>
      </c>
    </row>
    <row r="16" spans="1:12" x14ac:dyDescent="0.25">
      <c r="A16" s="6">
        <v>14</v>
      </c>
      <c r="B16" s="7" t="s">
        <v>15</v>
      </c>
      <c r="C16" s="6">
        <v>100</v>
      </c>
      <c r="D16" s="6"/>
      <c r="E16" s="6"/>
      <c r="F16" s="6"/>
      <c r="G16" s="6"/>
      <c r="H16" s="6"/>
      <c r="I16" s="6"/>
      <c r="J16" s="16">
        <f t="shared" si="0"/>
        <v>100</v>
      </c>
      <c r="K16" s="13">
        <v>10</v>
      </c>
      <c r="L16" s="14">
        <v>20</v>
      </c>
    </row>
    <row r="17" spans="1:12" x14ac:dyDescent="0.25">
      <c r="A17" s="6">
        <v>15</v>
      </c>
      <c r="B17" s="7" t="s">
        <v>128</v>
      </c>
      <c r="C17" s="6">
        <v>1</v>
      </c>
      <c r="D17" s="6">
        <v>390</v>
      </c>
      <c r="E17" s="6">
        <v>14</v>
      </c>
      <c r="F17" s="6"/>
      <c r="G17" s="6">
        <v>26</v>
      </c>
      <c r="H17" s="6"/>
      <c r="I17" s="6"/>
      <c r="J17" s="16">
        <f t="shared" si="0"/>
        <v>351</v>
      </c>
      <c r="K17" s="13">
        <v>150</v>
      </c>
      <c r="L17" s="14">
        <v>400</v>
      </c>
    </row>
    <row r="18" spans="1:12" x14ac:dyDescent="0.25">
      <c r="A18" s="6">
        <v>16</v>
      </c>
      <c r="B18" s="7" t="s">
        <v>17</v>
      </c>
      <c r="C18" s="6">
        <v>331</v>
      </c>
      <c r="D18" s="6"/>
      <c r="E18" s="6"/>
      <c r="F18" s="6"/>
      <c r="G18" s="6">
        <v>2</v>
      </c>
      <c r="H18" s="6"/>
      <c r="I18" s="6"/>
      <c r="J18" s="16">
        <f t="shared" si="0"/>
        <v>329</v>
      </c>
      <c r="K18" s="13">
        <v>150</v>
      </c>
      <c r="L18" s="14">
        <v>400</v>
      </c>
    </row>
    <row r="19" spans="1:12" x14ac:dyDescent="0.25">
      <c r="A19" s="6">
        <v>17</v>
      </c>
      <c r="B19" s="7" t="s">
        <v>103</v>
      </c>
      <c r="C19" s="6">
        <v>77</v>
      </c>
      <c r="D19" s="6">
        <v>7</v>
      </c>
      <c r="E19" s="6">
        <v>12</v>
      </c>
      <c r="F19" s="6"/>
      <c r="G19" s="6"/>
      <c r="H19" s="6"/>
      <c r="I19" s="6"/>
      <c r="J19" s="16">
        <f t="shared" si="0"/>
        <v>72</v>
      </c>
      <c r="K19" s="13">
        <v>5</v>
      </c>
      <c r="L19" s="14">
        <v>100</v>
      </c>
    </row>
    <row r="20" spans="1:12" x14ac:dyDescent="0.25">
      <c r="A20" s="6">
        <v>18</v>
      </c>
      <c r="B20" s="7" t="s">
        <v>19</v>
      </c>
      <c r="C20" s="6">
        <v>0</v>
      </c>
      <c r="D20" s="6">
        <v>2</v>
      </c>
      <c r="E20" s="6"/>
      <c r="F20" s="6"/>
      <c r="G20" s="6"/>
      <c r="H20" s="6"/>
      <c r="I20" s="6"/>
      <c r="J20" s="16">
        <f t="shared" si="0"/>
        <v>2</v>
      </c>
      <c r="K20" s="13">
        <v>30</v>
      </c>
      <c r="L20" s="14">
        <v>100</v>
      </c>
    </row>
    <row r="21" spans="1:12" x14ac:dyDescent="0.25">
      <c r="A21" s="6">
        <v>19</v>
      </c>
      <c r="B21" s="7" t="s">
        <v>20</v>
      </c>
      <c r="C21" s="6">
        <v>23</v>
      </c>
      <c r="D21" s="6">
        <v>3</v>
      </c>
      <c r="E21" s="6"/>
      <c r="F21" s="6"/>
      <c r="G21" s="6">
        <v>1</v>
      </c>
      <c r="H21" s="6"/>
      <c r="I21" s="6"/>
      <c r="J21" s="16">
        <f t="shared" si="0"/>
        <v>25</v>
      </c>
      <c r="K21" s="13">
        <v>20</v>
      </c>
      <c r="L21" s="14">
        <v>50</v>
      </c>
    </row>
    <row r="22" spans="1:12" x14ac:dyDescent="0.25">
      <c r="A22" s="6">
        <v>20</v>
      </c>
      <c r="B22" s="7" t="s">
        <v>70</v>
      </c>
      <c r="C22" s="6">
        <v>44</v>
      </c>
      <c r="D22" s="6"/>
      <c r="E22" s="6"/>
      <c r="F22" s="6"/>
      <c r="G22" s="6">
        <v>2</v>
      </c>
      <c r="H22" s="6"/>
      <c r="I22" s="6"/>
      <c r="J22" s="16">
        <f t="shared" si="0"/>
        <v>42</v>
      </c>
      <c r="K22" s="13">
        <v>30</v>
      </c>
      <c r="L22" s="14">
        <v>50</v>
      </c>
    </row>
    <row r="23" spans="1:12" x14ac:dyDescent="0.25">
      <c r="A23" s="6">
        <v>21</v>
      </c>
      <c r="B23" s="7" t="s">
        <v>59</v>
      </c>
      <c r="C23" s="6">
        <v>2</v>
      </c>
      <c r="D23" s="6"/>
      <c r="E23" s="6"/>
      <c r="F23" s="6"/>
      <c r="G23" s="6"/>
      <c r="H23" s="6"/>
      <c r="I23" s="6"/>
      <c r="J23" s="16">
        <f t="shared" si="0"/>
        <v>2</v>
      </c>
      <c r="K23" s="13">
        <v>5</v>
      </c>
      <c r="L23" s="14">
        <v>10</v>
      </c>
    </row>
    <row r="24" spans="1:12" x14ac:dyDescent="0.25">
      <c r="A24" s="6">
        <v>22</v>
      </c>
      <c r="B24" s="7" t="s">
        <v>21</v>
      </c>
      <c r="C24" s="6">
        <v>27</v>
      </c>
      <c r="D24" s="6"/>
      <c r="E24" s="6"/>
      <c r="F24" s="6"/>
      <c r="G24" s="6"/>
      <c r="H24" s="6"/>
      <c r="I24" s="6"/>
      <c r="J24" s="16">
        <f t="shared" si="0"/>
        <v>27</v>
      </c>
      <c r="K24" s="13">
        <v>5</v>
      </c>
      <c r="L24" s="14">
        <v>10</v>
      </c>
    </row>
    <row r="25" spans="1:12" x14ac:dyDescent="0.25">
      <c r="A25" s="6">
        <v>23</v>
      </c>
      <c r="B25" s="7" t="s">
        <v>22</v>
      </c>
      <c r="C25" s="6">
        <v>20</v>
      </c>
      <c r="D25" s="6"/>
      <c r="E25" s="6"/>
      <c r="F25" s="6"/>
      <c r="G25" s="6"/>
      <c r="H25" s="6"/>
      <c r="I25" s="6"/>
      <c r="J25" s="16">
        <f t="shared" si="0"/>
        <v>20</v>
      </c>
      <c r="K25" s="13">
        <v>5</v>
      </c>
      <c r="L25" s="14">
        <v>10</v>
      </c>
    </row>
    <row r="26" spans="1:12" x14ac:dyDescent="0.25">
      <c r="A26" s="6">
        <v>24</v>
      </c>
      <c r="B26" s="7" t="s">
        <v>53</v>
      </c>
      <c r="C26" s="6">
        <v>184</v>
      </c>
      <c r="D26" s="6"/>
      <c r="E26" s="6"/>
      <c r="F26" s="6"/>
      <c r="G26" s="6"/>
      <c r="H26" s="6"/>
      <c r="I26" s="6"/>
      <c r="J26" s="16">
        <f t="shared" si="0"/>
        <v>184</v>
      </c>
      <c r="K26" s="13">
        <v>100</v>
      </c>
      <c r="L26" s="14">
        <v>200</v>
      </c>
    </row>
    <row r="27" spans="1:12" x14ac:dyDescent="0.25">
      <c r="A27" s="6">
        <v>25</v>
      </c>
      <c r="B27" s="7" t="s">
        <v>131</v>
      </c>
      <c r="C27" s="6">
        <v>11</v>
      </c>
      <c r="D27" s="6"/>
      <c r="E27" s="6"/>
      <c r="F27" s="6"/>
      <c r="G27" s="6"/>
      <c r="H27" s="6"/>
      <c r="I27" s="6"/>
      <c r="J27" s="16">
        <f t="shared" si="0"/>
        <v>11</v>
      </c>
      <c r="K27" s="13">
        <v>10</v>
      </c>
      <c r="L27" s="14">
        <v>50</v>
      </c>
    </row>
    <row r="28" spans="1:12" x14ac:dyDescent="0.25">
      <c r="A28" s="6">
        <v>26</v>
      </c>
      <c r="B28" s="7" t="s">
        <v>126</v>
      </c>
      <c r="C28" s="6">
        <v>0</v>
      </c>
      <c r="D28" s="6">
        <v>555</v>
      </c>
      <c r="E28" s="6"/>
      <c r="F28" s="6"/>
      <c r="G28" s="6"/>
      <c r="H28" s="6"/>
      <c r="I28" s="6"/>
      <c r="J28" s="16">
        <f t="shared" si="0"/>
        <v>555</v>
      </c>
      <c r="K28" s="13">
        <v>0</v>
      </c>
      <c r="L28" s="14"/>
    </row>
    <row r="29" spans="1:12" x14ac:dyDescent="0.25">
      <c r="A29" s="6">
        <v>27</v>
      </c>
      <c r="B29" s="7" t="s">
        <v>127</v>
      </c>
      <c r="C29" s="6">
        <v>0</v>
      </c>
      <c r="D29" s="6">
        <v>330</v>
      </c>
      <c r="E29" s="6"/>
      <c r="F29" s="6"/>
      <c r="G29" s="6"/>
      <c r="H29" s="6"/>
      <c r="I29" s="6"/>
      <c r="J29" s="16">
        <f t="shared" si="0"/>
        <v>330</v>
      </c>
      <c r="K29" s="13">
        <v>0</v>
      </c>
      <c r="L29" s="14"/>
    </row>
    <row r="30" spans="1:12" x14ac:dyDescent="0.25">
      <c r="A30" s="6">
        <v>28</v>
      </c>
      <c r="B30" s="7" t="s">
        <v>133</v>
      </c>
      <c r="C30" s="6">
        <v>0</v>
      </c>
      <c r="D30" s="6">
        <v>12</v>
      </c>
      <c r="E30" s="6"/>
      <c r="F30" s="6"/>
      <c r="G30" s="6"/>
      <c r="H30" s="6"/>
      <c r="I30" s="6"/>
      <c r="J30" s="16">
        <f t="shared" si="0"/>
        <v>12</v>
      </c>
      <c r="K30" s="13">
        <v>5</v>
      </c>
      <c r="L30" s="14">
        <v>15</v>
      </c>
    </row>
    <row r="31" spans="1:12" x14ac:dyDescent="0.25">
      <c r="A31" s="6">
        <v>29</v>
      </c>
      <c r="B31" s="7" t="s">
        <v>61</v>
      </c>
      <c r="C31" s="6">
        <v>112</v>
      </c>
      <c r="D31" s="6"/>
      <c r="E31" s="6"/>
      <c r="F31" s="6"/>
      <c r="G31" s="6"/>
      <c r="H31" s="6"/>
      <c r="I31" s="6"/>
      <c r="J31" s="16">
        <f t="shared" si="0"/>
        <v>112</v>
      </c>
      <c r="K31" s="13">
        <v>50</v>
      </c>
      <c r="L31" s="14">
        <v>100</v>
      </c>
    </row>
    <row r="32" spans="1:12" x14ac:dyDescent="0.25">
      <c r="A32" s="6">
        <v>30</v>
      </c>
      <c r="B32" s="7" t="s">
        <v>25</v>
      </c>
      <c r="C32" s="6">
        <v>666</v>
      </c>
      <c r="D32" s="6"/>
      <c r="E32" s="6"/>
      <c r="F32" s="6"/>
      <c r="G32" s="6"/>
      <c r="H32" s="6"/>
      <c r="I32" s="6"/>
      <c r="J32" s="16">
        <f t="shared" si="0"/>
        <v>666</v>
      </c>
      <c r="K32" s="13">
        <v>200</v>
      </c>
      <c r="L32" s="14">
        <v>400</v>
      </c>
    </row>
    <row r="33" spans="1:12" x14ac:dyDescent="0.25">
      <c r="A33" s="6">
        <v>31</v>
      </c>
      <c r="B33" s="7" t="s">
        <v>122</v>
      </c>
      <c r="C33" s="6">
        <v>3</v>
      </c>
      <c r="D33" s="6">
        <v>3</v>
      </c>
      <c r="E33" s="6"/>
      <c r="F33" s="6"/>
      <c r="G33" s="6"/>
      <c r="H33" s="6"/>
      <c r="I33" s="6"/>
      <c r="J33" s="16">
        <f t="shared" si="0"/>
        <v>6</v>
      </c>
      <c r="K33" s="13">
        <v>10</v>
      </c>
      <c r="L33" s="14">
        <v>50</v>
      </c>
    </row>
    <row r="34" spans="1:12" x14ac:dyDescent="0.25">
      <c r="A34" s="6">
        <v>32</v>
      </c>
      <c r="B34" s="7" t="s">
        <v>123</v>
      </c>
      <c r="C34" s="6">
        <v>46</v>
      </c>
      <c r="D34" s="6"/>
      <c r="E34" s="6"/>
      <c r="F34" s="6"/>
      <c r="G34" s="6"/>
      <c r="H34" s="6"/>
      <c r="I34" s="6"/>
      <c r="J34" s="16">
        <f t="shared" si="0"/>
        <v>46</v>
      </c>
      <c r="K34" s="13">
        <v>10</v>
      </c>
      <c r="L34" s="14">
        <v>50</v>
      </c>
    </row>
    <row r="35" spans="1:12" x14ac:dyDescent="0.25">
      <c r="A35" s="6">
        <v>33</v>
      </c>
      <c r="B35" s="7" t="s">
        <v>129</v>
      </c>
      <c r="C35" s="6">
        <v>14</v>
      </c>
      <c r="D35" s="6"/>
      <c r="E35" s="6"/>
      <c r="F35" s="6"/>
      <c r="G35" s="6"/>
      <c r="H35" s="6"/>
      <c r="I35" s="6"/>
      <c r="J35" s="16">
        <f t="shared" si="0"/>
        <v>14</v>
      </c>
      <c r="K35" s="13">
        <v>10</v>
      </c>
      <c r="L35" s="14">
        <v>10</v>
      </c>
    </row>
    <row r="36" spans="1:12" x14ac:dyDescent="0.25">
      <c r="A36" s="6">
        <v>34</v>
      </c>
      <c r="B36" s="7" t="s">
        <v>130</v>
      </c>
      <c r="C36" s="6">
        <v>14</v>
      </c>
      <c r="D36" s="6"/>
      <c r="E36" s="6"/>
      <c r="F36" s="6"/>
      <c r="G36" s="6"/>
      <c r="H36" s="6"/>
      <c r="I36" s="6"/>
      <c r="J36" s="16">
        <f t="shared" si="0"/>
        <v>14</v>
      </c>
      <c r="K36" s="13">
        <v>10</v>
      </c>
      <c r="L36" s="14">
        <v>10</v>
      </c>
    </row>
    <row r="37" spans="1:12" x14ac:dyDescent="0.25">
      <c r="A37" s="6">
        <v>35</v>
      </c>
      <c r="B37" s="7" t="s">
        <v>65</v>
      </c>
      <c r="C37" s="6">
        <v>10</v>
      </c>
      <c r="D37" s="6"/>
      <c r="E37" s="6"/>
      <c r="F37" s="6"/>
      <c r="G37" s="6"/>
      <c r="H37" s="6"/>
      <c r="I37" s="6"/>
      <c r="J37" s="16">
        <f t="shared" si="0"/>
        <v>10</v>
      </c>
      <c r="K37" s="13">
        <v>10</v>
      </c>
      <c r="L37" s="14">
        <v>30</v>
      </c>
    </row>
    <row r="38" spans="1:12" x14ac:dyDescent="0.25">
      <c r="A38" s="6">
        <v>36</v>
      </c>
      <c r="B38" s="7" t="s">
        <v>132</v>
      </c>
      <c r="C38" s="6">
        <v>10</v>
      </c>
      <c r="D38" s="6"/>
      <c r="E38" s="6"/>
      <c r="F38" s="6"/>
      <c r="G38" s="6"/>
      <c r="H38" s="6"/>
      <c r="I38" s="6"/>
      <c r="J38" s="16">
        <f t="shared" si="0"/>
        <v>10</v>
      </c>
      <c r="K38" s="13">
        <v>10</v>
      </c>
      <c r="L38" s="14">
        <v>20</v>
      </c>
    </row>
    <row r="39" spans="1:12" x14ac:dyDescent="0.25">
      <c r="A39" s="6">
        <v>37</v>
      </c>
      <c r="B39" s="7" t="s">
        <v>32</v>
      </c>
      <c r="C39" s="6">
        <v>48</v>
      </c>
      <c r="D39" s="6"/>
      <c r="E39" s="6"/>
      <c r="F39" s="6"/>
      <c r="G39" s="6"/>
      <c r="H39" s="6"/>
      <c r="I39" s="6"/>
      <c r="J39" s="16">
        <f t="shared" si="0"/>
        <v>48</v>
      </c>
      <c r="K39" s="13">
        <v>10</v>
      </c>
      <c r="L39" s="14">
        <v>30</v>
      </c>
    </row>
    <row r="40" spans="1:12" x14ac:dyDescent="0.25">
      <c r="A40" s="6">
        <v>38</v>
      </c>
      <c r="B40" s="7" t="s">
        <v>33</v>
      </c>
      <c r="C40" s="6">
        <v>61</v>
      </c>
      <c r="D40" s="6"/>
      <c r="E40" s="6"/>
      <c r="F40" s="6"/>
      <c r="G40" s="6"/>
      <c r="H40" s="6"/>
      <c r="I40" s="6"/>
      <c r="J40" s="16">
        <f t="shared" si="0"/>
        <v>61</v>
      </c>
      <c r="K40" s="13">
        <v>20</v>
      </c>
      <c r="L40" s="14">
        <v>40</v>
      </c>
    </row>
    <row r="41" spans="1:12" x14ac:dyDescent="0.25">
      <c r="A41" s="6">
        <v>39</v>
      </c>
      <c r="B41" s="7" t="s">
        <v>34</v>
      </c>
      <c r="C41" s="6">
        <v>54</v>
      </c>
      <c r="D41" s="6"/>
      <c r="E41" s="6"/>
      <c r="F41" s="6"/>
      <c r="G41" s="6"/>
      <c r="H41" s="6"/>
      <c r="I41" s="6"/>
      <c r="J41" s="16">
        <f t="shared" si="0"/>
        <v>54</v>
      </c>
      <c r="K41" s="13">
        <v>30</v>
      </c>
      <c r="L41" s="14">
        <v>50</v>
      </c>
    </row>
    <row r="42" spans="1:12" x14ac:dyDescent="0.25">
      <c r="A42" s="6">
        <v>40</v>
      </c>
      <c r="B42" s="7" t="s">
        <v>35</v>
      </c>
      <c r="C42" s="6">
        <v>54</v>
      </c>
      <c r="D42" s="6"/>
      <c r="E42" s="6"/>
      <c r="F42" s="6"/>
      <c r="G42" s="6"/>
      <c r="H42" s="6"/>
      <c r="I42" s="6"/>
      <c r="J42" s="16">
        <f t="shared" si="0"/>
        <v>54</v>
      </c>
      <c r="K42" s="13">
        <v>50</v>
      </c>
      <c r="L42" s="14">
        <v>50</v>
      </c>
    </row>
    <row r="43" spans="1:12" x14ac:dyDescent="0.25">
      <c r="A43" s="6">
        <v>41</v>
      </c>
      <c r="B43" s="7" t="s">
        <v>44</v>
      </c>
      <c r="C43" s="6">
        <v>20</v>
      </c>
      <c r="D43" s="6">
        <v>341</v>
      </c>
      <c r="E43" s="6"/>
      <c r="F43" s="6">
        <v>68</v>
      </c>
      <c r="G43" s="6">
        <v>16</v>
      </c>
      <c r="H43" s="6"/>
      <c r="I43" s="6"/>
      <c r="J43" s="16">
        <f t="shared" si="0"/>
        <v>277</v>
      </c>
      <c r="K43" s="13">
        <v>200</v>
      </c>
      <c r="L43" s="14">
        <v>400</v>
      </c>
    </row>
    <row r="44" spans="1:12" x14ac:dyDescent="0.25">
      <c r="A44" s="6">
        <v>42</v>
      </c>
      <c r="B44" s="7" t="s">
        <v>39</v>
      </c>
      <c r="C44" s="6">
        <v>46</v>
      </c>
      <c r="D44" s="6"/>
      <c r="E44" s="6"/>
      <c r="F44" s="6"/>
      <c r="G44" s="6"/>
      <c r="H44" s="6"/>
      <c r="I44" s="6"/>
      <c r="J44" s="16">
        <f t="shared" si="0"/>
        <v>46</v>
      </c>
      <c r="K44" s="13">
        <v>10</v>
      </c>
      <c r="L44" s="14">
        <v>20</v>
      </c>
    </row>
    <row r="45" spans="1:12" x14ac:dyDescent="0.25">
      <c r="A45" s="6">
        <v>43</v>
      </c>
      <c r="B45" s="7" t="s">
        <v>36</v>
      </c>
      <c r="C45" s="6">
        <v>15</v>
      </c>
      <c r="D45" s="6"/>
      <c r="E45" s="6"/>
      <c r="F45" s="6"/>
      <c r="G45" s="6"/>
      <c r="H45" s="6"/>
      <c r="I45" s="6"/>
      <c r="J45" s="16">
        <f t="shared" si="0"/>
        <v>15</v>
      </c>
      <c r="K45" s="13">
        <v>10</v>
      </c>
      <c r="L45" s="14">
        <v>20</v>
      </c>
    </row>
    <row r="46" spans="1:12" x14ac:dyDescent="0.25">
      <c r="A46" s="6">
        <v>44</v>
      </c>
      <c r="B46" s="7" t="s">
        <v>37</v>
      </c>
      <c r="C46" s="6">
        <v>22</v>
      </c>
      <c r="D46" s="6"/>
      <c r="E46" s="6"/>
      <c r="F46" s="6"/>
      <c r="G46" s="6"/>
      <c r="H46" s="6"/>
      <c r="I46" s="6"/>
      <c r="J46" s="16">
        <f t="shared" si="0"/>
        <v>22</v>
      </c>
      <c r="K46" s="13">
        <v>15</v>
      </c>
      <c r="L46" s="14">
        <v>30</v>
      </c>
    </row>
    <row r="47" spans="1:12" x14ac:dyDescent="0.25">
      <c r="A47" s="6">
        <v>45</v>
      </c>
      <c r="B47" s="7" t="s">
        <v>38</v>
      </c>
      <c r="C47" s="6">
        <v>14</v>
      </c>
      <c r="D47" s="6"/>
      <c r="E47" s="6"/>
      <c r="F47" s="6"/>
      <c r="G47" s="6"/>
      <c r="H47" s="6"/>
      <c r="I47" s="6"/>
      <c r="J47" s="16">
        <f t="shared" si="0"/>
        <v>14</v>
      </c>
      <c r="K47" s="13">
        <v>15</v>
      </c>
      <c r="L47" s="14">
        <v>30</v>
      </c>
    </row>
    <row r="48" spans="1:12" x14ac:dyDescent="0.25">
      <c r="A48" s="6">
        <v>46</v>
      </c>
      <c r="B48" s="7" t="s">
        <v>144</v>
      </c>
      <c r="C48" s="6">
        <v>15</v>
      </c>
      <c r="D48" s="6"/>
      <c r="E48" s="6">
        <v>1</v>
      </c>
      <c r="F48" s="6"/>
      <c r="G48" s="6"/>
      <c r="H48" s="6"/>
      <c r="I48" s="6"/>
      <c r="J48" s="16">
        <f t="shared" si="0"/>
        <v>14</v>
      </c>
      <c r="K48" s="13">
        <v>15</v>
      </c>
      <c r="L48" s="14">
        <v>50</v>
      </c>
    </row>
    <row r="49" spans="1:12" x14ac:dyDescent="0.25">
      <c r="A49" s="6">
        <v>47</v>
      </c>
      <c r="B49" s="7" t="s">
        <v>95</v>
      </c>
      <c r="C49" s="6">
        <v>331</v>
      </c>
      <c r="D49" s="6"/>
      <c r="E49" s="6">
        <v>8</v>
      </c>
      <c r="F49" s="6">
        <v>3</v>
      </c>
      <c r="G49" s="6"/>
      <c r="H49" s="6"/>
      <c r="I49" s="6"/>
      <c r="J49" s="16">
        <f t="shared" si="0"/>
        <v>320</v>
      </c>
      <c r="K49" s="13">
        <v>150</v>
      </c>
      <c r="L49" s="14">
        <v>500</v>
      </c>
    </row>
    <row r="50" spans="1:12" x14ac:dyDescent="0.25">
      <c r="A50" s="6">
        <v>48</v>
      </c>
      <c r="B50" s="7" t="s">
        <v>40</v>
      </c>
      <c r="C50" s="6">
        <v>169</v>
      </c>
      <c r="D50" s="6">
        <v>44</v>
      </c>
      <c r="E50" s="6">
        <v>1</v>
      </c>
      <c r="F50" s="6"/>
      <c r="G50" s="6"/>
      <c r="H50" s="6"/>
      <c r="I50" s="6"/>
      <c r="J50" s="16">
        <f t="shared" si="0"/>
        <v>212</v>
      </c>
      <c r="K50" s="13">
        <v>50</v>
      </c>
      <c r="L50" s="14">
        <v>100</v>
      </c>
    </row>
    <row r="51" spans="1:12" x14ac:dyDescent="0.25">
      <c r="A51" s="6">
        <v>49</v>
      </c>
      <c r="B51" s="7" t="s">
        <v>41</v>
      </c>
      <c r="C51" s="6">
        <v>0</v>
      </c>
      <c r="D51" s="6">
        <v>61</v>
      </c>
      <c r="E51" s="6">
        <v>1</v>
      </c>
      <c r="F51" s="6"/>
      <c r="G51" s="6"/>
      <c r="H51" s="6"/>
      <c r="I51" s="6"/>
      <c r="J51" s="16">
        <f t="shared" si="0"/>
        <v>60</v>
      </c>
      <c r="K51" s="13">
        <v>20</v>
      </c>
      <c r="L51" s="14">
        <v>50</v>
      </c>
    </row>
    <row r="52" spans="1:12" x14ac:dyDescent="0.25">
      <c r="A52" s="6">
        <v>50</v>
      </c>
      <c r="B52" s="7" t="s">
        <v>43</v>
      </c>
      <c r="C52" s="6">
        <v>41</v>
      </c>
      <c r="D52" s="6"/>
      <c r="E52" s="6"/>
      <c r="F52" s="6"/>
      <c r="G52" s="6"/>
      <c r="H52" s="6"/>
      <c r="I52" s="6"/>
      <c r="J52" s="16">
        <f t="shared" si="0"/>
        <v>41</v>
      </c>
      <c r="K52" s="13">
        <v>20</v>
      </c>
      <c r="L52" s="14">
        <v>50</v>
      </c>
    </row>
    <row r="53" spans="1:12" x14ac:dyDescent="0.25">
      <c r="A53" s="6">
        <v>51</v>
      </c>
      <c r="B53" s="7" t="s">
        <v>93</v>
      </c>
      <c r="C53" s="6">
        <v>22</v>
      </c>
      <c r="D53" s="6"/>
      <c r="E53" s="6"/>
      <c r="F53" s="6">
        <v>1</v>
      </c>
      <c r="G53" s="6"/>
      <c r="H53" s="6"/>
      <c r="I53" s="6"/>
      <c r="J53" s="16">
        <f t="shared" si="0"/>
        <v>21</v>
      </c>
      <c r="K53" s="13">
        <v>20</v>
      </c>
      <c r="L53" s="14">
        <v>50</v>
      </c>
    </row>
    <row r="54" spans="1:12" x14ac:dyDescent="0.25">
      <c r="A54" s="6">
        <v>52</v>
      </c>
      <c r="B54" s="7" t="s">
        <v>139</v>
      </c>
      <c r="C54" s="6">
        <v>8</v>
      </c>
      <c r="D54" s="6"/>
      <c r="E54" s="6"/>
      <c r="F54" s="6"/>
      <c r="G54" s="6"/>
      <c r="H54" s="6"/>
      <c r="I54" s="6"/>
      <c r="J54" s="16">
        <f t="shared" si="0"/>
        <v>8</v>
      </c>
      <c r="K54" s="13">
        <v>5</v>
      </c>
      <c r="L54" s="14">
        <v>10</v>
      </c>
    </row>
    <row r="55" spans="1:12" x14ac:dyDescent="0.25">
      <c r="A55" s="6">
        <v>55</v>
      </c>
      <c r="B55" s="7" t="s">
        <v>143</v>
      </c>
      <c r="C55" s="6">
        <v>62</v>
      </c>
      <c r="D55" s="6"/>
      <c r="E55" s="6"/>
      <c r="F55" s="6"/>
      <c r="G55" s="6"/>
      <c r="H55" s="6"/>
      <c r="I55" s="6"/>
      <c r="J55" s="16">
        <f t="shared" si="0"/>
        <v>62</v>
      </c>
      <c r="K55" s="13">
        <v>10</v>
      </c>
      <c r="L55" s="14">
        <v>50</v>
      </c>
    </row>
    <row r="56" spans="1:12" x14ac:dyDescent="0.25">
      <c r="A56" s="6">
        <v>56</v>
      </c>
      <c r="B56" s="7" t="s">
        <v>114</v>
      </c>
      <c r="C56" s="6">
        <v>41</v>
      </c>
      <c r="D56" s="6"/>
      <c r="E56" s="6">
        <v>3</v>
      </c>
      <c r="F56" s="6"/>
      <c r="G56" s="6"/>
      <c r="H56" s="6"/>
      <c r="I56" s="6"/>
      <c r="J56" s="16">
        <f t="shared" si="0"/>
        <v>38</v>
      </c>
      <c r="K56" s="13">
        <v>20</v>
      </c>
      <c r="L56" s="14">
        <v>50</v>
      </c>
    </row>
    <row r="57" spans="1:12" x14ac:dyDescent="0.25">
      <c r="A57" s="6">
        <v>57</v>
      </c>
      <c r="B57" s="7" t="s">
        <v>148</v>
      </c>
      <c r="C57" s="6">
        <v>0</v>
      </c>
      <c r="D57" s="6">
        <v>12</v>
      </c>
      <c r="E57" s="6"/>
      <c r="F57" s="6"/>
      <c r="G57" s="6">
        <v>1</v>
      </c>
      <c r="H57" s="6"/>
      <c r="I57" s="6"/>
      <c r="J57" s="16">
        <f t="shared" si="0"/>
        <v>11</v>
      </c>
      <c r="K57" s="13">
        <v>20</v>
      </c>
      <c r="L57" s="14">
        <v>50</v>
      </c>
    </row>
    <row r="58" spans="1:12" x14ac:dyDescent="0.25">
      <c r="A58" s="6">
        <v>58</v>
      </c>
      <c r="B58" s="7" t="s">
        <v>57</v>
      </c>
      <c r="C58" s="6">
        <v>42</v>
      </c>
      <c r="D58" s="6"/>
      <c r="E58" s="6"/>
      <c r="F58" s="6"/>
      <c r="G58" s="6"/>
      <c r="H58" s="6"/>
      <c r="I58" s="6"/>
      <c r="J58" s="16">
        <f t="shared" si="0"/>
        <v>42</v>
      </c>
      <c r="K58" s="13">
        <v>20</v>
      </c>
      <c r="L58" s="14">
        <v>50</v>
      </c>
    </row>
    <row r="59" spans="1:12" x14ac:dyDescent="0.25">
      <c r="A59" s="6">
        <v>59</v>
      </c>
      <c r="B59" s="7" t="s">
        <v>58</v>
      </c>
      <c r="C59" s="6">
        <v>70</v>
      </c>
      <c r="D59" s="6"/>
      <c r="E59" s="6">
        <v>6</v>
      </c>
      <c r="F59" s="6"/>
      <c r="G59" s="6"/>
      <c r="H59" s="6"/>
      <c r="I59" s="6"/>
      <c r="J59" s="16">
        <f t="shared" si="0"/>
        <v>64</v>
      </c>
      <c r="K59" s="13">
        <v>20</v>
      </c>
      <c r="L59" s="14">
        <v>50</v>
      </c>
    </row>
    <row r="60" spans="1:12" x14ac:dyDescent="0.25">
      <c r="A60" s="6">
        <v>60</v>
      </c>
      <c r="B60" s="17" t="s">
        <v>125</v>
      </c>
      <c r="C60" s="6">
        <v>0</v>
      </c>
      <c r="D60" s="6"/>
      <c r="E60" s="6"/>
      <c r="F60" s="6"/>
      <c r="G60" s="6"/>
      <c r="H60" s="6"/>
      <c r="I60" s="6"/>
      <c r="J60" s="16">
        <f t="shared" si="0"/>
        <v>0</v>
      </c>
      <c r="K60" s="13">
        <v>20</v>
      </c>
      <c r="L60" s="14">
        <v>50</v>
      </c>
    </row>
    <row r="61" spans="1:12" x14ac:dyDescent="0.25">
      <c r="A61" s="6">
        <v>61</v>
      </c>
      <c r="B61" s="8" t="s">
        <v>119</v>
      </c>
      <c r="C61" s="6">
        <v>0</v>
      </c>
      <c r="D61" s="6"/>
      <c r="E61" s="6"/>
      <c r="F61" s="6"/>
      <c r="G61" s="6"/>
      <c r="H61" s="6"/>
      <c r="I61" s="6"/>
      <c r="J61" s="16">
        <f t="shared" si="0"/>
        <v>0</v>
      </c>
      <c r="K61" s="13">
        <v>20</v>
      </c>
      <c r="L61" s="14">
        <v>50</v>
      </c>
    </row>
    <row r="62" spans="1:12" x14ac:dyDescent="0.25">
      <c r="A62" s="6">
        <v>62</v>
      </c>
      <c r="B62" s="9" t="s">
        <v>67</v>
      </c>
      <c r="C62" s="6">
        <v>205</v>
      </c>
      <c r="D62" s="6"/>
      <c r="E62" s="6"/>
      <c r="F62" s="6"/>
      <c r="G62" s="6"/>
      <c r="H62" s="6"/>
      <c r="I62" s="6"/>
      <c r="J62" s="16">
        <f t="shared" si="0"/>
        <v>205</v>
      </c>
      <c r="K62" s="13">
        <v>50</v>
      </c>
      <c r="L62" s="14">
        <v>100</v>
      </c>
    </row>
    <row r="63" spans="1:12" x14ac:dyDescent="0.25">
      <c r="A63" s="6">
        <v>63</v>
      </c>
      <c r="B63" s="7" t="s">
        <v>115</v>
      </c>
      <c r="C63" s="6">
        <v>43</v>
      </c>
      <c r="D63" s="6"/>
      <c r="E63" s="6">
        <v>7</v>
      </c>
      <c r="F63" s="6"/>
      <c r="G63" s="6"/>
      <c r="H63" s="6"/>
      <c r="I63" s="6"/>
      <c r="J63" s="16">
        <f t="shared" si="0"/>
        <v>36</v>
      </c>
      <c r="K63" s="13">
        <v>20</v>
      </c>
      <c r="L63" s="14">
        <v>50</v>
      </c>
    </row>
    <row r="64" spans="1:12" x14ac:dyDescent="0.25">
      <c r="A64" s="6">
        <v>64</v>
      </c>
      <c r="B64" s="8" t="s">
        <v>74</v>
      </c>
      <c r="C64" s="6">
        <v>80</v>
      </c>
      <c r="D64" s="6"/>
      <c r="E64" s="6"/>
      <c r="F64" s="6"/>
      <c r="G64" s="6"/>
      <c r="H64" s="6"/>
      <c r="I64" s="6"/>
      <c r="J64" s="16">
        <f t="shared" si="0"/>
        <v>80</v>
      </c>
      <c r="K64" s="13">
        <v>20</v>
      </c>
      <c r="L64" s="14">
        <v>50</v>
      </c>
    </row>
    <row r="65" spans="1:12" x14ac:dyDescent="0.25">
      <c r="A65" s="6">
        <v>65</v>
      </c>
      <c r="B65" s="8" t="s">
        <v>75</v>
      </c>
      <c r="C65" s="6">
        <v>25</v>
      </c>
      <c r="D65" s="6"/>
      <c r="E65" s="6"/>
      <c r="F65" s="6"/>
      <c r="G65" s="6"/>
      <c r="H65" s="6"/>
      <c r="I65" s="6"/>
      <c r="J65" s="16">
        <f t="shared" si="0"/>
        <v>25</v>
      </c>
      <c r="K65" s="13">
        <v>20</v>
      </c>
      <c r="L65" s="14">
        <v>50</v>
      </c>
    </row>
    <row r="66" spans="1:12" x14ac:dyDescent="0.25">
      <c r="A66" s="6">
        <v>66</v>
      </c>
      <c r="B66" s="8" t="s">
        <v>76</v>
      </c>
      <c r="C66" s="6">
        <v>0</v>
      </c>
      <c r="D66" s="6"/>
      <c r="E66" s="6"/>
      <c r="F66" s="6"/>
      <c r="G66" s="6"/>
      <c r="H66" s="6"/>
      <c r="I66" s="6"/>
      <c r="J66" s="16">
        <f t="shared" si="0"/>
        <v>0</v>
      </c>
      <c r="K66" s="13">
        <v>20</v>
      </c>
      <c r="L66" s="14">
        <v>50</v>
      </c>
    </row>
    <row r="67" spans="1:12" x14ac:dyDescent="0.25">
      <c r="A67" s="6">
        <v>67</v>
      </c>
      <c r="B67" s="8" t="s">
        <v>77</v>
      </c>
      <c r="C67" s="6">
        <v>14</v>
      </c>
      <c r="D67" s="6"/>
      <c r="E67" s="6"/>
      <c r="F67" s="6"/>
      <c r="G67" s="6"/>
      <c r="H67" s="6"/>
      <c r="I67" s="6"/>
      <c r="J67" s="16">
        <f t="shared" ref="J67:J77" si="1">+C67-E67-F67-G67-H67-I67+D67</f>
        <v>14</v>
      </c>
      <c r="K67" s="13">
        <v>20</v>
      </c>
      <c r="L67" s="14">
        <v>50</v>
      </c>
    </row>
    <row r="68" spans="1:12" x14ac:dyDescent="0.25">
      <c r="A68" s="6">
        <v>68</v>
      </c>
      <c r="B68" s="8" t="s">
        <v>78</v>
      </c>
      <c r="C68" s="6">
        <v>19</v>
      </c>
      <c r="D68" s="6"/>
      <c r="E68" s="6"/>
      <c r="F68" s="6">
        <v>1</v>
      </c>
      <c r="G68" s="6"/>
      <c r="H68" s="6"/>
      <c r="I68" s="6"/>
      <c r="J68" s="16">
        <f t="shared" si="1"/>
        <v>18</v>
      </c>
      <c r="K68" s="13">
        <v>20</v>
      </c>
      <c r="L68" s="14">
        <v>50</v>
      </c>
    </row>
    <row r="69" spans="1:12" x14ac:dyDescent="0.25">
      <c r="A69" s="6">
        <v>69</v>
      </c>
      <c r="B69" s="8" t="s">
        <v>79</v>
      </c>
      <c r="C69" s="6">
        <v>22</v>
      </c>
      <c r="D69" s="6"/>
      <c r="E69" s="6"/>
      <c r="F69" s="6"/>
      <c r="G69" s="6"/>
      <c r="H69" s="6"/>
      <c r="I69" s="6"/>
      <c r="J69" s="16">
        <f t="shared" si="1"/>
        <v>22</v>
      </c>
      <c r="K69" s="13">
        <v>20</v>
      </c>
      <c r="L69" s="14">
        <v>50</v>
      </c>
    </row>
    <row r="70" spans="1:12" x14ac:dyDescent="0.25">
      <c r="A70" s="6">
        <v>70</v>
      </c>
      <c r="B70" s="8" t="s">
        <v>80</v>
      </c>
      <c r="C70" s="6">
        <v>4</v>
      </c>
      <c r="D70" s="6">
        <v>25</v>
      </c>
      <c r="E70" s="6"/>
      <c r="F70" s="6"/>
      <c r="G70" s="6"/>
      <c r="H70" s="6"/>
      <c r="I70" s="6"/>
      <c r="J70" s="16">
        <f t="shared" si="1"/>
        <v>29</v>
      </c>
      <c r="K70" s="13">
        <v>20</v>
      </c>
      <c r="L70" s="14">
        <v>50</v>
      </c>
    </row>
    <row r="71" spans="1:12" x14ac:dyDescent="0.25">
      <c r="A71" s="6">
        <v>71</v>
      </c>
      <c r="B71" s="8" t="s">
        <v>81</v>
      </c>
      <c r="C71" s="6">
        <v>20</v>
      </c>
      <c r="D71" s="6"/>
      <c r="E71" s="6"/>
      <c r="F71" s="6"/>
      <c r="G71" s="6"/>
      <c r="H71" s="6"/>
      <c r="I71" s="6"/>
      <c r="J71" s="16">
        <f t="shared" si="1"/>
        <v>20</v>
      </c>
      <c r="K71" s="13">
        <v>20</v>
      </c>
      <c r="L71" s="14">
        <v>50</v>
      </c>
    </row>
    <row r="72" spans="1:12" x14ac:dyDescent="0.25">
      <c r="A72" s="6">
        <v>72</v>
      </c>
      <c r="B72" s="8" t="s">
        <v>86</v>
      </c>
      <c r="C72" s="6">
        <v>112</v>
      </c>
      <c r="D72" s="6">
        <v>71</v>
      </c>
      <c r="E72" s="6">
        <v>10</v>
      </c>
      <c r="F72" s="6">
        <v>2</v>
      </c>
      <c r="G72" s="6">
        <v>1</v>
      </c>
      <c r="H72" s="6"/>
      <c r="I72" s="6"/>
      <c r="J72" s="16">
        <f t="shared" si="1"/>
        <v>170</v>
      </c>
      <c r="K72" s="13">
        <v>20</v>
      </c>
      <c r="L72" s="14">
        <v>50</v>
      </c>
    </row>
    <row r="73" spans="1:12" x14ac:dyDescent="0.25">
      <c r="A73" s="6">
        <v>73</v>
      </c>
      <c r="B73" s="8" t="s">
        <v>104</v>
      </c>
      <c r="C73" s="6">
        <v>95</v>
      </c>
      <c r="D73" s="6"/>
      <c r="E73" s="6"/>
      <c r="F73" s="6"/>
      <c r="G73" s="6"/>
      <c r="H73" s="6"/>
      <c r="I73" s="6"/>
      <c r="J73" s="16">
        <f t="shared" si="1"/>
        <v>95</v>
      </c>
      <c r="K73" s="13">
        <v>20</v>
      </c>
      <c r="L73" s="14">
        <v>50</v>
      </c>
    </row>
    <row r="74" spans="1:12" x14ac:dyDescent="0.25">
      <c r="A74" s="6">
        <v>74</v>
      </c>
      <c r="B74" s="8" t="s">
        <v>82</v>
      </c>
      <c r="C74" s="6">
        <v>27</v>
      </c>
      <c r="D74" s="6"/>
      <c r="E74" s="6">
        <v>4</v>
      </c>
      <c r="F74" s="6"/>
      <c r="G74" s="6"/>
      <c r="H74" s="6"/>
      <c r="I74" s="6"/>
      <c r="J74" s="16">
        <f t="shared" si="1"/>
        <v>23</v>
      </c>
      <c r="K74" s="13">
        <v>20</v>
      </c>
      <c r="L74" s="14">
        <v>50</v>
      </c>
    </row>
    <row r="75" spans="1:12" x14ac:dyDescent="0.25">
      <c r="A75" s="6">
        <v>75</v>
      </c>
      <c r="B75" s="8" t="s">
        <v>109</v>
      </c>
      <c r="C75" s="6">
        <v>50</v>
      </c>
      <c r="D75" s="6"/>
      <c r="E75" s="6"/>
      <c r="F75" s="6"/>
      <c r="G75" s="6"/>
      <c r="H75" s="6"/>
      <c r="I75" s="6"/>
      <c r="J75" s="16">
        <f t="shared" si="1"/>
        <v>50</v>
      </c>
      <c r="K75" s="13">
        <v>20</v>
      </c>
      <c r="L75" s="14">
        <v>50</v>
      </c>
    </row>
    <row r="76" spans="1:12" x14ac:dyDescent="0.25">
      <c r="A76" s="6">
        <v>76</v>
      </c>
      <c r="B76" s="8" t="s">
        <v>124</v>
      </c>
      <c r="C76" s="6">
        <v>40</v>
      </c>
      <c r="D76" s="6"/>
      <c r="E76" s="6"/>
      <c r="F76" s="6"/>
      <c r="G76" s="6"/>
      <c r="H76" s="6"/>
      <c r="I76" s="6"/>
      <c r="J76" s="16">
        <f t="shared" si="1"/>
        <v>40</v>
      </c>
      <c r="K76" s="13">
        <v>20</v>
      </c>
      <c r="L76" s="14">
        <v>50</v>
      </c>
    </row>
    <row r="77" spans="1:12" x14ac:dyDescent="0.25">
      <c r="A77" s="6">
        <v>77</v>
      </c>
      <c r="B77" s="8" t="s">
        <v>147</v>
      </c>
      <c r="C77" s="12">
        <v>50</v>
      </c>
      <c r="D77" s="7"/>
      <c r="E77" s="7">
        <v>4</v>
      </c>
      <c r="F77" s="7"/>
      <c r="G77" s="7"/>
      <c r="H77" s="7"/>
      <c r="I77" s="7"/>
      <c r="J77" s="16">
        <f t="shared" si="1"/>
        <v>46</v>
      </c>
      <c r="K77" s="7">
        <v>10</v>
      </c>
      <c r="L77" s="7">
        <v>50</v>
      </c>
    </row>
  </sheetData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52</vt:i4>
      </vt:variant>
    </vt:vector>
  </HeadingPairs>
  <TitlesOfParts>
    <vt:vector size="52" baseType="lpstr">
      <vt:lpstr>eylül 4 hafta</vt:lpstr>
      <vt:lpstr>ekim 1 hafta </vt:lpstr>
      <vt:lpstr>ekim 2 hafta </vt:lpstr>
      <vt:lpstr>ekim 3 hafta</vt:lpstr>
      <vt:lpstr>ekim 4 hafta </vt:lpstr>
      <vt:lpstr>KASIM 1 HAFTA</vt:lpstr>
      <vt:lpstr>KASIM 2 HAFTA </vt:lpstr>
      <vt:lpstr>KASIM 3 HAFTA </vt:lpstr>
      <vt:lpstr>KASIM 4 HAFTA </vt:lpstr>
      <vt:lpstr>KASIM 5 HAFTA </vt:lpstr>
      <vt:lpstr>ARALIK 1 HAFTA</vt:lpstr>
      <vt:lpstr>ARALIK 2 HAFTA </vt:lpstr>
      <vt:lpstr>ARALIK 3 HAFTA </vt:lpstr>
      <vt:lpstr>ARALIK 4 HAFTA </vt:lpstr>
      <vt:lpstr>OCAK 1.HAFTA</vt:lpstr>
      <vt:lpstr>OCAK 2.HAFTA </vt:lpstr>
      <vt:lpstr>OCAK 3.HAFTA </vt:lpstr>
      <vt:lpstr>OCAK 4.HAFTA </vt:lpstr>
      <vt:lpstr>OCAK 5.ŞUBAT 1 HAFTA </vt:lpstr>
      <vt:lpstr>MART 3 HAFTA</vt:lpstr>
      <vt:lpstr>HAZ,TEM.2023</vt:lpstr>
      <vt:lpstr>TEMMUZ 2023</vt:lpstr>
      <vt:lpstr>AĞUSTOS 2023</vt:lpstr>
      <vt:lpstr>EYLÜL 2023</vt:lpstr>
      <vt:lpstr>EKİM 2023</vt:lpstr>
      <vt:lpstr>KASIM 2023</vt:lpstr>
      <vt:lpstr>ARALIK2023</vt:lpstr>
      <vt:lpstr>OCAK 2023</vt:lpstr>
      <vt:lpstr>ŞUBAT 2024</vt:lpstr>
      <vt:lpstr>MART 2024</vt:lpstr>
      <vt:lpstr>NİSAN 2024</vt:lpstr>
      <vt:lpstr>MAYIS 2024</vt:lpstr>
      <vt:lpstr>HAZİRAN 2024</vt:lpstr>
      <vt:lpstr>TEMMUZ 2024</vt:lpstr>
      <vt:lpstr>AĞUSTOS 2024</vt:lpstr>
      <vt:lpstr>EYLÜL 2024</vt:lpstr>
      <vt:lpstr>EKİM 2024</vt:lpstr>
      <vt:lpstr>KASIM 2024</vt:lpstr>
      <vt:lpstr>OCAK 2025</vt:lpstr>
      <vt:lpstr>ŞUBAT 2025</vt:lpstr>
      <vt:lpstr>MART 2025</vt:lpstr>
      <vt:lpstr>NİSAN 2025</vt:lpstr>
      <vt:lpstr>MAYIS 2025</vt:lpstr>
      <vt:lpstr>HAZİRAN 2025</vt:lpstr>
      <vt:lpstr>TEMMUZ 2025</vt:lpstr>
      <vt:lpstr>AĞUSTOS 2025</vt:lpstr>
      <vt:lpstr>EYLÜL 2025</vt:lpstr>
      <vt:lpstr>EKİM 2025</vt:lpstr>
      <vt:lpstr>KASIM 2025</vt:lpstr>
      <vt:lpstr>ARALIK 2025</vt:lpstr>
      <vt:lpstr>OCAK 2026</vt:lpstr>
      <vt:lpstr>ŞUBAT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Abdulkerim Gürsoy</dc:creator>
  <cp:lastModifiedBy>Abdulkerim Gürsoy</cp:lastModifiedBy>
  <cp:lastPrinted>2022-11-14T06:37:35Z</cp:lastPrinted>
  <dcterms:created xsi:type="dcterms:W3CDTF">2022-09-05T11:27:24Z</dcterms:created>
  <dcterms:modified xsi:type="dcterms:W3CDTF">2026-02-24T08:04:32Z</dcterms:modified>
</cp:coreProperties>
</file>